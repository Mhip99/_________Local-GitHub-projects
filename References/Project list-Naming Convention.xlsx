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omosoftware-my.sharepoint.com/personal/masaaki_hori_domo_com/Documents/________Project Management/"/>
    </mc:Choice>
  </mc:AlternateContent>
  <xr:revisionPtr revIDLastSave="8634" documentId="8_{49E2A4B6-535E-400D-87CD-D80103513F7B}" xr6:coauthVersionLast="47" xr6:coauthVersionMax="47" xr10:uidLastSave="{F66306E4-0AA3-485A-9209-3D1ACB50DAC1}"/>
  <bookViews>
    <workbookView xWindow="31530" yWindow="0" windowWidth="24045" windowHeight="12525" activeTab="2" xr2:uid="{5E8CEDEE-38D7-40AD-A524-37E2CB30D083}"/>
  </bookViews>
  <sheets>
    <sheet name="Name generator" sheetId="26" r:id="rId1"/>
    <sheet name="Articles" sheetId="5" r:id="rId2"/>
    <sheet name="Articles-new" sheetId="40" r:id="rId3"/>
    <sheet name="Unlocalized" sheetId="41" r:id="rId4"/>
    <sheet name="Pending" sheetId="39" r:id="rId5"/>
    <sheet name="Wrtiteback" sheetId="37" r:id="rId6"/>
    <sheet name="Updated20250303" sheetId="35" r:id="rId7"/>
    <sheet name="SF" sheetId="36" r:id="rId8"/>
    <sheet name="2022" sheetId="38" r:id="rId9"/>
    <sheet name="Link" sheetId="33" r:id="rId10"/>
    <sheet name="FY26 Status" sheetId="34" r:id="rId11"/>
    <sheet name="FY25 Status" sheetId="25" r:id="rId12"/>
    <sheet name="PO" sheetId="8" r:id="rId13"/>
    <sheet name="List" sheetId="1" r:id="rId14"/>
    <sheet name="FY24 Status" sheetId="10" r:id="rId15"/>
    <sheet name="FY24 Budget " sheetId="18" r:id="rId16"/>
    <sheet name="Status FY23" sheetId="19" r:id="rId17"/>
    <sheet name="FY23 Budget" sheetId="9" r:id="rId18"/>
    <sheet name="Statistic" sheetId="12" r:id="rId19"/>
    <sheet name="Example" sheetId="2" r:id="rId20"/>
  </sheets>
  <definedNames>
    <definedName name="_xlnm._FilterDatabase" localSheetId="1" hidden="1">Articles!$A$1:$N$3827</definedName>
    <definedName name="_xlnm._FilterDatabase" localSheetId="2" hidden="1">'Articles-new'!$A$1:$P$815</definedName>
    <definedName name="_xlnm._FilterDatabase" localSheetId="0" hidden="1">'Name generator'!$B$1:$L$1503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6" i="40" l="1"/>
  <c r="C116" i="40"/>
  <c r="B107" i="40"/>
  <c r="C107" i="40"/>
  <c r="B108" i="40"/>
  <c r="C108" i="40"/>
  <c r="B109" i="40"/>
  <c r="C109" i="40"/>
  <c r="B110" i="40"/>
  <c r="C110" i="40"/>
  <c r="B111" i="40"/>
  <c r="C111" i="40"/>
  <c r="B112" i="40"/>
  <c r="C112" i="40"/>
  <c r="B113" i="40"/>
  <c r="C113" i="40"/>
  <c r="B114" i="40"/>
  <c r="C114" i="40"/>
  <c r="B97" i="40"/>
  <c r="C97" i="40"/>
  <c r="B98" i="40"/>
  <c r="C98" i="40"/>
  <c r="B99" i="40"/>
  <c r="C99" i="40"/>
  <c r="B100" i="40"/>
  <c r="C100" i="40"/>
  <c r="B101" i="40"/>
  <c r="C101" i="40"/>
  <c r="B93" i="40"/>
  <c r="C93" i="40"/>
  <c r="B94" i="40"/>
  <c r="C94" i="40"/>
  <c r="B95" i="40"/>
  <c r="C95" i="40"/>
  <c r="B96" i="40"/>
  <c r="C96" i="40"/>
  <c r="B83" i="40"/>
  <c r="C83" i="40"/>
  <c r="B84" i="40"/>
  <c r="C84" i="40"/>
  <c r="B85" i="40"/>
  <c r="C85" i="40"/>
  <c r="B86" i="40"/>
  <c r="C86" i="40"/>
  <c r="B78" i="40"/>
  <c r="C78" i="40"/>
  <c r="B79" i="40"/>
  <c r="C79" i="40"/>
  <c r="B80" i="40"/>
  <c r="C80" i="40"/>
  <c r="B81" i="40"/>
  <c r="C81" i="40"/>
  <c r="C49" i="40"/>
  <c r="C50" i="40"/>
  <c r="C51" i="40"/>
  <c r="C52" i="40"/>
  <c r="B50" i="40"/>
  <c r="B49" i="40"/>
  <c r="B71" i="40"/>
  <c r="C71" i="40"/>
  <c r="B72" i="40"/>
  <c r="C72" i="40"/>
  <c r="B74" i="40"/>
  <c r="C74" i="40"/>
  <c r="B75" i="40"/>
  <c r="C75" i="40"/>
  <c r="B76" i="40"/>
  <c r="C76" i="40"/>
  <c r="B87" i="40"/>
  <c r="C87" i="40"/>
  <c r="B88" i="40"/>
  <c r="C88" i="40"/>
  <c r="B89" i="40"/>
  <c r="C89" i="40"/>
  <c r="B90" i="40"/>
  <c r="C90" i="40"/>
  <c r="B103" i="40"/>
  <c r="C103" i="40"/>
  <c r="B104" i="40"/>
  <c r="C104" i="40"/>
  <c r="B105" i="40"/>
  <c r="C105" i="40"/>
  <c r="B106" i="40"/>
  <c r="C106" i="40"/>
  <c r="B119" i="40"/>
  <c r="C119" i="40"/>
  <c r="B120" i="40"/>
  <c r="C120" i="40"/>
  <c r="B121" i="40"/>
  <c r="C121" i="40"/>
  <c r="B122" i="40"/>
  <c r="C122" i="40"/>
  <c r="B123" i="40"/>
  <c r="C123" i="40"/>
  <c r="B124" i="40"/>
  <c r="C124" i="40"/>
  <c r="B125" i="40"/>
  <c r="C125" i="40"/>
  <c r="B126" i="40"/>
  <c r="C126" i="40"/>
  <c r="B127" i="40"/>
  <c r="C127" i="40"/>
  <c r="B128" i="40"/>
  <c r="C128" i="40"/>
  <c r="B129" i="40"/>
  <c r="C129" i="40"/>
  <c r="B130" i="40"/>
  <c r="C130" i="40"/>
  <c r="B131" i="40"/>
  <c r="C131" i="40"/>
  <c r="B132" i="40"/>
  <c r="C132" i="40"/>
  <c r="B133" i="40"/>
  <c r="C133" i="40"/>
  <c r="B134" i="40"/>
  <c r="C134" i="40"/>
  <c r="B135" i="40"/>
  <c r="C135" i="40"/>
  <c r="B136" i="40"/>
  <c r="C136" i="40"/>
  <c r="B137" i="40"/>
  <c r="C137" i="40"/>
  <c r="B138" i="40"/>
  <c r="C138" i="40"/>
  <c r="B139" i="40"/>
  <c r="C139" i="40"/>
  <c r="B140" i="40"/>
  <c r="C140" i="40"/>
  <c r="B141" i="40"/>
  <c r="C141" i="40"/>
  <c r="B142" i="40"/>
  <c r="C142" i="40"/>
  <c r="B143" i="40"/>
  <c r="C143" i="40"/>
  <c r="B144" i="40"/>
  <c r="C144" i="40"/>
  <c r="B145" i="40"/>
  <c r="C145" i="40"/>
  <c r="B146" i="40"/>
  <c r="C146" i="40"/>
  <c r="B147" i="40"/>
  <c r="C147" i="40"/>
  <c r="B148" i="40"/>
  <c r="C148" i="40"/>
  <c r="B149" i="40"/>
  <c r="C149" i="40"/>
  <c r="B150" i="40"/>
  <c r="C150" i="40"/>
  <c r="B151" i="40"/>
  <c r="C151" i="40"/>
  <c r="B152" i="40"/>
  <c r="C152" i="40"/>
  <c r="B153" i="40"/>
  <c r="C153" i="40"/>
  <c r="B154" i="40"/>
  <c r="C154" i="40"/>
  <c r="B155" i="40"/>
  <c r="C155" i="40"/>
  <c r="B156" i="40"/>
  <c r="C156" i="40"/>
  <c r="B157" i="40"/>
  <c r="C157" i="40"/>
  <c r="B158" i="40"/>
  <c r="C158" i="40"/>
  <c r="B159" i="40"/>
  <c r="C159" i="40"/>
  <c r="B160" i="40"/>
  <c r="C160" i="40"/>
  <c r="B161" i="40"/>
  <c r="C161" i="40"/>
  <c r="B162" i="40"/>
  <c r="C162" i="40"/>
  <c r="B163" i="40"/>
  <c r="C163" i="40"/>
  <c r="B164" i="40"/>
  <c r="C164" i="40"/>
  <c r="B165" i="40"/>
  <c r="C165" i="40"/>
  <c r="B166" i="40"/>
  <c r="C166" i="40"/>
  <c r="B167" i="40"/>
  <c r="C167" i="40"/>
  <c r="B168" i="40"/>
  <c r="C168" i="40"/>
  <c r="B169" i="40"/>
  <c r="C169" i="40"/>
  <c r="B170" i="40"/>
  <c r="C170" i="40"/>
  <c r="B171" i="40"/>
  <c r="C171" i="40"/>
  <c r="B172" i="40"/>
  <c r="C172" i="40"/>
  <c r="B173" i="40"/>
  <c r="C173" i="40"/>
  <c r="B174" i="40"/>
  <c r="C174" i="40"/>
  <c r="B175" i="40"/>
  <c r="C175" i="40"/>
  <c r="B176" i="40"/>
  <c r="C176" i="40"/>
  <c r="B177" i="40"/>
  <c r="C177" i="40"/>
  <c r="B178" i="40"/>
  <c r="C178" i="40"/>
  <c r="B179" i="40"/>
  <c r="C179" i="40"/>
  <c r="B180" i="40"/>
  <c r="C180" i="40"/>
  <c r="B181" i="40"/>
  <c r="C181" i="40"/>
  <c r="B182" i="40"/>
  <c r="C182" i="40"/>
  <c r="B183" i="40"/>
  <c r="C183" i="40"/>
  <c r="B184" i="40"/>
  <c r="C184" i="40"/>
  <c r="B185" i="40"/>
  <c r="C185" i="40"/>
  <c r="B186" i="40"/>
  <c r="C186" i="40"/>
  <c r="B187" i="40"/>
  <c r="C187" i="40"/>
  <c r="B188" i="40"/>
  <c r="C188" i="40"/>
  <c r="B189" i="40"/>
  <c r="C189" i="40"/>
  <c r="B190" i="40"/>
  <c r="C190" i="40"/>
  <c r="B191" i="40"/>
  <c r="C191" i="40"/>
  <c r="B192" i="40"/>
  <c r="C192" i="40"/>
  <c r="B193" i="40"/>
  <c r="C193" i="40"/>
  <c r="B194" i="40"/>
  <c r="C194" i="40"/>
  <c r="B195" i="40"/>
  <c r="C195" i="40"/>
  <c r="B196" i="40"/>
  <c r="C196" i="40"/>
  <c r="B197" i="40"/>
  <c r="C197" i="40"/>
  <c r="B198" i="40"/>
  <c r="C198" i="40"/>
  <c r="B199" i="40"/>
  <c r="C199" i="40"/>
  <c r="B200" i="40"/>
  <c r="C200" i="40"/>
  <c r="B201" i="40"/>
  <c r="C201" i="40"/>
  <c r="B202" i="40"/>
  <c r="C202" i="40"/>
  <c r="B203" i="40"/>
  <c r="C203" i="40"/>
  <c r="B204" i="40"/>
  <c r="C204" i="40"/>
  <c r="B205" i="40"/>
  <c r="C205" i="40"/>
  <c r="B206" i="40"/>
  <c r="C206" i="40"/>
  <c r="B207" i="40"/>
  <c r="C207" i="40"/>
  <c r="B208" i="40"/>
  <c r="C208" i="40"/>
  <c r="B209" i="40"/>
  <c r="C209" i="40"/>
  <c r="B210" i="40"/>
  <c r="C210" i="40"/>
  <c r="B211" i="40"/>
  <c r="C211" i="40"/>
  <c r="B212" i="40"/>
  <c r="C212" i="40"/>
  <c r="B213" i="40"/>
  <c r="C213" i="40"/>
  <c r="B214" i="40"/>
  <c r="C214" i="40"/>
  <c r="B215" i="40"/>
  <c r="C215" i="40"/>
  <c r="B216" i="40"/>
  <c r="C216" i="40"/>
  <c r="B217" i="40"/>
  <c r="C217" i="40"/>
  <c r="B218" i="40"/>
  <c r="C218" i="40"/>
  <c r="B219" i="40"/>
  <c r="C219" i="40"/>
  <c r="B220" i="40"/>
  <c r="C220" i="40"/>
  <c r="B221" i="40"/>
  <c r="C221" i="40"/>
  <c r="B222" i="40"/>
  <c r="C222" i="40"/>
  <c r="B223" i="40"/>
  <c r="C223" i="40"/>
  <c r="B224" i="40"/>
  <c r="C224" i="40"/>
  <c r="B225" i="40"/>
  <c r="C225" i="40"/>
  <c r="B226" i="40"/>
  <c r="C226" i="40"/>
  <c r="B227" i="40"/>
  <c r="C227" i="40"/>
  <c r="B228" i="40"/>
  <c r="C228" i="40"/>
  <c r="B229" i="40"/>
  <c r="C229" i="40"/>
  <c r="B230" i="40"/>
  <c r="C230" i="40"/>
  <c r="B231" i="40"/>
  <c r="C231" i="40"/>
  <c r="B232" i="40"/>
  <c r="C232" i="40"/>
  <c r="B233" i="40"/>
  <c r="C233" i="40"/>
  <c r="B234" i="40"/>
  <c r="C234" i="40"/>
  <c r="B235" i="40"/>
  <c r="C235" i="40"/>
  <c r="B236" i="40"/>
  <c r="C236" i="40"/>
  <c r="B237" i="40"/>
  <c r="C237" i="40"/>
  <c r="B238" i="40"/>
  <c r="C238" i="40"/>
  <c r="B239" i="40"/>
  <c r="C239" i="40"/>
  <c r="B240" i="40"/>
  <c r="C240" i="40"/>
  <c r="B241" i="40"/>
  <c r="C241" i="40"/>
  <c r="B242" i="40"/>
  <c r="C242" i="40"/>
  <c r="B243" i="40"/>
  <c r="C243" i="40"/>
  <c r="B244" i="40"/>
  <c r="C244" i="40"/>
  <c r="B245" i="40"/>
  <c r="C245" i="40"/>
  <c r="B246" i="40"/>
  <c r="C246" i="40"/>
  <c r="B247" i="40"/>
  <c r="C247" i="40"/>
  <c r="B248" i="40"/>
  <c r="C248" i="40"/>
  <c r="B249" i="40"/>
  <c r="C249" i="40"/>
  <c r="B250" i="40"/>
  <c r="C250" i="40"/>
  <c r="B251" i="40"/>
  <c r="C251" i="40"/>
  <c r="B252" i="40"/>
  <c r="C252" i="40"/>
  <c r="B253" i="40"/>
  <c r="C253" i="40"/>
  <c r="B254" i="40"/>
  <c r="C254" i="40"/>
  <c r="B255" i="40"/>
  <c r="C255" i="40"/>
  <c r="B256" i="40"/>
  <c r="C256" i="40"/>
  <c r="B257" i="40"/>
  <c r="C257" i="40"/>
  <c r="B258" i="40"/>
  <c r="C258" i="40"/>
  <c r="B259" i="40"/>
  <c r="C259" i="40"/>
  <c r="B260" i="40"/>
  <c r="C260" i="40"/>
  <c r="B53" i="40"/>
  <c r="C53" i="40"/>
  <c r="C65" i="40"/>
  <c r="B65" i="40"/>
  <c r="C64" i="40"/>
  <c r="B64" i="40"/>
  <c r="C63" i="40"/>
  <c r="B63" i="40"/>
  <c r="C62" i="40"/>
  <c r="B62" i="40"/>
  <c r="C61" i="40"/>
  <c r="B61" i="40"/>
  <c r="B41" i="40"/>
  <c r="C41" i="40"/>
  <c r="B42" i="40"/>
  <c r="C42" i="40"/>
  <c r="B43" i="40"/>
  <c r="C43" i="40"/>
  <c r="B44" i="40"/>
  <c r="C44" i="40"/>
  <c r="B45" i="40"/>
  <c r="C45" i="40"/>
  <c r="B39" i="40"/>
  <c r="C39" i="40"/>
  <c r="B35" i="40"/>
  <c r="C35" i="40"/>
  <c r="B36" i="40"/>
  <c r="C36" i="40"/>
  <c r="B37" i="40"/>
  <c r="C37" i="40"/>
  <c r="B38" i="40"/>
  <c r="C38" i="40"/>
  <c r="B31" i="40"/>
  <c r="C31" i="40"/>
  <c r="B32" i="40"/>
  <c r="C32" i="40"/>
  <c r="B33" i="40"/>
  <c r="C33" i="40"/>
  <c r="B54" i="40"/>
  <c r="C54" i="40"/>
  <c r="B55" i="40"/>
  <c r="C55" i="40"/>
  <c r="B56" i="40"/>
  <c r="C56" i="40"/>
  <c r="B57" i="40"/>
  <c r="C57" i="40"/>
  <c r="B58" i="40"/>
  <c r="C58" i="40"/>
  <c r="B59" i="40"/>
  <c r="C59" i="40"/>
  <c r="B60" i="40"/>
  <c r="C60" i="40"/>
  <c r="B66" i="40"/>
  <c r="C66" i="40"/>
  <c r="B67" i="40"/>
  <c r="C67" i="40"/>
  <c r="B68" i="40"/>
  <c r="C68" i="40"/>
  <c r="B69" i="40"/>
  <c r="C69" i="40"/>
  <c r="B70" i="40"/>
  <c r="C70" i="40"/>
  <c r="B30" i="40"/>
  <c r="C30" i="40"/>
  <c r="B7" i="40"/>
  <c r="C7" i="40"/>
  <c r="B8" i="40"/>
  <c r="C8" i="40"/>
  <c r="B9" i="40"/>
  <c r="C9" i="40"/>
  <c r="B10" i="40"/>
  <c r="C10" i="40"/>
  <c r="B11" i="40"/>
  <c r="C11" i="40"/>
  <c r="B12" i="40"/>
  <c r="C12" i="40"/>
  <c r="B13" i="40"/>
  <c r="C13" i="40"/>
  <c r="B14" i="40"/>
  <c r="C14" i="40"/>
  <c r="B15" i="40"/>
  <c r="C15" i="40"/>
  <c r="B16" i="40"/>
  <c r="C16" i="40"/>
  <c r="B17" i="40"/>
  <c r="C17" i="40"/>
  <c r="B18" i="40"/>
  <c r="C18" i="40"/>
  <c r="B19" i="40"/>
  <c r="C19" i="40"/>
  <c r="B20" i="40"/>
  <c r="C20" i="40"/>
  <c r="B21" i="40"/>
  <c r="C21" i="40"/>
  <c r="B22" i="40"/>
  <c r="C22" i="40"/>
  <c r="B23" i="40"/>
  <c r="C23" i="40"/>
  <c r="B24" i="40"/>
  <c r="C24" i="40"/>
  <c r="B25" i="40"/>
  <c r="C25" i="40"/>
  <c r="B26" i="40"/>
  <c r="C26" i="40"/>
  <c r="B27" i="40"/>
  <c r="C27" i="40"/>
  <c r="B28" i="40"/>
  <c r="C28" i="40"/>
  <c r="C5" i="40"/>
  <c r="B5" i="40"/>
  <c r="C4" i="40"/>
  <c r="B4" i="40"/>
  <c r="C3" i="40"/>
  <c r="B3" i="40"/>
  <c r="C2" i="40"/>
  <c r="B2" i="40"/>
  <c r="C464" i="40"/>
  <c r="B464" i="40"/>
  <c r="B3287" i="5"/>
  <c r="C3287" i="5"/>
  <c r="B3288" i="5"/>
  <c r="C3288" i="5"/>
  <c r="B3289" i="5"/>
  <c r="C3289" i="5"/>
  <c r="B3290" i="5"/>
  <c r="C3290" i="5"/>
  <c r="B3291" i="5"/>
  <c r="C3291" i="5"/>
  <c r="B3281" i="5"/>
  <c r="C3281" i="5"/>
  <c r="B3282" i="5"/>
  <c r="C3282" i="5"/>
  <c r="B3283" i="5"/>
  <c r="C3283" i="5"/>
  <c r="B3284" i="5"/>
  <c r="C3284" i="5"/>
  <c r="B3285" i="5"/>
  <c r="C3285" i="5"/>
  <c r="B3280" i="5"/>
  <c r="C3280" i="5"/>
  <c r="B3275" i="5"/>
  <c r="C3275" i="5"/>
  <c r="B3276" i="5"/>
  <c r="C3276" i="5"/>
  <c r="B3277" i="5"/>
  <c r="C3277" i="5"/>
  <c r="B3278" i="5"/>
  <c r="C3278" i="5"/>
  <c r="B3279" i="5"/>
  <c r="C3279" i="5"/>
  <c r="B3293" i="5"/>
  <c r="C3293" i="5"/>
  <c r="B3294" i="5"/>
  <c r="C3294" i="5"/>
  <c r="B3295" i="5"/>
  <c r="C3295" i="5"/>
  <c r="B3296" i="5"/>
  <c r="C3296" i="5"/>
  <c r="B3297" i="5"/>
  <c r="C3297" i="5"/>
  <c r="B3299" i="5"/>
  <c r="C3299" i="5"/>
  <c r="B3300" i="5"/>
  <c r="C3300" i="5"/>
  <c r="B3301" i="5"/>
  <c r="C3301" i="5"/>
  <c r="B3302" i="5"/>
  <c r="C3302" i="5"/>
  <c r="B3303" i="5"/>
  <c r="C3303" i="5"/>
  <c r="B3304" i="5"/>
  <c r="C3304" i="5"/>
  <c r="B3307" i="5"/>
  <c r="C3307" i="5"/>
  <c r="B3308" i="5"/>
  <c r="C3308" i="5"/>
  <c r="B3309" i="5"/>
  <c r="C3309" i="5"/>
  <c r="B3310" i="5"/>
  <c r="C3310" i="5"/>
  <c r="B3311" i="5"/>
  <c r="C3311" i="5"/>
  <c r="B3312" i="5"/>
  <c r="C3312" i="5"/>
  <c r="B3313" i="5"/>
  <c r="C3313" i="5"/>
  <c r="B3314" i="5"/>
  <c r="C3314" i="5"/>
  <c r="B3315" i="5"/>
  <c r="C3315" i="5"/>
  <c r="B3316" i="5"/>
  <c r="C3316" i="5"/>
  <c r="B3317" i="5"/>
  <c r="C3317" i="5"/>
  <c r="B3318" i="5"/>
  <c r="C3318" i="5"/>
  <c r="B3319" i="5"/>
  <c r="C3319" i="5"/>
  <c r="B3320" i="5"/>
  <c r="C3320" i="5"/>
  <c r="B3321" i="5"/>
  <c r="C3321" i="5"/>
  <c r="B3322" i="5"/>
  <c r="C3322" i="5"/>
  <c r="B3323" i="5"/>
  <c r="C3323" i="5"/>
  <c r="B3324" i="5"/>
  <c r="C3324" i="5"/>
  <c r="B3325" i="5"/>
  <c r="C3325" i="5"/>
  <c r="B3326" i="5"/>
  <c r="C3326" i="5"/>
  <c r="B3327" i="5"/>
  <c r="C3327" i="5"/>
  <c r="B3328" i="5"/>
  <c r="C3328" i="5"/>
  <c r="B3329" i="5"/>
  <c r="C3329" i="5"/>
  <c r="B3330" i="5"/>
  <c r="C3330" i="5"/>
  <c r="B3269" i="5"/>
  <c r="C3269" i="5"/>
  <c r="B3270" i="5"/>
  <c r="C3270" i="5"/>
  <c r="B3274" i="5"/>
  <c r="C3274" i="5"/>
  <c r="B3163" i="5"/>
  <c r="C3163" i="5"/>
  <c r="B3164" i="5"/>
  <c r="C3164" i="5"/>
  <c r="C3161" i="5"/>
  <c r="B3161" i="5"/>
  <c r="C3159" i="5"/>
  <c r="B3159" i="5"/>
  <c r="C3175" i="5"/>
  <c r="B3175" i="5"/>
  <c r="C3210" i="5"/>
  <c r="B3210" i="5"/>
  <c r="C3209" i="5"/>
  <c r="B3209" i="5"/>
  <c r="C3208" i="5"/>
  <c r="B3208" i="5"/>
  <c r="C3207" i="5"/>
  <c r="B3207" i="5"/>
  <c r="B3177" i="5"/>
  <c r="C3177" i="5"/>
  <c r="B3178" i="5"/>
  <c r="C3178" i="5"/>
  <c r="K973" i="26"/>
  <c r="C3211" i="5"/>
  <c r="B3211" i="5"/>
  <c r="C3206" i="5"/>
  <c r="B3206" i="5"/>
  <c r="C3213" i="5"/>
  <c r="B3213" i="5"/>
  <c r="C3212" i="5"/>
  <c r="B3212" i="5"/>
  <c r="C3214" i="5"/>
  <c r="B3214" i="5"/>
  <c r="C3204" i="5"/>
  <c r="B3204" i="5"/>
  <c r="B3158" i="5"/>
  <c r="C3158" i="5"/>
  <c r="C3168" i="5"/>
  <c r="B3168" i="5"/>
  <c r="C3167" i="5"/>
  <c r="B3167" i="5"/>
  <c r="C3166" i="5"/>
  <c r="B3166" i="5"/>
  <c r="B3154" i="5"/>
  <c r="C3154" i="5"/>
  <c r="B3248" i="5"/>
  <c r="C3248" i="5"/>
  <c r="B3260" i="5"/>
  <c r="C3260" i="5"/>
  <c r="B3264" i="5"/>
  <c r="C3264" i="5"/>
  <c r="B3266" i="5"/>
  <c r="C3266" i="5"/>
  <c r="B3267" i="5"/>
  <c r="C3267" i="5"/>
  <c r="B3236" i="5"/>
  <c r="C3236" i="5"/>
  <c r="B3232" i="5"/>
  <c r="C3232" i="5"/>
  <c r="B3233" i="5"/>
  <c r="C3233" i="5"/>
  <c r="B3234" i="5"/>
  <c r="C3234" i="5"/>
  <c r="B3235" i="5"/>
  <c r="C3235" i="5"/>
  <c r="B3226" i="5"/>
  <c r="C3226" i="5"/>
  <c r="B3227" i="5"/>
  <c r="C3227" i="5"/>
  <c r="B3228" i="5"/>
  <c r="C3228" i="5"/>
  <c r="B3229" i="5"/>
  <c r="C3229" i="5"/>
  <c r="B3230" i="5"/>
  <c r="C3230" i="5"/>
  <c r="B3219" i="5"/>
  <c r="C3219" i="5"/>
  <c r="B3220" i="5"/>
  <c r="C3220" i="5"/>
  <c r="B3221" i="5"/>
  <c r="C3221" i="5"/>
  <c r="B3222" i="5"/>
  <c r="C3222" i="5"/>
  <c r="B3223" i="5"/>
  <c r="C3223" i="5"/>
  <c r="K964" i="26"/>
  <c r="C3169" i="5"/>
  <c r="B3169" i="5"/>
  <c r="B3149" i="5"/>
  <c r="C3149" i="5"/>
  <c r="B3150" i="5"/>
  <c r="C3150" i="5"/>
  <c r="B3151" i="5"/>
  <c r="C3151" i="5"/>
  <c r="B3152" i="5"/>
  <c r="C3152" i="5"/>
  <c r="C3170" i="5"/>
  <c r="B3170" i="5"/>
  <c r="K963" i="26"/>
  <c r="K962" i="26"/>
  <c r="K961" i="26"/>
  <c r="B3346" i="5"/>
  <c r="C3346" i="5"/>
  <c r="B3347" i="5"/>
  <c r="C3347" i="5"/>
  <c r="B3348" i="5"/>
  <c r="C3348" i="5"/>
  <c r="B3349" i="5"/>
  <c r="C3349" i="5"/>
  <c r="B3350" i="5"/>
  <c r="C3350" i="5"/>
  <c r="B3351" i="5"/>
  <c r="C3351" i="5"/>
  <c r="B3352" i="5"/>
  <c r="C3352" i="5"/>
  <c r="B3353" i="5"/>
  <c r="C3353" i="5"/>
  <c r="B3354" i="5"/>
  <c r="C3354" i="5"/>
  <c r="B3355" i="5"/>
  <c r="C3355" i="5"/>
  <c r="B3231" i="5"/>
  <c r="C3231" i="5"/>
  <c r="B3237" i="5"/>
  <c r="C3237" i="5"/>
  <c r="B3272" i="5"/>
  <c r="C3272" i="5"/>
  <c r="B3273" i="5"/>
  <c r="C3273" i="5"/>
  <c r="B3331" i="5"/>
  <c r="C3331" i="5"/>
  <c r="B3332" i="5"/>
  <c r="C3332" i="5"/>
  <c r="B3333" i="5"/>
  <c r="C3333" i="5"/>
  <c r="B3334" i="5"/>
  <c r="C3334" i="5"/>
  <c r="B3335" i="5"/>
  <c r="C3335" i="5"/>
  <c r="B3336" i="5"/>
  <c r="C3336" i="5"/>
  <c r="B3337" i="5"/>
  <c r="C3337" i="5"/>
  <c r="B3338" i="5"/>
  <c r="C3338" i="5"/>
  <c r="B3339" i="5"/>
  <c r="C3339" i="5"/>
  <c r="B3340" i="5"/>
  <c r="C3340" i="5"/>
  <c r="B3341" i="5"/>
  <c r="C3341" i="5"/>
  <c r="B3342" i="5"/>
  <c r="C3342" i="5"/>
  <c r="B3343" i="5"/>
  <c r="C3343" i="5"/>
  <c r="B3344" i="5"/>
  <c r="C3344" i="5"/>
  <c r="B3345" i="5"/>
  <c r="C3345" i="5"/>
  <c r="B3242" i="5"/>
  <c r="C3242" i="5"/>
  <c r="B3243" i="5"/>
  <c r="C3243" i="5"/>
  <c r="B3244" i="5"/>
  <c r="C3244" i="5"/>
  <c r="B3245" i="5"/>
  <c r="C3245" i="5"/>
  <c r="B3246" i="5"/>
  <c r="C3246" i="5"/>
  <c r="B3247" i="5"/>
  <c r="C3247" i="5"/>
  <c r="B3134" i="5"/>
  <c r="C3134" i="5"/>
  <c r="B3135" i="5"/>
  <c r="C3135" i="5"/>
  <c r="B3136" i="5"/>
  <c r="C3136" i="5"/>
  <c r="B3133" i="5"/>
  <c r="C3133" i="5"/>
  <c r="B3250" i="5"/>
  <c r="C3250" i="5"/>
  <c r="B3251" i="5"/>
  <c r="C3251" i="5"/>
  <c r="B3252" i="5"/>
  <c r="C3252" i="5"/>
  <c r="B3253" i="5"/>
  <c r="C3253" i="5"/>
  <c r="B3254" i="5"/>
  <c r="C3254" i="5"/>
  <c r="B3255" i="5"/>
  <c r="C3255" i="5"/>
  <c r="B3256" i="5"/>
  <c r="C3256" i="5"/>
  <c r="B3257" i="5"/>
  <c r="C3257" i="5"/>
  <c r="B3258" i="5"/>
  <c r="C3258" i="5"/>
  <c r="B3259" i="5"/>
  <c r="C3259" i="5"/>
  <c r="B3147" i="5"/>
  <c r="C3147" i="5"/>
  <c r="B3141" i="5"/>
  <c r="C3141" i="5"/>
  <c r="B3142" i="5"/>
  <c r="C3142" i="5"/>
  <c r="B3138" i="5"/>
  <c r="C3138" i="5"/>
  <c r="B3139" i="5"/>
  <c r="C3139" i="5"/>
  <c r="C3101" i="5"/>
  <c r="B3101" i="5"/>
  <c r="B3140" i="5"/>
  <c r="C3140" i="5"/>
  <c r="B3143" i="5"/>
  <c r="C3143" i="5"/>
  <c r="B3144" i="5"/>
  <c r="C3144" i="5"/>
  <c r="B3125" i="5"/>
  <c r="C3125" i="5"/>
  <c r="B3126" i="5"/>
  <c r="C3126" i="5"/>
  <c r="B3127" i="5"/>
  <c r="C3127" i="5"/>
  <c r="B3128" i="5"/>
  <c r="C3128" i="5"/>
  <c r="B3129" i="5"/>
  <c r="C3129" i="5"/>
  <c r="B3130" i="5"/>
  <c r="C3130" i="5"/>
  <c r="B3131" i="5"/>
  <c r="C3131" i="5"/>
  <c r="B3115" i="5"/>
  <c r="C3115" i="5"/>
  <c r="B3116" i="5"/>
  <c r="C3116" i="5"/>
  <c r="B3117" i="5"/>
  <c r="C3117" i="5"/>
  <c r="B3118" i="5"/>
  <c r="C3118" i="5"/>
  <c r="B3119" i="5"/>
  <c r="C3119" i="5"/>
  <c r="B3120" i="5"/>
  <c r="C3120" i="5"/>
  <c r="B3121" i="5"/>
  <c r="C3121" i="5"/>
  <c r="B3122" i="5"/>
  <c r="C3122" i="5"/>
  <c r="B3123" i="5"/>
  <c r="C3123" i="5"/>
  <c r="C3113" i="5"/>
  <c r="B3113" i="5"/>
  <c r="B3104" i="5"/>
  <c r="C3104" i="5"/>
  <c r="B3105" i="5"/>
  <c r="C3105" i="5"/>
  <c r="B3106" i="5"/>
  <c r="C3106" i="5"/>
  <c r="B3107" i="5"/>
  <c r="C3107" i="5"/>
  <c r="B3108" i="5"/>
  <c r="C3108" i="5"/>
  <c r="B3109" i="5"/>
  <c r="C3109" i="5"/>
  <c r="B3110" i="5"/>
  <c r="C3110" i="5"/>
  <c r="B3111" i="5"/>
  <c r="C3111" i="5"/>
  <c r="B3112" i="5"/>
  <c r="C3112" i="5"/>
  <c r="C3092" i="5"/>
  <c r="B3092" i="5"/>
  <c r="K950" i="26"/>
  <c r="C3091" i="5"/>
  <c r="B3091" i="5"/>
  <c r="C3202" i="5"/>
  <c r="B3202" i="5"/>
  <c r="B3083" i="5"/>
  <c r="C3083" i="5"/>
  <c r="B3084" i="5"/>
  <c r="C3084" i="5"/>
  <c r="B3085" i="5"/>
  <c r="C3085" i="5"/>
  <c r="B3086" i="5"/>
  <c r="C3086" i="5"/>
  <c r="B3087" i="5"/>
  <c r="C3087" i="5"/>
  <c r="B3088" i="5"/>
  <c r="C3088" i="5"/>
  <c r="B3089" i="5"/>
  <c r="C3089" i="5"/>
  <c r="B3090" i="5"/>
  <c r="C3090" i="5"/>
  <c r="C3071" i="5"/>
  <c r="B3071" i="5"/>
  <c r="C3173" i="5"/>
  <c r="B3173" i="5"/>
  <c r="C3145" i="5"/>
  <c r="B3145" i="5"/>
  <c r="C3074" i="5"/>
  <c r="B3074" i="5"/>
  <c r="C3075" i="5"/>
  <c r="B3075" i="5"/>
  <c r="C3081" i="5"/>
  <c r="B3081" i="5"/>
  <c r="C3073" i="5"/>
  <c r="B3073" i="5"/>
  <c r="C3102" i="5"/>
  <c r="B3102" i="5"/>
  <c r="C3100" i="5"/>
  <c r="B3100" i="5"/>
  <c r="C3099" i="5"/>
  <c r="B3099" i="5"/>
  <c r="C3079" i="5"/>
  <c r="B3079" i="5"/>
  <c r="C3098" i="5"/>
  <c r="B3098" i="5"/>
  <c r="C3094" i="5"/>
  <c r="B3094" i="5"/>
  <c r="C3078" i="5"/>
  <c r="B3078" i="5"/>
  <c r="C3093" i="5"/>
  <c r="B3093" i="5"/>
  <c r="C3095" i="5"/>
  <c r="B3095" i="5"/>
  <c r="C3080" i="5"/>
  <c r="B3080" i="5"/>
  <c r="C3097" i="5"/>
  <c r="B3097" i="5"/>
  <c r="C3096" i="5"/>
  <c r="B3096" i="5"/>
  <c r="C3077" i="5"/>
  <c r="B3077" i="5"/>
  <c r="C3076" i="5"/>
  <c r="B3076" i="5"/>
  <c r="C3201" i="5"/>
  <c r="B3201" i="5"/>
  <c r="C3044" i="5"/>
  <c r="B3044" i="5"/>
  <c r="B3065" i="5"/>
  <c r="C3065" i="5"/>
  <c r="B3066" i="5"/>
  <c r="C3066" i="5"/>
  <c r="B3067" i="5"/>
  <c r="C3067" i="5"/>
  <c r="B3068" i="5"/>
  <c r="C3068" i="5"/>
  <c r="B3069" i="5"/>
  <c r="C3069" i="5"/>
  <c r="B3070" i="5"/>
  <c r="C3070" i="5"/>
  <c r="C3192" i="5"/>
  <c r="B3192" i="5"/>
  <c r="C3190" i="5"/>
  <c r="B3190" i="5"/>
  <c r="C3189" i="5"/>
  <c r="B3189" i="5"/>
  <c r="C3238" i="5"/>
  <c r="B3238" i="5"/>
  <c r="C3187" i="5"/>
  <c r="B3187" i="5"/>
  <c r="C3186" i="5"/>
  <c r="B3186" i="5"/>
  <c r="C3181" i="5"/>
  <c r="B3181" i="5"/>
  <c r="C3195" i="5"/>
  <c r="B3195" i="5"/>
  <c r="C3198" i="5"/>
  <c r="B3198" i="5"/>
  <c r="C3199" i="5"/>
  <c r="B3199" i="5"/>
  <c r="C3184" i="5"/>
  <c r="B3184" i="5"/>
  <c r="C3180" i="5"/>
  <c r="B3180" i="5"/>
  <c r="C3172" i="5"/>
  <c r="B3172" i="5"/>
  <c r="C3215" i="5"/>
  <c r="B3215" i="5"/>
  <c r="C3171" i="5"/>
  <c r="B3171" i="5"/>
  <c r="C3183" i="5"/>
  <c r="B3183" i="5"/>
  <c r="B3059" i="5"/>
  <c r="C3059" i="5"/>
  <c r="B3060" i="5"/>
  <c r="C3060" i="5"/>
  <c r="B3061" i="5"/>
  <c r="C3061" i="5"/>
  <c r="B3062" i="5"/>
  <c r="C3062" i="5"/>
  <c r="B3063" i="5"/>
  <c r="C3063" i="5"/>
  <c r="B3053" i="5"/>
  <c r="C3053" i="5"/>
  <c r="B3054" i="5"/>
  <c r="C3054" i="5"/>
  <c r="B3055" i="5"/>
  <c r="C3055" i="5"/>
  <c r="B3056" i="5"/>
  <c r="C3056" i="5"/>
  <c r="B3057" i="5"/>
  <c r="C3057" i="5"/>
  <c r="B3051" i="5"/>
  <c r="C3051" i="5"/>
  <c r="B3052" i="5"/>
  <c r="C3052" i="5"/>
  <c r="B3193" i="5"/>
  <c r="C3193" i="5"/>
  <c r="B3217" i="5"/>
  <c r="C3217" i="5"/>
  <c r="B3357" i="5"/>
  <c r="C3357" i="5"/>
  <c r="B3358" i="5"/>
  <c r="C3358" i="5"/>
  <c r="B3359" i="5"/>
  <c r="C3359" i="5"/>
  <c r="B3360" i="5"/>
  <c r="C3360" i="5"/>
  <c r="B3361" i="5"/>
  <c r="C3361" i="5"/>
  <c r="B3362" i="5"/>
  <c r="C3362" i="5"/>
  <c r="B3363" i="5"/>
  <c r="C3363" i="5"/>
  <c r="B3364" i="5"/>
  <c r="C3364" i="5"/>
  <c r="B3365" i="5"/>
  <c r="C3365" i="5"/>
  <c r="B3366" i="5"/>
  <c r="C3366" i="5"/>
  <c r="B3050" i="5"/>
  <c r="C3050" i="5"/>
  <c r="B3048" i="5"/>
  <c r="C3048" i="5"/>
  <c r="K943" i="26"/>
  <c r="B51" i="34"/>
  <c r="B3031" i="5"/>
  <c r="C3031" i="5"/>
  <c r="K928" i="26"/>
  <c r="K929" i="26"/>
  <c r="C3021" i="5"/>
  <c r="B3021" i="5"/>
  <c r="C3004" i="5"/>
  <c r="B3004" i="5"/>
  <c r="C3196" i="5"/>
  <c r="B3196" i="5"/>
  <c r="C3216" i="5"/>
  <c r="B3216" i="5"/>
  <c r="C3038" i="5"/>
  <c r="B3038" i="5"/>
  <c r="C3032" i="5"/>
  <c r="B3032" i="5"/>
  <c r="B2990" i="5"/>
  <c r="C2990" i="5"/>
  <c r="B2991" i="5"/>
  <c r="C2991" i="5"/>
  <c r="B2992" i="5"/>
  <c r="C2992" i="5"/>
  <c r="B2993" i="5"/>
  <c r="C2993" i="5"/>
  <c r="B2994" i="5"/>
  <c r="C2994" i="5"/>
  <c r="B2970" i="5"/>
  <c r="C2970" i="5"/>
  <c r="B2971" i="5"/>
  <c r="C2971" i="5"/>
  <c r="B2967" i="5"/>
  <c r="C2967" i="5"/>
  <c r="B2968" i="5"/>
  <c r="C2968" i="5"/>
  <c r="B2964" i="5"/>
  <c r="C2964" i="5"/>
  <c r="B2965" i="5"/>
  <c r="C2965" i="5"/>
  <c r="B2961" i="5"/>
  <c r="C2961" i="5"/>
  <c r="B2962" i="5"/>
  <c r="C2962" i="5"/>
  <c r="B2958" i="5"/>
  <c r="C2958" i="5"/>
  <c r="B2959" i="5"/>
  <c r="C2959" i="5"/>
  <c r="B2945" i="5"/>
  <c r="C2945" i="5"/>
  <c r="B2946" i="5"/>
  <c r="C2946" i="5"/>
  <c r="B2947" i="5"/>
  <c r="C2947" i="5"/>
  <c r="B2948" i="5"/>
  <c r="C2948" i="5"/>
  <c r="B2949" i="5"/>
  <c r="C2949" i="5"/>
  <c r="B2950" i="5"/>
  <c r="C2950" i="5"/>
  <c r="B2951" i="5"/>
  <c r="C2951" i="5"/>
  <c r="B2952" i="5"/>
  <c r="C2952" i="5"/>
  <c r="B2953" i="5"/>
  <c r="C2953" i="5"/>
  <c r="B2954" i="5"/>
  <c r="C2954" i="5"/>
  <c r="B2955" i="5"/>
  <c r="C2955" i="5"/>
  <c r="B2935" i="5"/>
  <c r="C2935" i="5"/>
  <c r="B2936" i="5"/>
  <c r="C2936" i="5"/>
  <c r="B2937" i="5"/>
  <c r="C2937" i="5"/>
  <c r="B2938" i="5"/>
  <c r="C2938" i="5"/>
  <c r="B2939" i="5"/>
  <c r="C2939" i="5"/>
  <c r="B2931" i="5"/>
  <c r="C2931" i="5"/>
  <c r="B2932" i="5"/>
  <c r="C2932" i="5"/>
  <c r="B2933" i="5"/>
  <c r="C2933" i="5"/>
  <c r="B2928" i="5"/>
  <c r="C2928" i="5"/>
  <c r="B2929" i="5"/>
  <c r="C2929" i="5"/>
  <c r="C2924" i="5"/>
  <c r="B2924" i="5"/>
  <c r="B2926" i="5"/>
  <c r="C2926" i="5"/>
  <c r="B2922" i="5"/>
  <c r="C2922" i="5"/>
  <c r="B2923" i="5"/>
  <c r="C2923" i="5"/>
  <c r="B2972" i="5"/>
  <c r="C2972" i="5"/>
  <c r="B3011" i="5"/>
  <c r="C3011" i="5"/>
  <c r="B3012" i="5"/>
  <c r="C3012" i="5"/>
  <c r="B3014" i="5"/>
  <c r="C3014" i="5"/>
  <c r="B2973" i="5"/>
  <c r="C2973" i="5"/>
  <c r="B2974" i="5"/>
  <c r="C2974" i="5"/>
  <c r="B3203" i="5"/>
  <c r="C3203" i="5"/>
  <c r="B3356" i="5"/>
  <c r="C3356" i="5"/>
  <c r="B2919" i="5"/>
  <c r="C2919" i="5"/>
  <c r="B2920" i="5"/>
  <c r="C2920" i="5"/>
  <c r="B2975" i="5"/>
  <c r="C2975" i="5"/>
  <c r="B3008" i="5"/>
  <c r="C3008" i="5"/>
  <c r="B3006" i="5"/>
  <c r="C3006" i="5"/>
  <c r="B3009" i="5"/>
  <c r="C3009" i="5"/>
  <c r="B2977" i="5"/>
  <c r="C2977" i="5"/>
  <c r="B2978" i="5"/>
  <c r="C2978" i="5"/>
  <c r="B2979" i="5"/>
  <c r="C2979" i="5"/>
  <c r="B2980" i="5"/>
  <c r="C2980" i="5"/>
  <c r="B2983" i="5"/>
  <c r="C2983" i="5"/>
  <c r="B2984" i="5"/>
  <c r="C2984" i="5"/>
  <c r="B2985" i="5"/>
  <c r="C2985" i="5"/>
  <c r="B2986" i="5"/>
  <c r="C2986" i="5"/>
  <c r="B2914" i="5"/>
  <c r="C2914" i="5"/>
  <c r="B2910" i="5"/>
  <c r="C2910" i="5"/>
  <c r="B2911" i="5"/>
  <c r="C2911" i="5"/>
  <c r="B2912" i="5"/>
  <c r="C2912" i="5"/>
  <c r="B49" i="34"/>
  <c r="B2901" i="5"/>
  <c r="C2901" i="5"/>
  <c r="B2902" i="5"/>
  <c r="C2902" i="5"/>
  <c r="F17" i="34"/>
  <c r="B2888" i="5"/>
  <c r="C2888" i="5"/>
  <c r="B2889" i="5"/>
  <c r="C2889" i="5"/>
  <c r="C2886" i="5"/>
  <c r="C2887" i="5"/>
  <c r="B2877" i="5"/>
  <c r="C2877" i="5"/>
  <c r="B2878" i="5"/>
  <c r="C2878" i="5"/>
  <c r="C2874" i="5"/>
  <c r="C2875" i="5"/>
  <c r="B2870" i="5"/>
  <c r="C2870" i="5"/>
  <c r="B2871" i="5"/>
  <c r="C2871" i="5"/>
  <c r="B2872" i="5"/>
  <c r="C2872" i="5"/>
  <c r="C2868" i="5"/>
  <c r="C2869" i="5"/>
  <c r="B2859" i="5"/>
  <c r="C2859" i="5"/>
  <c r="B2860" i="5"/>
  <c r="C2860" i="5"/>
  <c r="B2861" i="5"/>
  <c r="C2861" i="5"/>
  <c r="B2862" i="5"/>
  <c r="C2862" i="5"/>
  <c r="B2863" i="5"/>
  <c r="C2863" i="5"/>
  <c r="B2864" i="5"/>
  <c r="C2864" i="5"/>
  <c r="B2865" i="5"/>
  <c r="C2865" i="5"/>
  <c r="B2852" i="5"/>
  <c r="C2852" i="5"/>
  <c r="B2853" i="5"/>
  <c r="C2853" i="5"/>
  <c r="B2854" i="5"/>
  <c r="C2854" i="5"/>
  <c r="B2855" i="5"/>
  <c r="C2855" i="5"/>
  <c r="B2856" i="5"/>
  <c r="C2856" i="5"/>
  <c r="B2857" i="5"/>
  <c r="C2857" i="5"/>
  <c r="B2858" i="5"/>
  <c r="C2858" i="5"/>
  <c r="B2847" i="5"/>
  <c r="C2847" i="5"/>
  <c r="B2848" i="5"/>
  <c r="C2848" i="5"/>
  <c r="B2849" i="5"/>
  <c r="C2849" i="5"/>
  <c r="B2850" i="5"/>
  <c r="C2850" i="5"/>
  <c r="B2843" i="5"/>
  <c r="C2843" i="5"/>
  <c r="C2842" i="5"/>
  <c r="B2842" i="5"/>
  <c r="C2841" i="5"/>
  <c r="B2841" i="5"/>
  <c r="B2837" i="5"/>
  <c r="C2837" i="5"/>
  <c r="B2838" i="5"/>
  <c r="C2838" i="5"/>
  <c r="B2839" i="5"/>
  <c r="C2839" i="5"/>
  <c r="B2830" i="5"/>
  <c r="C2830" i="5"/>
  <c r="B2831" i="5"/>
  <c r="C2831" i="5"/>
  <c r="B2832" i="5"/>
  <c r="C2832" i="5"/>
  <c r="B2833" i="5"/>
  <c r="C2833" i="5"/>
  <c r="B2834" i="5"/>
  <c r="C2834" i="5"/>
  <c r="B2835" i="5"/>
  <c r="C2835" i="5"/>
  <c r="B2827" i="5"/>
  <c r="C2827" i="5"/>
  <c r="B2816" i="5"/>
  <c r="C2816" i="5"/>
  <c r="B2817" i="5"/>
  <c r="C2817" i="5"/>
  <c r="B2818" i="5"/>
  <c r="C2818" i="5"/>
  <c r="B2819" i="5"/>
  <c r="C2819" i="5"/>
  <c r="B2820" i="5"/>
  <c r="C2820" i="5"/>
  <c r="B2821" i="5"/>
  <c r="C2821" i="5"/>
  <c r="B2822" i="5"/>
  <c r="C2822" i="5"/>
  <c r="B2823" i="5"/>
  <c r="C2823" i="5"/>
  <c r="B2824" i="5"/>
  <c r="C2824" i="5"/>
  <c r="B2825" i="5"/>
  <c r="C2825" i="5"/>
  <c r="B2826" i="5"/>
  <c r="C2826" i="5"/>
  <c r="B2810" i="5"/>
  <c r="C2810" i="5"/>
  <c r="B2811" i="5"/>
  <c r="C2811" i="5"/>
  <c r="B2812" i="5"/>
  <c r="C2812" i="5"/>
  <c r="B2813" i="5"/>
  <c r="C2813" i="5"/>
  <c r="B2814" i="5"/>
  <c r="C2814" i="5"/>
  <c r="B2800" i="5"/>
  <c r="C2800" i="5"/>
  <c r="B2801" i="5"/>
  <c r="C2801" i="5"/>
  <c r="B2802" i="5"/>
  <c r="C2802" i="5"/>
  <c r="B2803" i="5"/>
  <c r="C2803" i="5"/>
  <c r="B2797" i="5"/>
  <c r="C2797" i="5"/>
  <c r="B2798" i="5"/>
  <c r="C2798" i="5"/>
  <c r="B2796" i="5"/>
  <c r="C2796" i="5"/>
  <c r="C2880" i="5"/>
  <c r="B2880" i="5"/>
  <c r="C2793" i="5"/>
  <c r="B2793" i="5"/>
  <c r="C2792" i="5"/>
  <c r="B2792" i="5"/>
  <c r="C2791" i="5"/>
  <c r="B2791" i="5"/>
  <c r="C2790" i="5"/>
  <c r="B2790" i="5"/>
  <c r="C2789" i="5"/>
  <c r="B2789" i="5"/>
  <c r="C2884" i="5"/>
  <c r="B2884" i="5"/>
  <c r="C2883" i="5"/>
  <c r="B2883" i="5"/>
  <c r="C2808" i="5"/>
  <c r="B2808" i="5"/>
  <c r="C2807" i="5"/>
  <c r="B2807" i="5"/>
  <c r="C2806" i="5"/>
  <c r="B2806" i="5"/>
  <c r="C2805" i="5"/>
  <c r="B2805" i="5"/>
  <c r="C2881" i="5"/>
  <c r="B2881" i="5"/>
  <c r="K871" i="26"/>
  <c r="C2908" i="5"/>
  <c r="B2908" i="5"/>
  <c r="C2893" i="5"/>
  <c r="B2893" i="5"/>
  <c r="C2786" i="5"/>
  <c r="B2786" i="5"/>
  <c r="C2785" i="5"/>
  <c r="B2785" i="5"/>
  <c r="C2758" i="5"/>
  <c r="B2758" i="5"/>
  <c r="C2757" i="5"/>
  <c r="B2757" i="5"/>
  <c r="B2896" i="5"/>
  <c r="C2896" i="5"/>
  <c r="B2890" i="5"/>
  <c r="C2890" i="5"/>
  <c r="C2747" i="5"/>
  <c r="B2744" i="5"/>
  <c r="C2744" i="5"/>
  <c r="B2745" i="5"/>
  <c r="C2745" i="5"/>
  <c r="C2743" i="5"/>
  <c r="B2743" i="5"/>
  <c r="B2742" i="5"/>
  <c r="C2742" i="5"/>
  <c r="C2741" i="5"/>
  <c r="B2741" i="5"/>
  <c r="B2734" i="5"/>
  <c r="C2734" i="5"/>
  <c r="B2735" i="5"/>
  <c r="C2735" i="5"/>
  <c r="B2736" i="5"/>
  <c r="C2736" i="5"/>
  <c r="B2737" i="5"/>
  <c r="C2737" i="5"/>
  <c r="B2738" i="5"/>
  <c r="C2738" i="5"/>
  <c r="B2739" i="5"/>
  <c r="C2739" i="5"/>
  <c r="B2728" i="5"/>
  <c r="C2728" i="5"/>
  <c r="B2729" i="5"/>
  <c r="C2729" i="5"/>
  <c r="C2903" i="5"/>
  <c r="B2903" i="5"/>
  <c r="C2904" i="5"/>
  <c r="B2904" i="5"/>
  <c r="K850" i="26"/>
  <c r="K849" i="26"/>
  <c r="K848" i="26"/>
  <c r="K847" i="26"/>
  <c r="B2700" i="5"/>
  <c r="C2700" i="5"/>
  <c r="B2701" i="5"/>
  <c r="C2701" i="5"/>
  <c r="B2702" i="5"/>
  <c r="C2702" i="5"/>
  <c r="B2703" i="5"/>
  <c r="C2703" i="5"/>
  <c r="B2704" i="5"/>
  <c r="C2704" i="5"/>
  <c r="B2705" i="5"/>
  <c r="C2705" i="5"/>
  <c r="B2706" i="5"/>
  <c r="C2706" i="5"/>
  <c r="B2707" i="5"/>
  <c r="C2707" i="5"/>
  <c r="B2708" i="5"/>
  <c r="C2708" i="5"/>
  <c r="B2709" i="5"/>
  <c r="C2709" i="5"/>
  <c r="B2710" i="5"/>
  <c r="C2710" i="5"/>
  <c r="B2711" i="5"/>
  <c r="C2711" i="5"/>
  <c r="B2712" i="5"/>
  <c r="C2712" i="5"/>
  <c r="B2713" i="5"/>
  <c r="C2713" i="5"/>
  <c r="B2714" i="5"/>
  <c r="C2714" i="5"/>
  <c r="B2715" i="5"/>
  <c r="C2715" i="5"/>
  <c r="B2716" i="5"/>
  <c r="C2716" i="5"/>
  <c r="B2717" i="5"/>
  <c r="C2717" i="5"/>
  <c r="B2718" i="5"/>
  <c r="C2718" i="5"/>
  <c r="B2719" i="5"/>
  <c r="C2719" i="5"/>
  <c r="B2720" i="5"/>
  <c r="C2720" i="5"/>
  <c r="B2721" i="5"/>
  <c r="C2721" i="5"/>
  <c r="B2722" i="5"/>
  <c r="C2722" i="5"/>
  <c r="B2723" i="5"/>
  <c r="C2723" i="5"/>
  <c r="B2724" i="5"/>
  <c r="C2724" i="5"/>
  <c r="B2725" i="5"/>
  <c r="C2725" i="5"/>
  <c r="B2726" i="5"/>
  <c r="C2726" i="5"/>
  <c r="B2685" i="5"/>
  <c r="C2685" i="5"/>
  <c r="B2686" i="5"/>
  <c r="C2686" i="5"/>
  <c r="B2687" i="5"/>
  <c r="C2687" i="5"/>
  <c r="B2688" i="5"/>
  <c r="C2688" i="5"/>
  <c r="B2689" i="5"/>
  <c r="C2689" i="5"/>
  <c r="B2690" i="5"/>
  <c r="C2690" i="5"/>
  <c r="B2691" i="5"/>
  <c r="C2691" i="5"/>
  <c r="B2648" i="5"/>
  <c r="C2648" i="5"/>
  <c r="B2649" i="5"/>
  <c r="C2649" i="5"/>
  <c r="B2679" i="5"/>
  <c r="C2679" i="5"/>
  <c r="B2680" i="5"/>
  <c r="C2680" i="5"/>
  <c r="B2681" i="5"/>
  <c r="C2681" i="5"/>
  <c r="B2682" i="5"/>
  <c r="C2682" i="5"/>
  <c r="B2683" i="5"/>
  <c r="C2683" i="5"/>
  <c r="B2673" i="5"/>
  <c r="C2673" i="5"/>
  <c r="B2674" i="5"/>
  <c r="C2674" i="5"/>
  <c r="B2675" i="5"/>
  <c r="C2675" i="5"/>
  <c r="B2676" i="5"/>
  <c r="C2676" i="5"/>
  <c r="B2662" i="5"/>
  <c r="C2662" i="5"/>
  <c r="B2663" i="5"/>
  <c r="C2663" i="5"/>
  <c r="B2664" i="5"/>
  <c r="C2664" i="5"/>
  <c r="B2665" i="5"/>
  <c r="C2665" i="5"/>
  <c r="B2666" i="5"/>
  <c r="C2666" i="5"/>
  <c r="B2658" i="5"/>
  <c r="C2658" i="5"/>
  <c r="B2659" i="5"/>
  <c r="C2659" i="5"/>
  <c r="B2660" i="5"/>
  <c r="C2660" i="5"/>
  <c r="B2661" i="5"/>
  <c r="C2661" i="5"/>
  <c r="B2759" i="5"/>
  <c r="C2759" i="5"/>
  <c r="B2760" i="5"/>
  <c r="C2760" i="5"/>
  <c r="B2761" i="5"/>
  <c r="C2761" i="5"/>
  <c r="B2762" i="5"/>
  <c r="C2762" i="5"/>
  <c r="B2763" i="5"/>
  <c r="C2763" i="5"/>
  <c r="B2765" i="5"/>
  <c r="C2765" i="5"/>
  <c r="B2766" i="5"/>
  <c r="C2766" i="5"/>
  <c r="B2767" i="5"/>
  <c r="C2767" i="5"/>
  <c r="B2768" i="5"/>
  <c r="C2768" i="5"/>
  <c r="B2769" i="5"/>
  <c r="C2769" i="5"/>
  <c r="B2772" i="5"/>
  <c r="C2772" i="5"/>
  <c r="B2773" i="5"/>
  <c r="C2773" i="5"/>
  <c r="C2775" i="5"/>
  <c r="C2776" i="5"/>
  <c r="C2777" i="5"/>
  <c r="C2778" i="5"/>
  <c r="B2780" i="5"/>
  <c r="C2780" i="5"/>
  <c r="B2781" i="5"/>
  <c r="C2781" i="5"/>
  <c r="B2782" i="5"/>
  <c r="C2782" i="5"/>
  <c r="B2783" i="5"/>
  <c r="C2783" i="5"/>
  <c r="B2784" i="5"/>
  <c r="C2784" i="5"/>
  <c r="B2895" i="5"/>
  <c r="C2895" i="5"/>
  <c r="B3367" i="5"/>
  <c r="C3367" i="5"/>
  <c r="B3368" i="5"/>
  <c r="C3368" i="5"/>
  <c r="B3369" i="5"/>
  <c r="C3369" i="5"/>
  <c r="B3370" i="5"/>
  <c r="C3370" i="5"/>
  <c r="B3371" i="5"/>
  <c r="C3371" i="5"/>
  <c r="B3372" i="5"/>
  <c r="C3372" i="5"/>
  <c r="B3373" i="5"/>
  <c r="C3373" i="5"/>
  <c r="B3374" i="5"/>
  <c r="C3374" i="5"/>
  <c r="B3375" i="5"/>
  <c r="C3375" i="5"/>
  <c r="B3376" i="5"/>
  <c r="C3376" i="5"/>
  <c r="B3377" i="5"/>
  <c r="C3377" i="5"/>
  <c r="B3378" i="5"/>
  <c r="C3378" i="5"/>
  <c r="B3379" i="5"/>
  <c r="C3379" i="5"/>
  <c r="B3380" i="5"/>
  <c r="C3380" i="5"/>
  <c r="B3381" i="5"/>
  <c r="C3381" i="5"/>
  <c r="B3015" i="5"/>
  <c r="C3015" i="5"/>
  <c r="B3017" i="5"/>
  <c r="C3017" i="5"/>
  <c r="B2998" i="5"/>
  <c r="C2998" i="5"/>
  <c r="B2999" i="5"/>
  <c r="C2999" i="5"/>
  <c r="B3000" i="5"/>
  <c r="C3000" i="5"/>
  <c r="B3001" i="5"/>
  <c r="C3001" i="5"/>
  <c r="B3002" i="5"/>
  <c r="C3002" i="5"/>
  <c r="B3022" i="5"/>
  <c r="C3022" i="5"/>
  <c r="B3036" i="5"/>
  <c r="C3036" i="5"/>
  <c r="B3023" i="5"/>
  <c r="C3023" i="5"/>
  <c r="B3025" i="5"/>
  <c r="C3025" i="5"/>
  <c r="B3026" i="5"/>
  <c r="C3026" i="5"/>
  <c r="B3027" i="5"/>
  <c r="C3027" i="5"/>
  <c r="B3028" i="5"/>
  <c r="C3028" i="5"/>
  <c r="B3029" i="5"/>
  <c r="C3029" i="5"/>
  <c r="B3030" i="5"/>
  <c r="C3030" i="5"/>
  <c r="B3018" i="5"/>
  <c r="C3018" i="5"/>
  <c r="B3033" i="5"/>
  <c r="C3033" i="5"/>
  <c r="B3039" i="5"/>
  <c r="C3039" i="5"/>
  <c r="B3020" i="5"/>
  <c r="C3020" i="5"/>
  <c r="B3034" i="5"/>
  <c r="C3034" i="5"/>
  <c r="B3035" i="5"/>
  <c r="C3035" i="5"/>
  <c r="B3037" i="5"/>
  <c r="C3037" i="5"/>
  <c r="B3040" i="5"/>
  <c r="C3040" i="5"/>
  <c r="B3041" i="5"/>
  <c r="C3041" i="5"/>
  <c r="B2668" i="5"/>
  <c r="C2668" i="5"/>
  <c r="B2669" i="5"/>
  <c r="C2669" i="5"/>
  <c r="B2670" i="5"/>
  <c r="C2670" i="5"/>
  <c r="B2671" i="5"/>
  <c r="C2671" i="5"/>
  <c r="B2898" i="5"/>
  <c r="C2898" i="5"/>
  <c r="B2892" i="5"/>
  <c r="C2892" i="5"/>
  <c r="C2694" i="5"/>
  <c r="B2907" i="5"/>
  <c r="C2907" i="5"/>
  <c r="B2628" i="5"/>
  <c r="C2628" i="5"/>
  <c r="B2629" i="5"/>
  <c r="C2629" i="5"/>
  <c r="B2650" i="5"/>
  <c r="C2650" i="5"/>
  <c r="B2651" i="5"/>
  <c r="C2651" i="5"/>
  <c r="B2652" i="5"/>
  <c r="C2652" i="5"/>
  <c r="B2642" i="5"/>
  <c r="C2642" i="5"/>
  <c r="B2643" i="5"/>
  <c r="C2643" i="5"/>
  <c r="B2644" i="5"/>
  <c r="C2644" i="5"/>
  <c r="B2645" i="5"/>
  <c r="C2645" i="5"/>
  <c r="B2646" i="5"/>
  <c r="C2646" i="5"/>
  <c r="B2647" i="5"/>
  <c r="C2647" i="5"/>
  <c r="B2638" i="5"/>
  <c r="C2638" i="5"/>
  <c r="B2639" i="5"/>
  <c r="C2639" i="5"/>
  <c r="B2640" i="5"/>
  <c r="C2640" i="5"/>
  <c r="B2641" i="5"/>
  <c r="C2641" i="5"/>
  <c r="C2635" i="5"/>
  <c r="B2635" i="5"/>
  <c r="B2632" i="5"/>
  <c r="C2632" i="5"/>
  <c r="B2633" i="5"/>
  <c r="C2633" i="5"/>
  <c r="B2634" i="5"/>
  <c r="C2634" i="5"/>
  <c r="C2636" i="5"/>
  <c r="C2637" i="5"/>
  <c r="B2636" i="5"/>
  <c r="C2619" i="5"/>
  <c r="B2619" i="5"/>
  <c r="B2621" i="5"/>
  <c r="C2621" i="5"/>
  <c r="B2622" i="5"/>
  <c r="C2622" i="5"/>
  <c r="B2623" i="5"/>
  <c r="C2623" i="5"/>
  <c r="B71" i="34"/>
  <c r="C32" i="34"/>
  <c r="C33" i="34" s="1"/>
  <c r="C34" i="34" s="1"/>
  <c r="C35" i="34" s="1"/>
  <c r="C36" i="34" s="1"/>
  <c r="F21" i="34"/>
  <c r="E21" i="34"/>
  <c r="F20" i="34"/>
  <c r="E20" i="34"/>
  <c r="F19" i="34"/>
  <c r="E19" i="34"/>
  <c r="F18" i="34"/>
  <c r="E18" i="34"/>
  <c r="E17" i="34"/>
  <c r="G14" i="34"/>
  <c r="C14" i="34"/>
  <c r="G13" i="34"/>
  <c r="C13" i="34"/>
  <c r="G12" i="34"/>
  <c r="G11" i="34"/>
  <c r="G10" i="34"/>
  <c r="G9" i="34"/>
  <c r="G8" i="34"/>
  <c r="G7" i="34"/>
  <c r="G6" i="34"/>
  <c r="G5" i="34"/>
  <c r="G4" i="34"/>
  <c r="G3" i="34"/>
  <c r="C2618" i="5"/>
  <c r="B2618" i="5"/>
  <c r="B2612" i="5"/>
  <c r="C2612" i="5"/>
  <c r="B2613" i="5"/>
  <c r="C2613" i="5"/>
  <c r="B2615" i="5"/>
  <c r="C2615" i="5"/>
  <c r="B2616" i="5"/>
  <c r="C2616" i="5"/>
  <c r="B2617" i="5"/>
  <c r="C2617" i="5"/>
  <c r="C2610" i="5"/>
  <c r="B2610" i="5"/>
  <c r="C2609" i="5"/>
  <c r="B2609" i="5"/>
  <c r="C2608" i="5"/>
  <c r="B2608" i="5"/>
  <c r="C2607" i="5"/>
  <c r="B2607" i="5"/>
  <c r="B2601" i="5"/>
  <c r="C2601" i="5"/>
  <c r="B2602" i="5"/>
  <c r="C2602" i="5"/>
  <c r="B2603" i="5"/>
  <c r="C2603" i="5"/>
  <c r="B2604" i="5"/>
  <c r="C2604" i="5"/>
  <c r="B2600" i="5"/>
  <c r="C2600" i="5"/>
  <c r="B2597" i="5"/>
  <c r="C2597" i="5"/>
  <c r="B2598" i="5"/>
  <c r="C2598" i="5"/>
  <c r="B2599" i="5"/>
  <c r="C2599" i="5"/>
  <c r="C2368" i="5"/>
  <c r="B2368" i="5"/>
  <c r="B2562" i="5"/>
  <c r="C2562" i="5"/>
  <c r="B2563" i="5"/>
  <c r="C2563" i="5"/>
  <c r="B2564" i="5"/>
  <c r="C2564" i="5"/>
  <c r="B2565" i="5"/>
  <c r="C2565" i="5"/>
  <c r="B2566" i="5"/>
  <c r="C2566" i="5"/>
  <c r="B2567" i="5"/>
  <c r="C2567" i="5"/>
  <c r="B2568" i="5"/>
  <c r="C2568" i="5"/>
  <c r="B2569" i="5"/>
  <c r="C2569" i="5"/>
  <c r="B2571" i="5"/>
  <c r="C2571" i="5"/>
  <c r="B2577" i="5"/>
  <c r="C2577" i="5"/>
  <c r="B2558" i="5"/>
  <c r="C2558" i="5"/>
  <c r="B2554" i="5"/>
  <c r="C2554" i="5"/>
  <c r="B2555" i="5"/>
  <c r="C2555" i="5"/>
  <c r="B2549" i="5"/>
  <c r="C2549" i="5"/>
  <c r="G20" i="34" l="1"/>
  <c r="G19" i="34"/>
  <c r="G17" i="34"/>
  <c r="C37" i="34"/>
  <c r="C38" i="34" s="1"/>
  <c r="C39" i="34" s="1"/>
  <c r="C40" i="34" s="1"/>
  <c r="C41" i="34" s="1"/>
  <c r="C42" i="34" s="1"/>
  <c r="C43" i="34" s="1"/>
  <c r="B44" i="34"/>
  <c r="G18" i="34"/>
  <c r="G21" i="34"/>
  <c r="B61" i="34"/>
  <c r="B53" i="34"/>
  <c r="C53" i="34" s="1"/>
  <c r="C49" i="34"/>
  <c r="C50" i="34" s="1"/>
  <c r="C51" i="34" s="1"/>
  <c r="C52" i="34" s="1"/>
  <c r="B2547" i="5"/>
  <c r="C2547" i="5"/>
  <c r="C2626" i="5"/>
  <c r="B2626" i="5"/>
  <c r="C2627" i="5"/>
  <c r="B2627" i="5"/>
  <c r="C2572" i="5"/>
  <c r="B2572" i="5"/>
  <c r="C2631" i="5"/>
  <c r="B2631" i="5"/>
  <c r="C2595" i="5"/>
  <c r="B2595" i="5"/>
  <c r="C2594" i="5"/>
  <c r="B2594" i="5"/>
  <c r="C2592" i="5"/>
  <c r="B2592" i="5"/>
  <c r="B2637" i="5"/>
  <c r="B2543" i="5"/>
  <c r="C2543" i="5"/>
  <c r="B2544" i="5"/>
  <c r="C2544" i="5"/>
  <c r="B2545" i="5"/>
  <c r="C2545" i="5"/>
  <c r="B2538" i="5"/>
  <c r="C2538" i="5"/>
  <c r="B2539" i="5"/>
  <c r="C2539" i="5"/>
  <c r="B2540" i="5"/>
  <c r="C2540" i="5"/>
  <c r="B2541" i="5"/>
  <c r="C2541" i="5"/>
  <c r="B2542" i="5"/>
  <c r="C2542" i="5"/>
  <c r="B2532" i="5"/>
  <c r="C2532" i="5"/>
  <c r="B2533" i="5"/>
  <c r="C2533" i="5"/>
  <c r="B2534" i="5"/>
  <c r="C2534" i="5"/>
  <c r="B2535" i="5"/>
  <c r="C2535" i="5"/>
  <c r="B2536" i="5"/>
  <c r="C2536" i="5"/>
  <c r="B2523" i="5"/>
  <c r="C2523" i="5"/>
  <c r="B2524" i="5"/>
  <c r="C2524" i="5"/>
  <c r="B2525" i="5"/>
  <c r="C2525" i="5"/>
  <c r="B2526" i="5"/>
  <c r="C2526" i="5"/>
  <c r="C2522" i="5"/>
  <c r="B2522" i="5"/>
  <c r="B2518" i="5"/>
  <c r="C2518" i="5"/>
  <c r="B2519" i="5"/>
  <c r="C2519" i="5"/>
  <c r="B2520" i="5"/>
  <c r="C2520" i="5"/>
  <c r="B2512" i="5"/>
  <c r="C2512" i="5"/>
  <c r="B2513" i="5"/>
  <c r="C2513" i="5"/>
  <c r="G38" i="34" l="1"/>
  <c r="C44" i="34"/>
  <c r="G41" i="34" s="1"/>
  <c r="B2496" i="5"/>
  <c r="C2496" i="5"/>
  <c r="B2497" i="5"/>
  <c r="C2497" i="5"/>
  <c r="B2498" i="5"/>
  <c r="C2498" i="5"/>
  <c r="B2499" i="5"/>
  <c r="C2499" i="5"/>
  <c r="B2474" i="5"/>
  <c r="B2475" i="5"/>
  <c r="B2476" i="5"/>
  <c r="K784" i="26" l="1"/>
  <c r="B2478" i="5"/>
  <c r="C2478" i="5"/>
  <c r="B2479" i="5"/>
  <c r="C2479" i="5"/>
  <c r="B2480" i="5"/>
  <c r="C2480" i="5"/>
  <c r="K783" i="26"/>
  <c r="B1921" i="5"/>
  <c r="C2471" i="5" l="1"/>
  <c r="C2472" i="5"/>
  <c r="B2472" i="5" l="1"/>
  <c r="B2471" i="5"/>
  <c r="C2468" i="5"/>
  <c r="B2468" i="5"/>
  <c r="C2466" i="5" l="1"/>
  <c r="B2466" i="5"/>
  <c r="C2465" i="5"/>
  <c r="B2465" i="5"/>
  <c r="C2528" i="5"/>
  <c r="B2528" i="5"/>
  <c r="C2459" i="5"/>
  <c r="B2459" i="5"/>
  <c r="C2581" i="5"/>
  <c r="B2581" i="5"/>
  <c r="C2456" i="5" l="1"/>
  <c r="B2456" i="5"/>
  <c r="B2448" i="5"/>
  <c r="C2448" i="5"/>
  <c r="B2449" i="5"/>
  <c r="C2449" i="5"/>
  <c r="B2450" i="5"/>
  <c r="C2450" i="5"/>
  <c r="B2451" i="5"/>
  <c r="C2451" i="5"/>
  <c r="C2446" i="5"/>
  <c r="B2446" i="5"/>
  <c r="C2445" i="5"/>
  <c r="B2445" i="5"/>
  <c r="C2436" i="5"/>
  <c r="B2436" i="5"/>
  <c r="C2447" i="5"/>
  <c r="B2447" i="5"/>
  <c r="B2441" i="5"/>
  <c r="C2441" i="5"/>
  <c r="B2442" i="5"/>
  <c r="C2442" i="5"/>
  <c r="B2443" i="5"/>
  <c r="C2443" i="5"/>
  <c r="B2444" i="5"/>
  <c r="C2444" i="5"/>
  <c r="C2440" i="5"/>
  <c r="B2440" i="5"/>
  <c r="B2437" i="5"/>
  <c r="C2437" i="5"/>
  <c r="B2438" i="5"/>
  <c r="C2438" i="5"/>
  <c r="B2439" i="5"/>
  <c r="C2439" i="5"/>
  <c r="B2433" i="5"/>
  <c r="C2433" i="5"/>
  <c r="B2434" i="5"/>
  <c r="C2434" i="5"/>
  <c r="B2435" i="5"/>
  <c r="C2435" i="5"/>
  <c r="B2427" i="5"/>
  <c r="C2427" i="5"/>
  <c r="B2428" i="5"/>
  <c r="C2428" i="5"/>
  <c r="B2429" i="5"/>
  <c r="C2429" i="5"/>
  <c r="B2421" i="5"/>
  <c r="C2421" i="5"/>
  <c r="B2422" i="5"/>
  <c r="C2422" i="5"/>
  <c r="B2423" i="5"/>
  <c r="C2423" i="5"/>
  <c r="B2424" i="5"/>
  <c r="C2424" i="5"/>
  <c r="B2425" i="5"/>
  <c r="C2425" i="5"/>
  <c r="B2416" i="5"/>
  <c r="C2416" i="5"/>
  <c r="B2417" i="5"/>
  <c r="C2417" i="5"/>
  <c r="B2418" i="5"/>
  <c r="C2418" i="5"/>
  <c r="B2419" i="5"/>
  <c r="C2419" i="5"/>
  <c r="B2413" i="5"/>
  <c r="C2413" i="5"/>
  <c r="B2414" i="5"/>
  <c r="C2414" i="5"/>
  <c r="B2378" i="5"/>
  <c r="C2378" i="5"/>
  <c r="B2379" i="5"/>
  <c r="C2379" i="5"/>
  <c r="B2380" i="5"/>
  <c r="C2380" i="5"/>
  <c r="B2381" i="5"/>
  <c r="C2381" i="5"/>
  <c r="B2382" i="5"/>
  <c r="C2382" i="5"/>
  <c r="B2383" i="5"/>
  <c r="C2383" i="5"/>
  <c r="C2377" i="5"/>
  <c r="B2377" i="5"/>
  <c r="C2393" i="5"/>
  <c r="B2393" i="5"/>
  <c r="C2453" i="5"/>
  <c r="B2453" i="5"/>
  <c r="L2364" i="34" l="1"/>
  <c r="B43" i="25" l="1"/>
  <c r="B2402" i="5" l="1"/>
  <c r="C2402" i="5"/>
  <c r="B2403" i="5"/>
  <c r="C2403" i="5"/>
  <c r="B2401" i="5"/>
  <c r="C2401" i="5"/>
  <c r="B2398" i="5"/>
  <c r="C2398" i="5"/>
  <c r="B2399" i="5"/>
  <c r="C2399" i="5"/>
  <c r="B2394" i="5"/>
  <c r="C2394" i="5"/>
  <c r="B2395" i="5"/>
  <c r="C2395" i="5"/>
  <c r="B2405" i="5"/>
  <c r="C2405" i="5"/>
  <c r="B2406" i="5"/>
  <c r="C2406" i="5"/>
  <c r="B2391" i="5"/>
  <c r="C2391" i="5"/>
  <c r="B2515" i="5"/>
  <c r="C2515" i="5"/>
  <c r="B2407" i="5"/>
  <c r="C2407" i="5"/>
  <c r="B2426" i="5"/>
  <c r="C2426" i="5"/>
  <c r="B2463" i="5"/>
  <c r="C2463" i="5"/>
  <c r="B2461" i="5"/>
  <c r="C2461" i="5"/>
  <c r="B2529" i="5"/>
  <c r="C2529" i="5"/>
  <c r="B2530" i="5"/>
  <c r="C2530" i="5"/>
  <c r="B2579" i="5"/>
  <c r="C2579" i="5"/>
  <c r="B2580" i="5"/>
  <c r="C2580" i="5"/>
  <c r="B2582" i="5"/>
  <c r="C2582" i="5"/>
  <c r="B2731" i="5"/>
  <c r="C2731" i="5"/>
  <c r="B2732" i="5"/>
  <c r="C2732" i="5"/>
  <c r="B2477" i="5"/>
  <c r="C2477" i="5"/>
  <c r="B2501" i="5"/>
  <c r="C2501" i="5"/>
  <c r="B2502" i="5"/>
  <c r="C2502" i="5"/>
  <c r="B2503" i="5"/>
  <c r="C2503" i="5"/>
  <c r="B2482" i="5"/>
  <c r="C2482" i="5"/>
  <c r="B2483" i="5"/>
  <c r="C2483" i="5"/>
  <c r="B2485" i="5"/>
  <c r="C2485" i="5"/>
  <c r="B2486" i="5"/>
  <c r="C2486" i="5"/>
  <c r="B2488" i="5"/>
  <c r="C2488" i="5"/>
  <c r="B2489" i="5"/>
  <c r="C2489" i="5"/>
  <c r="B2491" i="5"/>
  <c r="C2491" i="5"/>
  <c r="B2492" i="5"/>
  <c r="C2492" i="5"/>
  <c r="B2494" i="5"/>
  <c r="C2494" i="5"/>
  <c r="B2899" i="5"/>
  <c r="C2899" i="5"/>
  <c r="B2574" i="5"/>
  <c r="C2574" i="5"/>
  <c r="B2575" i="5"/>
  <c r="C2575" i="5"/>
  <c r="B2576" i="5"/>
  <c r="C2576" i="5"/>
  <c r="B2591" i="5"/>
  <c r="C2591" i="5"/>
  <c r="B2584" i="5"/>
  <c r="C2584" i="5"/>
  <c r="B2585" i="5"/>
  <c r="C2585" i="5"/>
  <c r="B2586" i="5"/>
  <c r="C2586" i="5"/>
  <c r="B2587" i="5"/>
  <c r="C2587" i="5"/>
  <c r="B2588" i="5"/>
  <c r="C2588" i="5"/>
  <c r="B2375" i="5"/>
  <c r="C2375" i="5"/>
  <c r="B2655" i="5"/>
  <c r="C2655" i="5"/>
  <c r="B2656" i="5"/>
  <c r="C2656" i="5"/>
  <c r="B2527" i="5"/>
  <c r="C2527" i="5"/>
  <c r="B2385" i="5"/>
  <c r="C2385" i="5"/>
  <c r="B2386" i="5"/>
  <c r="C2386" i="5"/>
  <c r="B2387" i="5"/>
  <c r="C2387" i="5"/>
  <c r="B2388" i="5"/>
  <c r="C2388" i="5"/>
  <c r="B2454" i="5"/>
  <c r="C2454" i="5"/>
  <c r="B2455" i="5"/>
  <c r="C2455" i="5"/>
  <c r="B2516" i="5"/>
  <c r="C2516" i="5"/>
  <c r="B2517" i="5"/>
  <c r="C2517" i="5"/>
  <c r="B2372" i="5"/>
  <c r="C2372" i="5"/>
  <c r="B2373" i="5"/>
  <c r="C2373" i="5"/>
  <c r="B2374" i="5"/>
  <c r="C2374" i="5"/>
  <c r="C2369" i="5" l="1"/>
  <c r="B2369" i="5"/>
  <c r="K743" i="26"/>
  <c r="C2366" i="5"/>
  <c r="B2366" i="5"/>
  <c r="B2360" i="5"/>
  <c r="C2360" i="5"/>
  <c r="B2361" i="5"/>
  <c r="C2361" i="5"/>
  <c r="B2357" i="5"/>
  <c r="C2357" i="5"/>
  <c r="B2358" i="5"/>
  <c r="C2358" i="5"/>
  <c r="B2344" i="5"/>
  <c r="C2344" i="5"/>
  <c r="E9" i="8" l="1"/>
  <c r="G14" i="25"/>
  <c r="C14" i="25"/>
  <c r="G13" i="25"/>
  <c r="C13" i="25"/>
  <c r="C2352" i="5"/>
  <c r="B2352" i="5"/>
  <c r="C2350" i="5"/>
  <c r="B2350" i="5"/>
  <c r="C2349" i="5"/>
  <c r="B2349" i="5"/>
  <c r="C2348" i="5"/>
  <c r="B2348" i="5"/>
  <c r="C2355" i="5"/>
  <c r="B2355" i="5"/>
  <c r="C2354" i="5"/>
  <c r="B2354" i="5"/>
  <c r="C2340" i="5"/>
  <c r="B2340" i="5"/>
  <c r="C2339" i="5"/>
  <c r="B2339" i="5"/>
  <c r="B2334" i="5"/>
  <c r="C2334" i="5"/>
  <c r="B2335" i="5"/>
  <c r="C2335" i="5"/>
  <c r="B2336" i="5"/>
  <c r="C2336" i="5"/>
  <c r="B2337" i="5"/>
  <c r="C2337" i="5"/>
  <c r="B2318" i="5" l="1"/>
  <c r="C2318" i="5"/>
  <c r="B2319" i="5"/>
  <c r="C2319" i="5"/>
  <c r="B2314" i="5"/>
  <c r="C2314" i="5"/>
  <c r="B2315" i="5"/>
  <c r="C2315" i="5"/>
  <c r="B2316" i="5"/>
  <c r="C2316" i="5"/>
  <c r="B2310" i="5"/>
  <c r="C2310" i="5"/>
  <c r="B2311" i="5"/>
  <c r="C2311" i="5"/>
  <c r="B2312" i="5"/>
  <c r="C2312" i="5"/>
  <c r="B2296" i="5"/>
  <c r="C2296" i="5"/>
  <c r="B2297" i="5"/>
  <c r="C2297" i="5"/>
  <c r="B2298" i="5"/>
  <c r="C2298" i="5"/>
  <c r="B2299" i="5"/>
  <c r="C2299" i="5"/>
  <c r="B2300" i="5"/>
  <c r="C2300" i="5"/>
  <c r="C2271" i="5"/>
  <c r="B2271" i="5"/>
  <c r="B2266" i="5" l="1"/>
  <c r="C2266" i="5"/>
  <c r="B2267" i="5"/>
  <c r="C2267" i="5"/>
  <c r="B2268" i="5"/>
  <c r="C2268" i="5"/>
  <c r="B2270" i="5"/>
  <c r="C2270" i="5"/>
  <c r="B52" i="25" l="1"/>
  <c r="B2264" i="5"/>
  <c r="C2264" i="5"/>
  <c r="B2265" i="5"/>
  <c r="C2265" i="5"/>
  <c r="C2263" i="5"/>
  <c r="B2263" i="5"/>
  <c r="C2261" i="5"/>
  <c r="B2261" i="5"/>
  <c r="C2262" i="5"/>
  <c r="B2262" i="5"/>
  <c r="C2260" i="5"/>
  <c r="B2260" i="5"/>
  <c r="C2259" i="5"/>
  <c r="B2259" i="5"/>
  <c r="C2258" i="5"/>
  <c r="B2258" i="5"/>
  <c r="B2282" i="5"/>
  <c r="C2282" i="5"/>
  <c r="B2283" i="5"/>
  <c r="C2283" i="5"/>
  <c r="B2284" i="5"/>
  <c r="C2284" i="5"/>
  <c r="B2285" i="5"/>
  <c r="C2285" i="5"/>
  <c r="B2278" i="5"/>
  <c r="C2278" i="5"/>
  <c r="B2279" i="5"/>
  <c r="C2279" i="5"/>
  <c r="B2280" i="5"/>
  <c r="C2280" i="5"/>
  <c r="B2281" i="5"/>
  <c r="C2281" i="5"/>
  <c r="B2273" i="5"/>
  <c r="C2273" i="5"/>
  <c r="B2274" i="5"/>
  <c r="C2274" i="5"/>
  <c r="B2275" i="5"/>
  <c r="C2275" i="5"/>
  <c r="B2276" i="5"/>
  <c r="C2276" i="5"/>
  <c r="C2247" i="5" l="1"/>
  <c r="B2247" i="5"/>
  <c r="B2243" i="5" l="1"/>
  <c r="C2243" i="5"/>
  <c r="B2244" i="5"/>
  <c r="C2244" i="5"/>
  <c r="C2239" i="5"/>
  <c r="B2239" i="5"/>
  <c r="C2238" i="5"/>
  <c r="B2238" i="5"/>
  <c r="E11" i="8" l="1"/>
  <c r="E12" i="8"/>
  <c r="E13" i="8"/>
  <c r="E10" i="8"/>
  <c r="C11" i="25" l="1"/>
  <c r="C2221" i="5"/>
  <c r="B2221" i="5"/>
  <c r="C2219" i="5"/>
  <c r="B2219" i="5"/>
  <c r="C2197" i="5" l="1"/>
  <c r="B51" i="25" l="1"/>
  <c r="B2170" i="5" l="1"/>
  <c r="C2170" i="5"/>
  <c r="B2171" i="5"/>
  <c r="C2171" i="5"/>
  <c r="B2172" i="5"/>
  <c r="C2172" i="5"/>
  <c r="B2173" i="5"/>
  <c r="C2173" i="5"/>
  <c r="B2161" i="5"/>
  <c r="C2161" i="5"/>
  <c r="B2162" i="5"/>
  <c r="C2162" i="5"/>
  <c r="C2160" i="5"/>
  <c r="B2160" i="5"/>
  <c r="B2150" i="5"/>
  <c r="C2150" i="5"/>
  <c r="B2151" i="5"/>
  <c r="C2151" i="5"/>
  <c r="B2152" i="5"/>
  <c r="C2152" i="5"/>
  <c r="B2153" i="5"/>
  <c r="C2153" i="5"/>
  <c r="B2154" i="5"/>
  <c r="C2154" i="5"/>
  <c r="B2155" i="5"/>
  <c r="C2155" i="5"/>
  <c r="C2108" i="5"/>
  <c r="B2134" i="5" l="1"/>
  <c r="C2134" i="5"/>
  <c r="B2135" i="5"/>
  <c r="C2135" i="5"/>
  <c r="B2136" i="5"/>
  <c r="C2136" i="5"/>
  <c r="B2137" i="5"/>
  <c r="C2137" i="5"/>
  <c r="B2138" i="5"/>
  <c r="C2138" i="5"/>
  <c r="B2139" i="5"/>
  <c r="C2139" i="5"/>
  <c r="B2140" i="5"/>
  <c r="C2140" i="5"/>
  <c r="B2141" i="5"/>
  <c r="C2141" i="5"/>
  <c r="B2142" i="5"/>
  <c r="C2142" i="5"/>
  <c r="B2143" i="5"/>
  <c r="C2143" i="5"/>
  <c r="B2144" i="5"/>
  <c r="C2144" i="5"/>
  <c r="B2145" i="5"/>
  <c r="C2145" i="5"/>
  <c r="C2111" i="5" l="1"/>
  <c r="B2111" i="5"/>
  <c r="B2156" i="5"/>
  <c r="C2156" i="5"/>
  <c r="B2157" i="5"/>
  <c r="C2157" i="5"/>
  <c r="B2158" i="5"/>
  <c r="C2158" i="5"/>
  <c r="B2159" i="5"/>
  <c r="C2159" i="5"/>
  <c r="B2168" i="5"/>
  <c r="C2168" i="5"/>
  <c r="B2169" i="5"/>
  <c r="C2169" i="5"/>
  <c r="B2110" i="5"/>
  <c r="C2110" i="5"/>
  <c r="B2116" i="5"/>
  <c r="C2116" i="5"/>
  <c r="B2117" i="5"/>
  <c r="C2117" i="5"/>
  <c r="B2119" i="5"/>
  <c r="C2119" i="5"/>
  <c r="B2128" i="5"/>
  <c r="C2128" i="5"/>
  <c r="B2120" i="5"/>
  <c r="C2120" i="5"/>
  <c r="B2122" i="5"/>
  <c r="C2122" i="5"/>
  <c r="B2123" i="5"/>
  <c r="C2123" i="5"/>
  <c r="K636" i="26"/>
  <c r="C2095" i="5"/>
  <c r="B2095" i="5"/>
  <c r="C2093" i="5"/>
  <c r="B2093" i="5"/>
  <c r="B2165" i="5"/>
  <c r="B2082" i="5"/>
  <c r="B2083" i="5"/>
  <c r="B2084" i="5"/>
  <c r="B2085" i="5"/>
  <c r="B2086" i="5"/>
  <c r="B2087" i="5"/>
  <c r="B2088" i="5"/>
  <c r="B2089" i="5"/>
  <c r="B2090" i="5"/>
  <c r="B2091" i="5"/>
  <c r="B2127" i="5"/>
  <c r="B2125" i="5"/>
  <c r="B2132" i="5"/>
  <c r="B2179" i="5"/>
  <c r="B2180" i="5"/>
  <c r="B2181" i="5"/>
  <c r="B2183" i="5"/>
  <c r="B2193" i="5"/>
  <c r="B2184" i="5"/>
  <c r="B2186" i="5"/>
  <c r="B2187" i="5"/>
  <c r="B2189" i="5"/>
  <c r="B2190" i="5"/>
  <c r="B2191" i="5"/>
  <c r="B2192" i="5"/>
  <c r="B2224" i="5"/>
  <c r="B2199" i="5"/>
  <c r="B2200" i="5"/>
  <c r="B2201" i="5"/>
  <c r="B2202" i="5"/>
  <c r="B2203" i="5"/>
  <c r="B2204" i="5"/>
  <c r="B2205" i="5"/>
  <c r="B2206" i="5"/>
  <c r="B2208" i="5"/>
  <c r="B2209" i="5"/>
  <c r="B2210" i="5"/>
  <c r="B2211" i="5"/>
  <c r="B2213" i="5"/>
  <c r="B2214" i="5"/>
  <c r="B2215" i="5"/>
  <c r="B2216" i="5"/>
  <c r="B2288" i="5"/>
  <c r="B2289" i="5"/>
  <c r="B2290" i="5"/>
  <c r="B2291" i="5"/>
  <c r="B2293" i="5"/>
  <c r="B2294" i="5"/>
  <c r="B2227" i="5"/>
  <c r="B2236" i="5"/>
  <c r="B2246" i="5"/>
  <c r="B2249" i="5"/>
  <c r="B2250" i="5"/>
  <c r="B2252" i="5"/>
  <c r="B2256" i="5"/>
  <c r="B2253" i="5"/>
  <c r="B2255" i="5"/>
  <c r="B2351" i="5"/>
  <c r="B2320" i="5"/>
  <c r="B2302" i="5"/>
  <c r="B2303" i="5"/>
  <c r="B2321" i="5"/>
  <c r="B2304" i="5"/>
  <c r="B2305" i="5"/>
  <c r="B2306" i="5"/>
  <c r="B2322" i="5"/>
  <c r="B2323" i="5"/>
  <c r="B2324" i="5"/>
  <c r="B2325" i="5"/>
  <c r="B2326" i="5"/>
  <c r="B2328" i="5"/>
  <c r="B2329" i="5"/>
  <c r="B2330" i="5"/>
  <c r="B2331" i="5"/>
  <c r="B2164" i="5"/>
  <c r="B2081" i="5"/>
  <c r="B2080" i="5"/>
  <c r="C2081" i="5"/>
  <c r="C2127" i="5"/>
  <c r="C2125" i="5"/>
  <c r="C2132" i="5"/>
  <c r="C2179" i="5"/>
  <c r="C2180" i="5"/>
  <c r="C2181" i="5"/>
  <c r="C2183" i="5"/>
  <c r="C2193" i="5"/>
  <c r="C2184" i="5"/>
  <c r="C2186" i="5"/>
  <c r="C2187" i="5"/>
  <c r="C2189" i="5"/>
  <c r="C2190" i="5"/>
  <c r="C2191" i="5"/>
  <c r="C2192" i="5"/>
  <c r="C2224" i="5"/>
  <c r="C2199" i="5"/>
  <c r="C2200" i="5"/>
  <c r="C2201" i="5"/>
  <c r="C2202" i="5"/>
  <c r="C2203" i="5"/>
  <c r="C2204" i="5"/>
  <c r="C2205" i="5"/>
  <c r="C2206" i="5"/>
  <c r="C2208" i="5"/>
  <c r="C2209" i="5"/>
  <c r="C2210" i="5"/>
  <c r="C2211" i="5"/>
  <c r="C2213" i="5"/>
  <c r="C2214" i="5"/>
  <c r="C2215" i="5"/>
  <c r="C2216" i="5"/>
  <c r="C2288" i="5"/>
  <c r="C2289" i="5"/>
  <c r="C2290" i="5"/>
  <c r="C2291" i="5"/>
  <c r="C2293" i="5"/>
  <c r="C2294" i="5"/>
  <c r="C2227" i="5"/>
  <c r="C2236" i="5"/>
  <c r="C2246" i="5"/>
  <c r="C2249" i="5"/>
  <c r="C2250" i="5"/>
  <c r="C2252" i="5"/>
  <c r="C2256" i="5"/>
  <c r="C2253" i="5"/>
  <c r="C2255" i="5"/>
  <c r="C2351" i="5"/>
  <c r="C2320" i="5"/>
  <c r="C2302" i="5"/>
  <c r="C2303" i="5"/>
  <c r="C2321" i="5"/>
  <c r="C2304" i="5"/>
  <c r="C2305" i="5"/>
  <c r="C2306" i="5"/>
  <c r="C2322" i="5"/>
  <c r="C2323" i="5"/>
  <c r="C2324" i="5"/>
  <c r="C2325" i="5"/>
  <c r="C2326" i="5"/>
  <c r="C2328" i="5"/>
  <c r="C2329" i="5"/>
  <c r="C2330" i="5"/>
  <c r="C2331" i="5"/>
  <c r="C2164" i="5"/>
  <c r="C2165" i="5"/>
  <c r="C2082" i="5"/>
  <c r="C2083" i="5"/>
  <c r="C2084" i="5"/>
  <c r="C2085" i="5"/>
  <c r="C2086" i="5"/>
  <c r="C2087" i="5"/>
  <c r="C2088" i="5"/>
  <c r="C2089" i="5"/>
  <c r="C2090" i="5"/>
  <c r="C2091" i="5"/>
  <c r="K633" i="26"/>
  <c r="K634" i="26"/>
  <c r="K635" i="26"/>
  <c r="K637" i="26"/>
  <c r="K638" i="26"/>
  <c r="K639" i="26"/>
  <c r="K640" i="26"/>
  <c r="K641" i="26"/>
  <c r="K642" i="26"/>
  <c r="K643" i="26"/>
  <c r="K644" i="26"/>
  <c r="K645" i="26"/>
  <c r="K646" i="26"/>
  <c r="K647" i="26"/>
  <c r="K648" i="26"/>
  <c r="K649" i="26"/>
  <c r="K650" i="26"/>
  <c r="K651" i="26"/>
  <c r="K652" i="26"/>
  <c r="K653" i="26"/>
  <c r="K654" i="26"/>
  <c r="K655" i="26"/>
  <c r="K656" i="26"/>
  <c r="K657" i="26"/>
  <c r="K658" i="26"/>
  <c r="K659" i="26"/>
  <c r="K660" i="26"/>
  <c r="K661" i="26"/>
  <c r="K662" i="26"/>
  <c r="K663" i="26"/>
  <c r="K664" i="26"/>
  <c r="K665" i="26"/>
  <c r="K666" i="26"/>
  <c r="K667" i="26"/>
  <c r="K668" i="26"/>
  <c r="K669" i="26"/>
  <c r="K670" i="26"/>
  <c r="K671" i="26"/>
  <c r="K672" i="26"/>
  <c r="K673" i="26"/>
  <c r="K674" i="26"/>
  <c r="K675" i="26"/>
  <c r="K676" i="26"/>
  <c r="K677" i="26"/>
  <c r="K678" i="26"/>
  <c r="K679" i="26"/>
  <c r="K680" i="26"/>
  <c r="K681" i="26"/>
  <c r="K682" i="26"/>
  <c r="K683" i="26"/>
  <c r="K684" i="26"/>
  <c r="K685" i="26"/>
  <c r="K686" i="26"/>
  <c r="K687" i="26"/>
  <c r="K688" i="26"/>
  <c r="K689" i="26"/>
  <c r="K690" i="26"/>
  <c r="K691" i="26"/>
  <c r="K692" i="26"/>
  <c r="K693" i="26"/>
  <c r="K694" i="26"/>
  <c r="K695" i="26"/>
  <c r="K696" i="26"/>
  <c r="K697" i="26"/>
  <c r="K698" i="26"/>
  <c r="K699" i="26"/>
  <c r="K700" i="26"/>
  <c r="K701" i="26"/>
  <c r="K702" i="26"/>
  <c r="K703" i="26"/>
  <c r="K704" i="26"/>
  <c r="K705" i="26"/>
  <c r="K706" i="26"/>
  <c r="K707" i="26"/>
  <c r="K708" i="26"/>
  <c r="K709" i="26"/>
  <c r="K710" i="26"/>
  <c r="K711" i="26"/>
  <c r="K712" i="26"/>
  <c r="K713" i="26"/>
  <c r="K714" i="26"/>
  <c r="K715" i="26"/>
  <c r="K716" i="26"/>
  <c r="K717" i="26"/>
  <c r="K718" i="26"/>
  <c r="K720" i="26"/>
  <c r="K721" i="26"/>
  <c r="K722" i="26"/>
  <c r="K723" i="26"/>
  <c r="K719" i="26"/>
  <c r="K724" i="26"/>
  <c r="K725" i="26"/>
  <c r="K726" i="26"/>
  <c r="K727" i="26"/>
  <c r="K728" i="26"/>
  <c r="K729" i="26"/>
  <c r="K730" i="26"/>
  <c r="K731" i="26"/>
  <c r="K732" i="26"/>
  <c r="K733" i="26"/>
  <c r="K734" i="26"/>
  <c r="K735" i="26"/>
  <c r="K736" i="26"/>
  <c r="K737" i="26"/>
  <c r="K738" i="26"/>
  <c r="K739" i="26"/>
  <c r="K740" i="26"/>
  <c r="K741" i="26"/>
  <c r="K742" i="26"/>
  <c r="K744" i="26"/>
  <c r="K745" i="26"/>
  <c r="K746" i="26"/>
  <c r="K747" i="26"/>
  <c r="K748" i="26"/>
  <c r="K749" i="26"/>
  <c r="K750" i="26"/>
  <c r="K751" i="26"/>
  <c r="K752" i="26"/>
  <c r="K753" i="26"/>
  <c r="K754" i="26"/>
  <c r="K755" i="26"/>
  <c r="K756" i="26"/>
  <c r="K757" i="26"/>
  <c r="K758" i="26"/>
  <c r="K759" i="26"/>
  <c r="K760" i="26"/>
  <c r="K761" i="26"/>
  <c r="K762" i="26"/>
  <c r="K763" i="26"/>
  <c r="K764" i="26"/>
  <c r="K765" i="26"/>
  <c r="K766" i="26"/>
  <c r="K767" i="26"/>
  <c r="K768" i="26"/>
  <c r="K769" i="26"/>
  <c r="K770" i="26"/>
  <c r="K771" i="26"/>
  <c r="K772" i="26"/>
  <c r="K773" i="26"/>
  <c r="K774" i="26"/>
  <c r="K775" i="26"/>
  <c r="K776" i="26"/>
  <c r="K777" i="26"/>
  <c r="K778" i="26"/>
  <c r="K779" i="26"/>
  <c r="K780" i="26"/>
  <c r="K781" i="26"/>
  <c r="K782" i="26"/>
  <c r="K785" i="26"/>
  <c r="K786" i="26"/>
  <c r="K787" i="26"/>
  <c r="K788" i="26"/>
  <c r="K789" i="26"/>
  <c r="K790" i="26"/>
  <c r="K791" i="26"/>
  <c r="K792" i="26"/>
  <c r="K793" i="26"/>
  <c r="K794" i="26"/>
  <c r="K795" i="26"/>
  <c r="K796" i="26"/>
  <c r="K797" i="26"/>
  <c r="K798" i="26"/>
  <c r="K799" i="26"/>
  <c r="K800" i="26"/>
  <c r="K801" i="26"/>
  <c r="K802" i="26"/>
  <c r="K803" i="26"/>
  <c r="K804" i="26"/>
  <c r="K805" i="26"/>
  <c r="K806" i="26"/>
  <c r="K807" i="26"/>
  <c r="K808" i="26"/>
  <c r="K809" i="26"/>
  <c r="K810" i="26"/>
  <c r="K811" i="26"/>
  <c r="K812" i="26"/>
  <c r="K813" i="26"/>
  <c r="K814" i="26"/>
  <c r="K815" i="26"/>
  <c r="K816" i="26"/>
  <c r="K817" i="26"/>
  <c r="K818" i="26"/>
  <c r="K819" i="26"/>
  <c r="K820" i="26"/>
  <c r="K821" i="26"/>
  <c r="K822" i="26"/>
  <c r="K823" i="26"/>
  <c r="K824" i="26"/>
  <c r="K825" i="26"/>
  <c r="K826" i="26"/>
  <c r="K827" i="26"/>
  <c r="K828" i="26"/>
  <c r="K829" i="26"/>
  <c r="K830" i="26"/>
  <c r="K831" i="26"/>
  <c r="K832" i="26"/>
  <c r="K833" i="26"/>
  <c r="K834" i="26"/>
  <c r="K835" i="26"/>
  <c r="K836" i="26"/>
  <c r="K837" i="26"/>
  <c r="K838" i="26"/>
  <c r="K839" i="26"/>
  <c r="K840" i="26"/>
  <c r="K841" i="26"/>
  <c r="K842" i="26"/>
  <c r="K843" i="26"/>
  <c r="K844" i="26"/>
  <c r="K845" i="26"/>
  <c r="K846" i="26"/>
  <c r="K851" i="26"/>
  <c r="K852" i="26"/>
  <c r="K853" i="26"/>
  <c r="K854" i="26"/>
  <c r="K855" i="26"/>
  <c r="K856" i="26"/>
  <c r="K857" i="26"/>
  <c r="K858" i="26"/>
  <c r="K859" i="26"/>
  <c r="K860" i="26"/>
  <c r="K861" i="26"/>
  <c r="K862" i="26"/>
  <c r="K863" i="26"/>
  <c r="K864" i="26"/>
  <c r="K865" i="26"/>
  <c r="K866" i="26"/>
  <c r="K867" i="26"/>
  <c r="K868" i="26"/>
  <c r="K869" i="26"/>
  <c r="K870" i="26"/>
  <c r="K872" i="26"/>
  <c r="K873" i="26"/>
  <c r="K874" i="26"/>
  <c r="K875" i="26"/>
  <c r="K876" i="26"/>
  <c r="K877" i="26"/>
  <c r="K878" i="26"/>
  <c r="K879" i="26"/>
  <c r="K880" i="26"/>
  <c r="K881" i="26"/>
  <c r="K882" i="26"/>
  <c r="K883" i="26"/>
  <c r="K884" i="26"/>
  <c r="K885" i="26"/>
  <c r="K886" i="26"/>
  <c r="K887" i="26"/>
  <c r="K888" i="26"/>
  <c r="K889" i="26"/>
  <c r="K890" i="26"/>
  <c r="K891" i="26"/>
  <c r="K892" i="26"/>
  <c r="K893" i="26"/>
  <c r="K894" i="26"/>
  <c r="K895" i="26"/>
  <c r="K896" i="26"/>
  <c r="K897" i="26"/>
  <c r="K898" i="26"/>
  <c r="K899" i="26"/>
  <c r="K900" i="26"/>
  <c r="K901" i="26"/>
  <c r="K902" i="26"/>
  <c r="K903" i="26"/>
  <c r="K904" i="26"/>
  <c r="K905" i="26"/>
  <c r="K906" i="26"/>
  <c r="K907" i="26"/>
  <c r="K908" i="26"/>
  <c r="K909" i="26"/>
  <c r="K910" i="26"/>
  <c r="K911" i="26"/>
  <c r="K912" i="26"/>
  <c r="K913" i="26"/>
  <c r="K914" i="26"/>
  <c r="K915" i="26"/>
  <c r="K916" i="26"/>
  <c r="K917" i="26"/>
  <c r="K918" i="26"/>
  <c r="K919" i="26"/>
  <c r="K920" i="26"/>
  <c r="K921" i="26"/>
  <c r="K922" i="26"/>
  <c r="K923" i="26"/>
  <c r="K924" i="26"/>
  <c r="K925" i="26"/>
  <c r="K926" i="26"/>
  <c r="K927" i="26"/>
  <c r="K930" i="26"/>
  <c r="K931" i="26"/>
  <c r="K932" i="26"/>
  <c r="K933" i="26"/>
  <c r="K934" i="26"/>
  <c r="K935" i="26"/>
  <c r="K936" i="26"/>
  <c r="K937" i="26"/>
  <c r="K938" i="26"/>
  <c r="K939" i="26"/>
  <c r="K940" i="26"/>
  <c r="K941" i="26"/>
  <c r="K942" i="26"/>
  <c r="K944" i="26"/>
  <c r="K945" i="26"/>
  <c r="K946" i="26"/>
  <c r="K947" i="26"/>
  <c r="K948" i="26"/>
  <c r="K949" i="26"/>
  <c r="K951" i="26"/>
  <c r="K952" i="26"/>
  <c r="K953" i="26"/>
  <c r="K954" i="26"/>
  <c r="K955" i="26"/>
  <c r="K956" i="26"/>
  <c r="K957" i="26"/>
  <c r="K958" i="26"/>
  <c r="K959" i="26"/>
  <c r="K960" i="26"/>
  <c r="K965" i="26"/>
  <c r="K966" i="26"/>
  <c r="K967" i="26"/>
  <c r="K968" i="26"/>
  <c r="K969" i="26"/>
  <c r="K970" i="26"/>
  <c r="K971" i="26"/>
  <c r="K972" i="26"/>
  <c r="K974" i="26"/>
  <c r="K975" i="26"/>
  <c r="K976" i="26"/>
  <c r="K977" i="26"/>
  <c r="K978" i="26"/>
  <c r="K979" i="26"/>
  <c r="K980" i="26"/>
  <c r="K981" i="26"/>
  <c r="K982" i="26"/>
  <c r="K983" i="26"/>
  <c r="K984" i="26"/>
  <c r="K985" i="26"/>
  <c r="K986" i="26"/>
  <c r="K987" i="26"/>
  <c r="K988" i="26"/>
  <c r="K989" i="26"/>
  <c r="K990" i="26"/>
  <c r="K991" i="26"/>
  <c r="K992" i="26"/>
  <c r="K993" i="26"/>
  <c r="K994" i="26"/>
  <c r="K995" i="26"/>
  <c r="K996" i="26"/>
  <c r="K997" i="26"/>
  <c r="K998" i="26"/>
  <c r="K999" i="26"/>
  <c r="K1000" i="26"/>
  <c r="K1001" i="26"/>
  <c r="K1002" i="26"/>
  <c r="K1003" i="26"/>
  <c r="K1004" i="26"/>
  <c r="K1005" i="26"/>
  <c r="K1006" i="26"/>
  <c r="K1007" i="26"/>
  <c r="K1008" i="26"/>
  <c r="K1009" i="26"/>
  <c r="K1010" i="26"/>
  <c r="K1011" i="26"/>
  <c r="K1012" i="26"/>
  <c r="K1013" i="26"/>
  <c r="K1014" i="26"/>
  <c r="K1015" i="26"/>
  <c r="K1016" i="26"/>
  <c r="K1017" i="26"/>
  <c r="K1018" i="26"/>
  <c r="K1019" i="26"/>
  <c r="K1020" i="26"/>
  <c r="K1021" i="26"/>
  <c r="K1022" i="26"/>
  <c r="K1023" i="26"/>
  <c r="K1024" i="26"/>
  <c r="K1025" i="26"/>
  <c r="K1026" i="26"/>
  <c r="K1027" i="26"/>
  <c r="K1028" i="26"/>
  <c r="K1029" i="26"/>
  <c r="K1030" i="26"/>
  <c r="K1031" i="26"/>
  <c r="K1032" i="26"/>
  <c r="K1033" i="26"/>
  <c r="K1034" i="26"/>
  <c r="K1035" i="26"/>
  <c r="K1036" i="26"/>
  <c r="K1037" i="26"/>
  <c r="K1038" i="26"/>
  <c r="K1039" i="26"/>
  <c r="K1040" i="26"/>
  <c r="K1041" i="26"/>
  <c r="K1042" i="26"/>
  <c r="K1043" i="26"/>
  <c r="K1044" i="26"/>
  <c r="K1045" i="26"/>
  <c r="K1046" i="26"/>
  <c r="K1047" i="26"/>
  <c r="K1048" i="26"/>
  <c r="K1049" i="26"/>
  <c r="K1050" i="26"/>
  <c r="K1051" i="26"/>
  <c r="K1052" i="26"/>
  <c r="K1053" i="26"/>
  <c r="K1054" i="26"/>
  <c r="K1055" i="26"/>
  <c r="K1056" i="26"/>
  <c r="K1057" i="26"/>
  <c r="K1058" i="26"/>
  <c r="K1059" i="26"/>
  <c r="K1060" i="26"/>
  <c r="K1061" i="26"/>
  <c r="K1062" i="26"/>
  <c r="K1063" i="26"/>
  <c r="K1064" i="26"/>
  <c r="K1065" i="26"/>
  <c r="K1066" i="26"/>
  <c r="K1067" i="26"/>
  <c r="K1068" i="26"/>
  <c r="K1069" i="26"/>
  <c r="K1070" i="26"/>
  <c r="K1071" i="26"/>
  <c r="K1072" i="26"/>
  <c r="K1073" i="26"/>
  <c r="K1074" i="26"/>
  <c r="K1075" i="26"/>
  <c r="K1076" i="26"/>
  <c r="K1077" i="26"/>
  <c r="K1078" i="26"/>
  <c r="K1079" i="26"/>
  <c r="K1080" i="26"/>
  <c r="K1081" i="26"/>
  <c r="K1082" i="26"/>
  <c r="K1083" i="26"/>
  <c r="K1084" i="26"/>
  <c r="K1085" i="26"/>
  <c r="K1086" i="26"/>
  <c r="K1087" i="26"/>
  <c r="K1088" i="26"/>
  <c r="K1089" i="26"/>
  <c r="K1090" i="26"/>
  <c r="K1091" i="26"/>
  <c r="K1092" i="26"/>
  <c r="K1093" i="26"/>
  <c r="K1094" i="26"/>
  <c r="K1095" i="26"/>
  <c r="K1096" i="26"/>
  <c r="K1097" i="26"/>
  <c r="K1098" i="26"/>
  <c r="K1099" i="26"/>
  <c r="K1100" i="26"/>
  <c r="K1101" i="26"/>
  <c r="K1102" i="26"/>
  <c r="K1103" i="26"/>
  <c r="K1104" i="26"/>
  <c r="K1105" i="26"/>
  <c r="K1106" i="26"/>
  <c r="K1107" i="26"/>
  <c r="K1108" i="26"/>
  <c r="K1109" i="26"/>
  <c r="K1110" i="26"/>
  <c r="K1111" i="26"/>
  <c r="K1112" i="26"/>
  <c r="K1113" i="26"/>
  <c r="K1114" i="26"/>
  <c r="K1115" i="26"/>
  <c r="K1116" i="26"/>
  <c r="K1117" i="26"/>
  <c r="K1118" i="26"/>
  <c r="K1119" i="26"/>
  <c r="K1120" i="26"/>
  <c r="K1121" i="26"/>
  <c r="K1122" i="26"/>
  <c r="K1123" i="26"/>
  <c r="K1124" i="26"/>
  <c r="K1125" i="26"/>
  <c r="K1126" i="26"/>
  <c r="K1127" i="26"/>
  <c r="K1128" i="26"/>
  <c r="K1129" i="26"/>
  <c r="K1130" i="26"/>
  <c r="K1131" i="26"/>
  <c r="K1132" i="26"/>
  <c r="K1133" i="26"/>
  <c r="K1134" i="26"/>
  <c r="K1135" i="26"/>
  <c r="K1136" i="26"/>
  <c r="K1137" i="26"/>
  <c r="K1138" i="26"/>
  <c r="K1139" i="26"/>
  <c r="K1140" i="26"/>
  <c r="K1141" i="26"/>
  <c r="K1142" i="26"/>
  <c r="K1143" i="26"/>
  <c r="K1144" i="26"/>
  <c r="K1145" i="26"/>
  <c r="K1146" i="26"/>
  <c r="K1147" i="26"/>
  <c r="K1148" i="26"/>
  <c r="K1149" i="26"/>
  <c r="K1150" i="26"/>
  <c r="K1151" i="26"/>
  <c r="K1152" i="26"/>
  <c r="K1153" i="26"/>
  <c r="K1154" i="26"/>
  <c r="K1155" i="26"/>
  <c r="K1156" i="26"/>
  <c r="K1157" i="26"/>
  <c r="K1158" i="26"/>
  <c r="K1159" i="26"/>
  <c r="K1160" i="26"/>
  <c r="K1161" i="26"/>
  <c r="K1162" i="26"/>
  <c r="K1163" i="26"/>
  <c r="K1164" i="26"/>
  <c r="K1165" i="26"/>
  <c r="K1166" i="26"/>
  <c r="K1167" i="26"/>
  <c r="K1168" i="26"/>
  <c r="K1169" i="26"/>
  <c r="K1170" i="26"/>
  <c r="K1171" i="26"/>
  <c r="K1172" i="26"/>
  <c r="K1173" i="26"/>
  <c r="K1174" i="26"/>
  <c r="K1175" i="26"/>
  <c r="K1176" i="26"/>
  <c r="K1177" i="26"/>
  <c r="K1178" i="26"/>
  <c r="K1179" i="26"/>
  <c r="K1180" i="26"/>
  <c r="K1181" i="26"/>
  <c r="K1182" i="26"/>
  <c r="K1183" i="26"/>
  <c r="K1184" i="26"/>
  <c r="K1185" i="26"/>
  <c r="K1186" i="26"/>
  <c r="K1187" i="26"/>
  <c r="K1188" i="26"/>
  <c r="K1189" i="26"/>
  <c r="K1190" i="26"/>
  <c r="K1191" i="26"/>
  <c r="K1192" i="26"/>
  <c r="K1193" i="26"/>
  <c r="K1194" i="26"/>
  <c r="K1195" i="26"/>
  <c r="K1196" i="26"/>
  <c r="K1197" i="26"/>
  <c r="K1198" i="26"/>
  <c r="K1199" i="26"/>
  <c r="K1200" i="26"/>
  <c r="K1201" i="26"/>
  <c r="K1202" i="26"/>
  <c r="K1203" i="26"/>
  <c r="K1204" i="26"/>
  <c r="K1205" i="26"/>
  <c r="K1206" i="26"/>
  <c r="K1207" i="26"/>
  <c r="K1208" i="26"/>
  <c r="K1209" i="26"/>
  <c r="K1210" i="26"/>
  <c r="K1211" i="26"/>
  <c r="K1212" i="26"/>
  <c r="K1213" i="26"/>
  <c r="K1214" i="26"/>
  <c r="K1215" i="26"/>
  <c r="K1216" i="26"/>
  <c r="K1217" i="26"/>
  <c r="K1218" i="26"/>
  <c r="K1219" i="26"/>
  <c r="K1220" i="26"/>
  <c r="K1221" i="26"/>
  <c r="K1222" i="26"/>
  <c r="K1223" i="26"/>
  <c r="K1224" i="26"/>
  <c r="K1225" i="26"/>
  <c r="K1226" i="26"/>
  <c r="K1227" i="26"/>
  <c r="K1228" i="26"/>
  <c r="K1229" i="26"/>
  <c r="K1230" i="26"/>
  <c r="K1231" i="26"/>
  <c r="K1232" i="26"/>
  <c r="K1233" i="26"/>
  <c r="K1234" i="26"/>
  <c r="K1235" i="26"/>
  <c r="K1236" i="26"/>
  <c r="K1237" i="26"/>
  <c r="K1238" i="26"/>
  <c r="K1239" i="26"/>
  <c r="K1240" i="26"/>
  <c r="K1241" i="26"/>
  <c r="K1242" i="26"/>
  <c r="K1243" i="26"/>
  <c r="K1244" i="26"/>
  <c r="K1245" i="26"/>
  <c r="K1246" i="26"/>
  <c r="K1247" i="26"/>
  <c r="K1248" i="26"/>
  <c r="K1249" i="26"/>
  <c r="K1250" i="26"/>
  <c r="K1251" i="26"/>
  <c r="K1252" i="26"/>
  <c r="K1253" i="26"/>
  <c r="K1254" i="26"/>
  <c r="K1255" i="26"/>
  <c r="K1256" i="26"/>
  <c r="K1257" i="26"/>
  <c r="K1258" i="26"/>
  <c r="K1259" i="26"/>
  <c r="K1260" i="26"/>
  <c r="K1261" i="26"/>
  <c r="K1262" i="26"/>
  <c r="K1263" i="26"/>
  <c r="K1264" i="26"/>
  <c r="K1265" i="26"/>
  <c r="K1266" i="26"/>
  <c r="K1267" i="26"/>
  <c r="K1268" i="26"/>
  <c r="K1269" i="26"/>
  <c r="K1270" i="26"/>
  <c r="K1271" i="26"/>
  <c r="K1272" i="26"/>
  <c r="K1273" i="26"/>
  <c r="K1274" i="26"/>
  <c r="K1275" i="26"/>
  <c r="K1276" i="26"/>
  <c r="K1277" i="26"/>
  <c r="K1278" i="26"/>
  <c r="K1279" i="26"/>
  <c r="K1280" i="26"/>
  <c r="K1281" i="26"/>
  <c r="K1282" i="26"/>
  <c r="K1283" i="26"/>
  <c r="K1284" i="26"/>
  <c r="K1285" i="26"/>
  <c r="K1286" i="26"/>
  <c r="K1287" i="26"/>
  <c r="K1288" i="26"/>
  <c r="K1289" i="26"/>
  <c r="K1290" i="26"/>
  <c r="K1291" i="26"/>
  <c r="K1292" i="26"/>
  <c r="K1293" i="26"/>
  <c r="K1294" i="26"/>
  <c r="K1295" i="26"/>
  <c r="K1296" i="26"/>
  <c r="K1297" i="26"/>
  <c r="K1298" i="26"/>
  <c r="K1299" i="26"/>
  <c r="K1300" i="26"/>
  <c r="K1301" i="26"/>
  <c r="K1302" i="26"/>
  <c r="K1303" i="26"/>
  <c r="K1304" i="26"/>
  <c r="K1305" i="26"/>
  <c r="K1306" i="26"/>
  <c r="K1307" i="26"/>
  <c r="K1308" i="26"/>
  <c r="K1309" i="26"/>
  <c r="K1310" i="26"/>
  <c r="K1311" i="26"/>
  <c r="K1312" i="26"/>
  <c r="K1313" i="26"/>
  <c r="K1314" i="26"/>
  <c r="K1315" i="26"/>
  <c r="K1316" i="26"/>
  <c r="K1317" i="26"/>
  <c r="K1318" i="26"/>
  <c r="K1319" i="26"/>
  <c r="K1320" i="26"/>
  <c r="K1321" i="26"/>
  <c r="K1322" i="26"/>
  <c r="K1323" i="26"/>
  <c r="K1324" i="26"/>
  <c r="K1325" i="26"/>
  <c r="K1326" i="26"/>
  <c r="K1327" i="26"/>
  <c r="K1328" i="26"/>
  <c r="K1329" i="26"/>
  <c r="K1330" i="26"/>
  <c r="K1331" i="26"/>
  <c r="K1332" i="26"/>
  <c r="K1333" i="26"/>
  <c r="K1334" i="26"/>
  <c r="K1335" i="26"/>
  <c r="K1336" i="26"/>
  <c r="K1337" i="26"/>
  <c r="K1338" i="26"/>
  <c r="K1339" i="26"/>
  <c r="K1340" i="26"/>
  <c r="K1341" i="26"/>
  <c r="K1342" i="26"/>
  <c r="K1343" i="26"/>
  <c r="K1344" i="26"/>
  <c r="K1345" i="26"/>
  <c r="K1346" i="26"/>
  <c r="K1347" i="26"/>
  <c r="K1348" i="26"/>
  <c r="K1349" i="26"/>
  <c r="K1350" i="26"/>
  <c r="K1351" i="26"/>
  <c r="K1352" i="26"/>
  <c r="K1353" i="26"/>
  <c r="K1354" i="26"/>
  <c r="K1355" i="26"/>
  <c r="K1356" i="26"/>
  <c r="K1357" i="26"/>
  <c r="K1358" i="26"/>
  <c r="K1359" i="26"/>
  <c r="K1360" i="26"/>
  <c r="K1361" i="26"/>
  <c r="K1362" i="26"/>
  <c r="K1363" i="26"/>
  <c r="K1364" i="26"/>
  <c r="K1365" i="26"/>
  <c r="K1366" i="26"/>
  <c r="K1367" i="26"/>
  <c r="K1368" i="26"/>
  <c r="K1369" i="26"/>
  <c r="K1370" i="26"/>
  <c r="K1371" i="26"/>
  <c r="K1372" i="26"/>
  <c r="K1373" i="26"/>
  <c r="K1374" i="26"/>
  <c r="K1375" i="26"/>
  <c r="K1376" i="26"/>
  <c r="K1377" i="26"/>
  <c r="K1378" i="26"/>
  <c r="K1379" i="26"/>
  <c r="K1380" i="26"/>
  <c r="K1381" i="26"/>
  <c r="K1382" i="26"/>
  <c r="K1383" i="26"/>
  <c r="K1384" i="26"/>
  <c r="K1385" i="26"/>
  <c r="K1386" i="26"/>
  <c r="K1387" i="26"/>
  <c r="K1388" i="26"/>
  <c r="K1389" i="26"/>
  <c r="K1390" i="26"/>
  <c r="K1391" i="26"/>
  <c r="K1392" i="26"/>
  <c r="K1393" i="26"/>
  <c r="K1394" i="26"/>
  <c r="K1395" i="26"/>
  <c r="K1396" i="26"/>
  <c r="K1397" i="26"/>
  <c r="K1398" i="26"/>
  <c r="K1399" i="26"/>
  <c r="K1400" i="26"/>
  <c r="K1401" i="26"/>
  <c r="K1402" i="26"/>
  <c r="K1403" i="26"/>
  <c r="K1404" i="26"/>
  <c r="K1405" i="26"/>
  <c r="K1406" i="26"/>
  <c r="K1407" i="26"/>
  <c r="K1408" i="26"/>
  <c r="K1409" i="26"/>
  <c r="K1410" i="26"/>
  <c r="K1411" i="26"/>
  <c r="K1412" i="26"/>
  <c r="K1413" i="26"/>
  <c r="K1414" i="26"/>
  <c r="K1415" i="26"/>
  <c r="K1416" i="26"/>
  <c r="K1417" i="26"/>
  <c r="K1418" i="26"/>
  <c r="K1419" i="26"/>
  <c r="K1420" i="26"/>
  <c r="K1421" i="26"/>
  <c r="K1422" i="26"/>
  <c r="K1423" i="26"/>
  <c r="K1424" i="26"/>
  <c r="K1425" i="26"/>
  <c r="K1426" i="26"/>
  <c r="K1427" i="26"/>
  <c r="K1428" i="26"/>
  <c r="K1429" i="26"/>
  <c r="K1430" i="26"/>
  <c r="K1431" i="26"/>
  <c r="K1432" i="26"/>
  <c r="K1433" i="26"/>
  <c r="K1434" i="26"/>
  <c r="K1435" i="26"/>
  <c r="K1436" i="26"/>
  <c r="K1437" i="26"/>
  <c r="K1438" i="26"/>
  <c r="K1439" i="26"/>
  <c r="K1440" i="26"/>
  <c r="K1441" i="26"/>
  <c r="K1442" i="26"/>
  <c r="K1443" i="26"/>
  <c r="K1444" i="26"/>
  <c r="K1445" i="26"/>
  <c r="K1446" i="26"/>
  <c r="K1447" i="26"/>
  <c r="K1448" i="26"/>
  <c r="K1449" i="26"/>
  <c r="K1450" i="26"/>
  <c r="K1451" i="26"/>
  <c r="K1452" i="26"/>
  <c r="K1453" i="26"/>
  <c r="K1454" i="26"/>
  <c r="K1455" i="26"/>
  <c r="K1456" i="26"/>
  <c r="K1457" i="26"/>
  <c r="K1458" i="26"/>
  <c r="K1459" i="26"/>
  <c r="K1460" i="26"/>
  <c r="K1461" i="26"/>
  <c r="K1462" i="26"/>
  <c r="K1463" i="26"/>
  <c r="K1464" i="26"/>
  <c r="K1465" i="26"/>
  <c r="K1466" i="26"/>
  <c r="K1467" i="26"/>
  <c r="K1468" i="26"/>
  <c r="K1469" i="26"/>
  <c r="K1470" i="26"/>
  <c r="K1471" i="26"/>
  <c r="K1472" i="26"/>
  <c r="K1473" i="26"/>
  <c r="K1474" i="26"/>
  <c r="K1475" i="26"/>
  <c r="K1476" i="26"/>
  <c r="K1477" i="26"/>
  <c r="K1478" i="26"/>
  <c r="K1479" i="26"/>
  <c r="K1480" i="26"/>
  <c r="K1481" i="26"/>
  <c r="K1482" i="26"/>
  <c r="K1483" i="26"/>
  <c r="K1484" i="26"/>
  <c r="K1485" i="26"/>
  <c r="K1486" i="26"/>
  <c r="K1487" i="26"/>
  <c r="K1488" i="26"/>
  <c r="K1489" i="26"/>
  <c r="K1490" i="26"/>
  <c r="K1491" i="26"/>
  <c r="K1492" i="26"/>
  <c r="K1493" i="26"/>
  <c r="K1494" i="26"/>
  <c r="K1495" i="26"/>
  <c r="K1496" i="26"/>
  <c r="K1497" i="26"/>
  <c r="K1498" i="26"/>
  <c r="K1499" i="26"/>
  <c r="K1500" i="26"/>
  <c r="K1501" i="26"/>
  <c r="K1502" i="26"/>
  <c r="K1503" i="26"/>
  <c r="K632" i="26"/>
  <c r="K631" i="26"/>
  <c r="C2078" i="5" l="1"/>
  <c r="C2070" i="5"/>
  <c r="B2070" i="5"/>
  <c r="B1964" i="5"/>
  <c r="C1964" i="5"/>
  <c r="B1965" i="5"/>
  <c r="C1965" i="5"/>
  <c r="B1966" i="5"/>
  <c r="C1966" i="5"/>
  <c r="B1967" i="5"/>
  <c r="C1967" i="5"/>
  <c r="B1968" i="5"/>
  <c r="C1968" i="5"/>
  <c r="B1969" i="5"/>
  <c r="C1969" i="5"/>
  <c r="B1970" i="5"/>
  <c r="C1970" i="5"/>
  <c r="B3827" i="5"/>
  <c r="C3827" i="5"/>
  <c r="B2035" i="5"/>
  <c r="C2035" i="5"/>
  <c r="B2043" i="5"/>
  <c r="C2043" i="5"/>
  <c r="B2044" i="5"/>
  <c r="C2044" i="5"/>
  <c r="B2074" i="5"/>
  <c r="C2074" i="5"/>
  <c r="B2075" i="5"/>
  <c r="C2075" i="5"/>
  <c r="B2076" i="5"/>
  <c r="C2076" i="5"/>
  <c r="C2046" i="5"/>
  <c r="B2039" i="5"/>
  <c r="C2039" i="5"/>
  <c r="B2040" i="5"/>
  <c r="C2040" i="5"/>
  <c r="B2041" i="5"/>
  <c r="C2041" i="5"/>
  <c r="C2052" i="5"/>
  <c r="B2052" i="5"/>
  <c r="C2051" i="5"/>
  <c r="B2051" i="5"/>
  <c r="B2054" i="5"/>
  <c r="C2054" i="5"/>
  <c r="B2055" i="5"/>
  <c r="C2055" i="5"/>
  <c r="B2056" i="5"/>
  <c r="C2056" i="5"/>
  <c r="B2057" i="5"/>
  <c r="C2057" i="5"/>
  <c r="B2058" i="5"/>
  <c r="C2058" i="5"/>
  <c r="B2059" i="5"/>
  <c r="C2059" i="5"/>
  <c r="B2060" i="5"/>
  <c r="C2060" i="5"/>
  <c r="B2061" i="5"/>
  <c r="C2061" i="5"/>
  <c r="B2062" i="5"/>
  <c r="C2062" i="5"/>
  <c r="B2063" i="5"/>
  <c r="C2063" i="5"/>
  <c r="B2064" i="5"/>
  <c r="C2064" i="5"/>
  <c r="B2065" i="5"/>
  <c r="C2065" i="5"/>
  <c r="B2066" i="5"/>
  <c r="C2066" i="5"/>
  <c r="B2067" i="5"/>
  <c r="C2067" i="5"/>
  <c r="B2034" i="5"/>
  <c r="C2034" i="5"/>
  <c r="B2028" i="5"/>
  <c r="C2028" i="5"/>
  <c r="B2029" i="5"/>
  <c r="C2029" i="5"/>
  <c r="B2030" i="5"/>
  <c r="C2030" i="5"/>
  <c r="B2031" i="5"/>
  <c r="C2031" i="5"/>
  <c r="B2032" i="5"/>
  <c r="C2032" i="5"/>
  <c r="B62" i="25" l="1"/>
  <c r="F17" i="25"/>
  <c r="C2023" i="5" l="1"/>
  <c r="B2023" i="5"/>
  <c r="C2012" i="5"/>
  <c r="B2012" i="5"/>
  <c r="B2014" i="5"/>
  <c r="C2014" i="5"/>
  <c r="B2015" i="5"/>
  <c r="C2015" i="5"/>
  <c r="B2016" i="5"/>
  <c r="C2016" i="5"/>
  <c r="B2017" i="5"/>
  <c r="C2017" i="5"/>
  <c r="B2007" i="5"/>
  <c r="C2007" i="5"/>
  <c r="B2008" i="5"/>
  <c r="C2008" i="5"/>
  <c r="B2009" i="5"/>
  <c r="C2009" i="5"/>
  <c r="B2010" i="5"/>
  <c r="C2010" i="5"/>
  <c r="B2011" i="5"/>
  <c r="C2011" i="5"/>
  <c r="B2002" i="5"/>
  <c r="C2002" i="5"/>
  <c r="B2003" i="5"/>
  <c r="C2003" i="5"/>
  <c r="B2004" i="5"/>
  <c r="C2004" i="5"/>
  <c r="B2005" i="5"/>
  <c r="C2005" i="5"/>
  <c r="B2006" i="5"/>
  <c r="C2006" i="5"/>
  <c r="B1994" i="5"/>
  <c r="C1994" i="5"/>
  <c r="B1995" i="5"/>
  <c r="C1995" i="5"/>
  <c r="B1996" i="5"/>
  <c r="C1996" i="5"/>
  <c r="B1997" i="5"/>
  <c r="C1997" i="5"/>
  <c r="B1998" i="5"/>
  <c r="C1998" i="5"/>
  <c r="B1999" i="5"/>
  <c r="C1999" i="5"/>
  <c r="B2000" i="5"/>
  <c r="C2000" i="5"/>
  <c r="C1993" i="5"/>
  <c r="B1993" i="5"/>
  <c r="B1989" i="5"/>
  <c r="C1989" i="5"/>
  <c r="B1990" i="5"/>
  <c r="C1990" i="5"/>
  <c r="B1991" i="5"/>
  <c r="C1991" i="5"/>
  <c r="B1992" i="5"/>
  <c r="C1992" i="5"/>
  <c r="C1988" i="5"/>
  <c r="B1988" i="5"/>
  <c r="B1976" i="5" l="1"/>
  <c r="C1976" i="5"/>
  <c r="B1977" i="5"/>
  <c r="C1977" i="5"/>
  <c r="B1978" i="5"/>
  <c r="C1978" i="5"/>
  <c r="B1979" i="5"/>
  <c r="C1979" i="5"/>
  <c r="B1980" i="5"/>
  <c r="C1980" i="5"/>
  <c r="B1981" i="5"/>
  <c r="C1981" i="5"/>
  <c r="B1982" i="5"/>
  <c r="C1982" i="5"/>
  <c r="B1983" i="5"/>
  <c r="C1983" i="5"/>
  <c r="B1971" i="5"/>
  <c r="C1971" i="5"/>
  <c r="B1984" i="5"/>
  <c r="C1984" i="5"/>
  <c r="B1985" i="5"/>
  <c r="C1985" i="5"/>
  <c r="B1986" i="5"/>
  <c r="C1986" i="5"/>
  <c r="B1987" i="5"/>
  <c r="C1987" i="5"/>
  <c r="K592" i="26"/>
  <c r="B1961" i="5"/>
  <c r="C1961" i="5"/>
  <c r="B1962" i="5"/>
  <c r="C1962" i="5"/>
  <c r="B1963" i="5"/>
  <c r="C1963" i="5"/>
  <c r="B1959" i="5"/>
  <c r="C1959" i="5"/>
  <c r="B1944" i="5" l="1"/>
  <c r="C1944" i="5"/>
  <c r="B1945" i="5"/>
  <c r="C1945" i="5"/>
  <c r="B1946" i="5"/>
  <c r="C1946" i="5"/>
  <c r="B1947" i="5"/>
  <c r="C1947" i="5"/>
  <c r="B1948" i="5"/>
  <c r="C1948" i="5"/>
  <c r="B1943" i="5"/>
  <c r="C1943" i="5"/>
  <c r="C1938" i="5"/>
  <c r="B1938" i="5"/>
  <c r="C1942" i="5"/>
  <c r="B1942" i="5"/>
  <c r="B1940" i="5"/>
  <c r="C1940" i="5"/>
  <c r="B1941" i="5"/>
  <c r="C1941" i="5"/>
  <c r="C1935" i="5" l="1"/>
  <c r="B1935" i="5"/>
  <c r="B1933" i="5"/>
  <c r="C1933" i="5"/>
  <c r="B1939" i="5"/>
  <c r="C1939" i="5"/>
  <c r="C1932" i="5" l="1"/>
  <c r="B1917" i="5" l="1"/>
  <c r="C1917" i="5"/>
  <c r="B1931" i="5" l="1"/>
  <c r="C1931" i="5"/>
  <c r="C1929" i="5"/>
  <c r="C1927" i="5"/>
  <c r="C1920" i="5"/>
  <c r="B1920" i="5"/>
  <c r="C1918" i="5"/>
  <c r="B1918" i="5"/>
  <c r="B1912" i="5" l="1"/>
  <c r="C1912" i="5"/>
  <c r="B1913" i="5"/>
  <c r="C1913" i="5"/>
  <c r="B1909" i="5"/>
  <c r="C1909" i="5"/>
  <c r="B1910" i="5"/>
  <c r="C1910" i="5"/>
  <c r="B1908" i="5"/>
  <c r="C1908" i="5"/>
  <c r="B1916" i="5"/>
  <c r="C1916" i="5"/>
  <c r="B1915" i="5"/>
  <c r="C1915" i="5"/>
  <c r="B1903" i="5"/>
  <c r="C1903" i="5"/>
  <c r="B1904" i="5"/>
  <c r="C1904" i="5"/>
  <c r="B1905" i="5"/>
  <c r="C1905" i="5"/>
  <c r="B1906" i="5"/>
  <c r="C1906" i="5"/>
  <c r="B1907" i="5"/>
  <c r="C1907" i="5"/>
  <c r="B1900" i="5"/>
  <c r="C1900" i="5"/>
  <c r="B1901" i="5"/>
  <c r="C1901" i="5"/>
  <c r="C1897" i="5"/>
  <c r="B1897" i="5"/>
  <c r="K564" i="26"/>
  <c r="K565" i="26"/>
  <c r="B1893" i="5"/>
  <c r="C1893" i="5"/>
  <c r="B1914" i="5"/>
  <c r="B1923" i="5"/>
  <c r="B1924" i="5"/>
  <c r="B1925" i="5"/>
  <c r="B1950" i="5"/>
  <c r="B1951" i="5"/>
  <c r="B1952" i="5"/>
  <c r="B1953" i="5"/>
  <c r="B1954" i="5"/>
  <c r="B1955" i="5"/>
  <c r="B1956" i="5"/>
  <c r="B1957" i="5"/>
  <c r="B1885" i="5" l="1"/>
  <c r="C1885" i="5"/>
  <c r="B1886" i="5"/>
  <c r="C1886" i="5"/>
  <c r="B1865" i="5" l="1"/>
  <c r="C1865" i="5"/>
  <c r="B1866" i="5"/>
  <c r="C1866" i="5"/>
  <c r="B1867" i="5"/>
  <c r="C1867" i="5"/>
  <c r="B1868" i="5"/>
  <c r="C1868" i="5"/>
  <c r="B1869" i="5"/>
  <c r="C1869" i="5"/>
  <c r="B1870" i="5"/>
  <c r="C1870" i="5"/>
  <c r="B1871" i="5"/>
  <c r="C1871" i="5"/>
  <c r="B1872" i="5"/>
  <c r="C1872" i="5"/>
  <c r="B1873" i="5"/>
  <c r="C1873" i="5"/>
  <c r="B1874" i="5"/>
  <c r="C1874" i="5"/>
  <c r="B1875" i="5"/>
  <c r="C1875" i="5"/>
  <c r="B1876" i="5"/>
  <c r="C1876" i="5"/>
  <c r="B1877" i="5"/>
  <c r="C1877" i="5"/>
  <c r="B1878" i="5"/>
  <c r="C1878" i="5"/>
  <c r="B1880" i="5"/>
  <c r="C1880" i="5"/>
  <c r="B1881" i="5"/>
  <c r="C1881" i="5"/>
  <c r="B1882" i="5"/>
  <c r="C1882" i="5"/>
  <c r="B1883" i="5"/>
  <c r="C1883" i="5"/>
  <c r="C1860" i="5"/>
  <c r="B1860" i="5"/>
  <c r="B1863" i="5"/>
  <c r="C1863" i="5"/>
  <c r="B1842" i="5"/>
  <c r="C1842" i="5"/>
  <c r="B1843" i="5"/>
  <c r="C1843" i="5"/>
  <c r="B1844" i="5"/>
  <c r="C1844" i="5"/>
  <c r="B1845" i="5"/>
  <c r="C1845" i="5"/>
  <c r="B1846" i="5"/>
  <c r="C1846" i="5"/>
  <c r="B1847" i="5"/>
  <c r="C1847" i="5"/>
  <c r="C1851" i="5"/>
  <c r="B1851" i="5"/>
  <c r="C1850" i="5"/>
  <c r="B1850" i="5"/>
  <c r="B1812" i="5"/>
  <c r="C1812" i="5"/>
  <c r="B1813" i="5"/>
  <c r="C1813" i="5"/>
  <c r="B1814" i="5"/>
  <c r="C1814" i="5"/>
  <c r="B1815" i="5"/>
  <c r="C1815" i="5"/>
  <c r="B1816" i="5"/>
  <c r="C1816" i="5"/>
  <c r="B1817" i="5"/>
  <c r="C1817" i="5"/>
  <c r="B1818" i="5"/>
  <c r="C1818" i="5"/>
  <c r="B1819" i="5"/>
  <c r="C1819" i="5"/>
  <c r="B1820" i="5"/>
  <c r="C1820" i="5"/>
  <c r="B1821" i="5"/>
  <c r="C1821" i="5"/>
  <c r="B1822" i="5"/>
  <c r="C1822" i="5"/>
  <c r="B1823" i="5"/>
  <c r="C1823" i="5"/>
  <c r="B1824" i="5"/>
  <c r="C1824" i="5"/>
  <c r="B1825" i="5"/>
  <c r="C1825" i="5"/>
  <c r="C1793" i="5"/>
  <c r="C1794" i="5"/>
  <c r="C1795" i="5"/>
  <c r="C1796" i="5"/>
  <c r="C1797" i="5"/>
  <c r="C1798" i="5"/>
  <c r="B1799" i="5"/>
  <c r="C1799" i="5"/>
  <c r="C1789" i="5" l="1"/>
  <c r="B1789" i="5"/>
  <c r="B1792" i="5"/>
  <c r="C1792" i="5"/>
  <c r="B1790" i="5"/>
  <c r="C1790" i="5"/>
  <c r="B1791" i="5"/>
  <c r="C1791" i="5"/>
  <c r="B1800" i="5"/>
  <c r="C1800" i="5"/>
  <c r="B1801" i="5"/>
  <c r="C1801" i="5"/>
  <c r="B1802" i="5"/>
  <c r="C1802" i="5"/>
  <c r="B1803" i="5"/>
  <c r="C1803" i="5"/>
  <c r="B1805" i="5"/>
  <c r="C1805" i="5"/>
  <c r="B1806" i="5"/>
  <c r="C1806" i="5"/>
  <c r="F21" i="25"/>
  <c r="E21" i="25"/>
  <c r="B1784" i="5" l="1"/>
  <c r="C1784" i="5"/>
  <c r="B1785" i="5"/>
  <c r="C1785" i="5"/>
  <c r="B1786" i="5"/>
  <c r="C1786" i="5"/>
  <c r="B1787" i="5"/>
  <c r="C1787" i="5"/>
  <c r="B1779" i="5"/>
  <c r="C1779" i="5"/>
  <c r="B1780" i="5"/>
  <c r="C1780" i="5"/>
  <c r="B1781" i="5"/>
  <c r="C1781" i="5"/>
  <c r="B1782" i="5"/>
  <c r="C1782" i="5"/>
  <c r="B1773" i="5"/>
  <c r="C1773" i="5"/>
  <c r="B1774" i="5"/>
  <c r="C1774" i="5"/>
  <c r="B1775" i="5"/>
  <c r="C1775" i="5"/>
  <c r="B1776" i="5"/>
  <c r="C1776" i="5"/>
  <c r="B1777" i="5"/>
  <c r="C1777" i="5"/>
  <c r="B1772" i="5"/>
  <c r="C1772" i="5"/>
  <c r="B1766" i="5"/>
  <c r="C1766" i="5"/>
  <c r="B1767" i="5"/>
  <c r="C1767" i="5"/>
  <c r="B1768" i="5"/>
  <c r="C1768" i="5"/>
  <c r="B1769" i="5"/>
  <c r="C1769" i="5"/>
  <c r="B1770" i="5"/>
  <c r="C1770" i="5"/>
  <c r="B1771" i="5"/>
  <c r="C1771" i="5"/>
  <c r="C1765" i="5"/>
  <c r="B1765" i="5"/>
  <c r="C1764" i="5"/>
  <c r="B1764" i="5"/>
  <c r="C1763" i="5"/>
  <c r="B1763" i="5"/>
  <c r="C1762" i="5"/>
  <c r="B1762" i="5"/>
  <c r="C1761" i="5"/>
  <c r="B1761" i="5"/>
  <c r="C1760" i="5"/>
  <c r="B1760" i="5"/>
  <c r="B1788" i="5"/>
  <c r="C1788" i="5"/>
  <c r="B1755" i="5"/>
  <c r="C1755" i="5"/>
  <c r="B1756" i="5"/>
  <c r="C1756" i="5"/>
  <c r="B1757" i="5"/>
  <c r="C1757" i="5"/>
  <c r="B1758" i="5"/>
  <c r="C1758" i="5"/>
  <c r="B1759" i="5"/>
  <c r="C1759" i="5"/>
  <c r="B1754" i="5"/>
  <c r="C1754" i="5"/>
  <c r="B1748" i="5"/>
  <c r="C1748" i="5"/>
  <c r="B1749" i="5"/>
  <c r="C1749" i="5"/>
  <c r="B1750" i="5"/>
  <c r="C1750" i="5"/>
  <c r="B1751" i="5"/>
  <c r="C1751" i="5"/>
  <c r="B1752" i="5"/>
  <c r="C1752" i="5"/>
  <c r="B1753" i="5"/>
  <c r="C1753" i="5"/>
  <c r="B1889" i="5"/>
  <c r="C1889" i="5"/>
  <c r="B1891" i="5"/>
  <c r="C1891" i="5"/>
  <c r="B1890" i="5"/>
  <c r="C1890" i="5"/>
  <c r="B1740" i="5"/>
  <c r="C1740" i="5"/>
  <c r="B1741" i="5"/>
  <c r="C1741" i="5"/>
  <c r="B1853" i="5"/>
  <c r="C1853" i="5"/>
  <c r="B1854" i="5"/>
  <c r="C1854" i="5"/>
  <c r="B1855" i="5"/>
  <c r="C1855" i="5"/>
  <c r="B1857" i="5"/>
  <c r="C1857" i="5"/>
  <c r="B1858" i="5"/>
  <c r="C1858" i="5"/>
  <c r="B1859" i="5"/>
  <c r="C1859" i="5"/>
  <c r="B1862" i="5"/>
  <c r="C1862" i="5"/>
  <c r="B1743" i="5"/>
  <c r="C1743" i="5"/>
  <c r="B1744" i="5"/>
  <c r="C1744" i="5"/>
  <c r="B1745" i="5"/>
  <c r="C1745" i="5"/>
  <c r="B1746" i="5"/>
  <c r="C1746" i="5"/>
  <c r="B1807" i="5"/>
  <c r="C1807" i="5"/>
  <c r="B1808" i="5"/>
  <c r="C1808" i="5"/>
  <c r="B1809" i="5"/>
  <c r="C1809" i="5"/>
  <c r="B1827" i="5"/>
  <c r="C1827" i="5"/>
  <c r="B1828" i="5"/>
  <c r="C1828" i="5"/>
  <c r="B1829" i="5"/>
  <c r="C1829" i="5"/>
  <c r="B1830" i="5"/>
  <c r="C1830" i="5"/>
  <c r="B1832" i="5"/>
  <c r="C1832" i="5"/>
  <c r="B1833" i="5"/>
  <c r="C1833" i="5"/>
  <c r="B1834" i="5"/>
  <c r="C1834" i="5"/>
  <c r="B1835" i="5"/>
  <c r="C1835" i="5"/>
  <c r="B1837" i="5"/>
  <c r="C1837" i="5"/>
  <c r="B1838" i="5"/>
  <c r="C1838" i="5"/>
  <c r="B1839" i="5"/>
  <c r="C1839" i="5"/>
  <c r="B1840" i="5"/>
  <c r="C1840" i="5"/>
  <c r="B1729" i="5"/>
  <c r="C1729" i="5"/>
  <c r="B1730" i="5"/>
  <c r="C1730" i="5"/>
  <c r="B1731" i="5"/>
  <c r="C1731" i="5"/>
  <c r="B1732" i="5"/>
  <c r="C1732" i="5"/>
  <c r="B1733" i="5"/>
  <c r="C1733" i="5"/>
  <c r="B1734" i="5"/>
  <c r="C1734" i="5"/>
  <c r="B1735" i="5"/>
  <c r="C1735" i="5"/>
  <c r="B1736" i="5"/>
  <c r="C1736" i="5"/>
  <c r="B1737" i="5"/>
  <c r="C1737" i="5"/>
  <c r="B1738" i="5"/>
  <c r="C1738" i="5"/>
  <c r="B1726" i="5"/>
  <c r="C1726" i="5"/>
  <c r="B1728" i="5"/>
  <c r="C1728" i="5"/>
  <c r="K630" i="26" l="1"/>
  <c r="K629" i="26"/>
  <c r="K628" i="26"/>
  <c r="K627" i="26"/>
  <c r="K626" i="26"/>
  <c r="K625" i="26"/>
  <c r="K624" i="26"/>
  <c r="K623" i="26"/>
  <c r="K622" i="26"/>
  <c r="K621" i="26"/>
  <c r="K620" i="26"/>
  <c r="K619" i="26"/>
  <c r="K618" i="26"/>
  <c r="K617" i="26"/>
  <c r="K616" i="26"/>
  <c r="K615" i="26"/>
  <c r="K614" i="26"/>
  <c r="K613" i="26"/>
  <c r="K612" i="26"/>
  <c r="K611" i="26"/>
  <c r="K610" i="26"/>
  <c r="K609" i="26"/>
  <c r="K608" i="26"/>
  <c r="K607" i="26"/>
  <c r="K606" i="26"/>
  <c r="K605" i="26"/>
  <c r="K604" i="26"/>
  <c r="K603" i="26"/>
  <c r="K602" i="26"/>
  <c r="K601" i="26"/>
  <c r="K600" i="26"/>
  <c r="K599" i="26"/>
  <c r="K598" i="26"/>
  <c r="K597" i="26"/>
  <c r="K596" i="26"/>
  <c r="K595" i="26"/>
  <c r="K594" i="26"/>
  <c r="K593" i="26"/>
  <c r="K591" i="26"/>
  <c r="K590" i="26"/>
  <c r="K589" i="26"/>
  <c r="K588" i="26"/>
  <c r="K587" i="26"/>
  <c r="K586" i="26"/>
  <c r="K585" i="26"/>
  <c r="K584" i="26"/>
  <c r="K583" i="26"/>
  <c r="K582" i="26"/>
  <c r="K581" i="26"/>
  <c r="K580" i="26"/>
  <c r="K579" i="26"/>
  <c r="K578" i="26"/>
  <c r="K577" i="26"/>
  <c r="K576" i="26"/>
  <c r="K575" i="26"/>
  <c r="K574" i="26"/>
  <c r="K573" i="26"/>
  <c r="K572" i="26"/>
  <c r="K571" i="26"/>
  <c r="K570" i="26"/>
  <c r="K569" i="26"/>
  <c r="K568" i="26"/>
  <c r="K567" i="26"/>
  <c r="K566" i="26"/>
  <c r="K563" i="26"/>
  <c r="K562" i="26"/>
  <c r="K561" i="26"/>
  <c r="K560" i="26"/>
  <c r="K559" i="26"/>
  <c r="K558" i="26"/>
  <c r="K557" i="26"/>
  <c r="K556" i="26"/>
  <c r="K555" i="26"/>
  <c r="K554" i="26"/>
  <c r="K553" i="26"/>
  <c r="K552" i="26"/>
  <c r="K551" i="26"/>
  <c r="K550" i="26"/>
  <c r="K549" i="26"/>
  <c r="K548" i="26"/>
  <c r="K547" i="26"/>
  <c r="K546" i="26"/>
  <c r="K545" i="26"/>
  <c r="K544" i="26"/>
  <c r="K543" i="26"/>
  <c r="K542" i="26"/>
  <c r="K541" i="26"/>
  <c r="K540" i="26"/>
  <c r="K539" i="26"/>
  <c r="K538" i="26"/>
  <c r="K537" i="26"/>
  <c r="K536" i="26"/>
  <c r="K535" i="26"/>
  <c r="K534" i="26"/>
  <c r="K533" i="26"/>
  <c r="K532" i="26"/>
  <c r="K531" i="26"/>
  <c r="K530" i="26"/>
  <c r="K529" i="26"/>
  <c r="K528" i="26"/>
  <c r="K527" i="26"/>
  <c r="K526" i="26"/>
  <c r="K525" i="26"/>
  <c r="K524" i="26"/>
  <c r="K523" i="26"/>
  <c r="K522" i="26"/>
  <c r="K521" i="26"/>
  <c r="K520" i="26"/>
  <c r="K519" i="26"/>
  <c r="K518" i="26"/>
  <c r="K517" i="26"/>
  <c r="K516" i="26"/>
  <c r="K515" i="26"/>
  <c r="K514" i="26"/>
  <c r="K513" i="26"/>
  <c r="K512" i="26"/>
  <c r="K511" i="26"/>
  <c r="K510" i="26"/>
  <c r="K509" i="26"/>
  <c r="K508" i="26"/>
  <c r="K507" i="26"/>
  <c r="K506" i="26"/>
  <c r="K505" i="26"/>
  <c r="K504" i="26"/>
  <c r="K503" i="26"/>
  <c r="K502" i="26"/>
  <c r="K501" i="26"/>
  <c r="K500" i="26"/>
  <c r="K499" i="26"/>
  <c r="K498" i="26"/>
  <c r="K497" i="26"/>
  <c r="K496" i="26"/>
  <c r="K495" i="26"/>
  <c r="K494" i="26"/>
  <c r="K493" i="26"/>
  <c r="K492" i="26"/>
  <c r="K491" i="26"/>
  <c r="K490" i="26"/>
  <c r="K489" i="26"/>
  <c r="K488" i="26"/>
  <c r="K487" i="26"/>
  <c r="K486" i="26"/>
  <c r="K485" i="26"/>
  <c r="K484" i="26"/>
  <c r="K483" i="26"/>
  <c r="K482" i="26"/>
  <c r="K481" i="26"/>
  <c r="K480" i="26"/>
  <c r="K479" i="26"/>
  <c r="K478" i="26"/>
  <c r="K477" i="26"/>
  <c r="K476" i="26"/>
  <c r="K475" i="26"/>
  <c r="K474" i="26"/>
  <c r="K473" i="26"/>
  <c r="K472" i="26"/>
  <c r="K471" i="26"/>
  <c r="K470" i="26"/>
  <c r="K469" i="26"/>
  <c r="K468" i="26"/>
  <c r="K467" i="26"/>
  <c r="K466" i="26"/>
  <c r="K465" i="26"/>
  <c r="K464" i="26"/>
  <c r="K463" i="26"/>
  <c r="K462" i="26"/>
  <c r="K461" i="26"/>
  <c r="K460" i="26"/>
  <c r="K459" i="26"/>
  <c r="K458" i="26"/>
  <c r="K457" i="26"/>
  <c r="K456" i="26"/>
  <c r="K455" i="26"/>
  <c r="K454" i="26"/>
  <c r="K453" i="26"/>
  <c r="K452" i="26"/>
  <c r="K451" i="26"/>
  <c r="K450" i="26"/>
  <c r="K449" i="26"/>
  <c r="K448" i="26"/>
  <c r="K447" i="26"/>
  <c r="K446" i="26"/>
  <c r="K445" i="26"/>
  <c r="K444" i="26"/>
  <c r="K443" i="26"/>
  <c r="K442" i="26"/>
  <c r="K441" i="26"/>
  <c r="K440" i="26"/>
  <c r="K439" i="26"/>
  <c r="K438" i="26"/>
  <c r="K437" i="26"/>
  <c r="K436" i="26"/>
  <c r="K435" i="26"/>
  <c r="K434" i="26"/>
  <c r="K433" i="26"/>
  <c r="K432" i="26"/>
  <c r="K431" i="26"/>
  <c r="K430" i="26"/>
  <c r="K429" i="26"/>
  <c r="K428" i="26"/>
  <c r="K427" i="26"/>
  <c r="K426" i="26"/>
  <c r="K425" i="26"/>
  <c r="K424" i="26"/>
  <c r="K423" i="26"/>
  <c r="K422" i="26"/>
  <c r="K421" i="26"/>
  <c r="K420" i="26"/>
  <c r="K419" i="26"/>
  <c r="K418" i="26"/>
  <c r="K417" i="26"/>
  <c r="K416" i="26"/>
  <c r="K415" i="26"/>
  <c r="K414" i="26"/>
  <c r="K413" i="26"/>
  <c r="K412" i="26"/>
  <c r="K411" i="26"/>
  <c r="K410" i="26"/>
  <c r="K409" i="26"/>
  <c r="K408" i="26"/>
  <c r="K407" i="26"/>
  <c r="K406" i="26"/>
  <c r="K405" i="26"/>
  <c r="K404" i="26"/>
  <c r="K403" i="26"/>
  <c r="K402" i="26"/>
  <c r="K401" i="26"/>
  <c r="K400" i="26"/>
  <c r="K399" i="26"/>
  <c r="K398" i="26"/>
  <c r="K397" i="26"/>
  <c r="K396" i="26"/>
  <c r="K395" i="26"/>
  <c r="K394" i="26"/>
  <c r="K393" i="26"/>
  <c r="K392" i="26"/>
  <c r="K391" i="26"/>
  <c r="K390" i="26"/>
  <c r="K389" i="26"/>
  <c r="K388" i="26"/>
  <c r="K387" i="26"/>
  <c r="K386" i="26"/>
  <c r="K385" i="26"/>
  <c r="K384" i="26"/>
  <c r="K383" i="26"/>
  <c r="K382" i="26"/>
  <c r="K381" i="26"/>
  <c r="K380" i="26"/>
  <c r="K379" i="26"/>
  <c r="K378" i="26"/>
  <c r="K377" i="26"/>
  <c r="K376" i="26"/>
  <c r="K375" i="26"/>
  <c r="K374" i="26"/>
  <c r="K373" i="26"/>
  <c r="K372" i="26"/>
  <c r="K371" i="26"/>
  <c r="K370" i="26"/>
  <c r="K369" i="26"/>
  <c r="K368" i="26"/>
  <c r="K367" i="26"/>
  <c r="K366" i="26"/>
  <c r="K365" i="26"/>
  <c r="K364" i="26"/>
  <c r="K363" i="26"/>
  <c r="K362" i="26"/>
  <c r="K361" i="26"/>
  <c r="K360" i="26"/>
  <c r="K359" i="26"/>
  <c r="K358" i="26"/>
  <c r="K357" i="26"/>
  <c r="K356" i="26"/>
  <c r="K355" i="26"/>
  <c r="K354" i="26"/>
  <c r="K353" i="26"/>
  <c r="K352" i="26"/>
  <c r="K351" i="26"/>
  <c r="K350" i="26"/>
  <c r="K349" i="26"/>
  <c r="K348" i="26"/>
  <c r="K347" i="26"/>
  <c r="K346" i="26"/>
  <c r="K345" i="26"/>
  <c r="K344" i="26"/>
  <c r="K343" i="26"/>
  <c r="K342" i="26"/>
  <c r="K341" i="26"/>
  <c r="K340" i="26"/>
  <c r="K339" i="26"/>
  <c r="K338" i="26"/>
  <c r="K337" i="26"/>
  <c r="K336" i="26"/>
  <c r="K335" i="26"/>
  <c r="K334" i="26"/>
  <c r="K333" i="26"/>
  <c r="K332" i="26"/>
  <c r="K331" i="26"/>
  <c r="K330" i="26"/>
  <c r="K329" i="26"/>
  <c r="K328" i="26"/>
  <c r="K327" i="26"/>
  <c r="K326" i="26"/>
  <c r="K325" i="26"/>
  <c r="K324" i="26"/>
  <c r="K323" i="26"/>
  <c r="K322" i="26"/>
  <c r="K321" i="26"/>
  <c r="K320" i="26"/>
  <c r="K319" i="26"/>
  <c r="K318" i="26"/>
  <c r="K317" i="26"/>
  <c r="K316" i="26"/>
  <c r="K315" i="26"/>
  <c r="K314" i="26"/>
  <c r="K313" i="26"/>
  <c r="K312" i="26"/>
  <c r="K311" i="26"/>
  <c r="K310" i="26"/>
  <c r="K309" i="26"/>
  <c r="K308" i="26"/>
  <c r="K307" i="26"/>
  <c r="K306" i="26"/>
  <c r="K305" i="26"/>
  <c r="K304" i="26"/>
  <c r="K303" i="26"/>
  <c r="K302" i="26"/>
  <c r="K301" i="26"/>
  <c r="K300" i="26"/>
  <c r="K299" i="26"/>
  <c r="K298" i="26"/>
  <c r="K297" i="26"/>
  <c r="K296" i="26"/>
  <c r="K295" i="26"/>
  <c r="K294" i="26"/>
  <c r="K293" i="26"/>
  <c r="K292" i="26"/>
  <c r="K291" i="26"/>
  <c r="K290" i="26"/>
  <c r="K289" i="26"/>
  <c r="K288" i="26"/>
  <c r="K287" i="26"/>
  <c r="K286" i="26"/>
  <c r="K285" i="26"/>
  <c r="K284" i="26"/>
  <c r="K283" i="26"/>
  <c r="K282" i="26"/>
  <c r="K281" i="26"/>
  <c r="K280" i="26"/>
  <c r="K279" i="26"/>
  <c r="K278" i="26"/>
  <c r="K277" i="26"/>
  <c r="K276" i="26"/>
  <c r="K275" i="26"/>
  <c r="K274" i="26"/>
  <c r="K273" i="26"/>
  <c r="K272" i="26"/>
  <c r="K271" i="26"/>
  <c r="K270" i="26"/>
  <c r="K269" i="26"/>
  <c r="K268" i="26"/>
  <c r="K267" i="26"/>
  <c r="K266" i="26"/>
  <c r="K265" i="26"/>
  <c r="K264" i="26"/>
  <c r="K263" i="26"/>
  <c r="K262" i="26"/>
  <c r="K261" i="26"/>
  <c r="K260" i="26"/>
  <c r="K259" i="26"/>
  <c r="K258" i="26"/>
  <c r="K257" i="26"/>
  <c r="K256" i="26"/>
  <c r="K255" i="26"/>
  <c r="K254" i="26"/>
  <c r="K253" i="26"/>
  <c r="K252" i="26"/>
  <c r="K251" i="26"/>
  <c r="K250" i="26"/>
  <c r="K249" i="26"/>
  <c r="K248" i="26"/>
  <c r="K247" i="26"/>
  <c r="K246" i="26"/>
  <c r="K245" i="26"/>
  <c r="K244" i="26"/>
  <c r="K243" i="26"/>
  <c r="K242" i="26"/>
  <c r="K241" i="26"/>
  <c r="K240" i="26"/>
  <c r="K239" i="26"/>
  <c r="K238" i="26"/>
  <c r="K237" i="26"/>
  <c r="K236" i="26"/>
  <c r="K235" i="26"/>
  <c r="K234" i="26"/>
  <c r="K233" i="26"/>
  <c r="K232" i="26"/>
  <c r="K231" i="26"/>
  <c r="K230" i="26"/>
  <c r="K229" i="26"/>
  <c r="K228" i="26"/>
  <c r="K227" i="26"/>
  <c r="K226" i="26"/>
  <c r="K225" i="26"/>
  <c r="K224" i="26"/>
  <c r="K223" i="26"/>
  <c r="K222" i="26"/>
  <c r="K221" i="26"/>
  <c r="K220" i="26"/>
  <c r="K219" i="26"/>
  <c r="K218" i="26"/>
  <c r="K217" i="26"/>
  <c r="K216" i="26"/>
  <c r="K215" i="26"/>
  <c r="K214" i="26"/>
  <c r="K213" i="26"/>
  <c r="K212" i="26"/>
  <c r="K211" i="26"/>
  <c r="K210" i="26"/>
  <c r="K209" i="26"/>
  <c r="K208" i="26"/>
  <c r="K207" i="26"/>
  <c r="K206" i="26"/>
  <c r="K205" i="26"/>
  <c r="K204" i="26"/>
  <c r="K203" i="26"/>
  <c r="K202" i="26"/>
  <c r="K201" i="26"/>
  <c r="K200" i="26"/>
  <c r="K199" i="26"/>
  <c r="K198" i="26"/>
  <c r="K197" i="26"/>
  <c r="K196" i="26"/>
  <c r="K195" i="26"/>
  <c r="K194" i="26"/>
  <c r="K193" i="26"/>
  <c r="K192" i="26"/>
  <c r="K191" i="26"/>
  <c r="K190" i="26"/>
  <c r="K189" i="26"/>
  <c r="K188" i="26"/>
  <c r="K187" i="26"/>
  <c r="K186" i="26"/>
  <c r="K185" i="26"/>
  <c r="K184" i="26"/>
  <c r="K183" i="26"/>
  <c r="K182" i="26"/>
  <c r="K181" i="26"/>
  <c r="K180" i="26"/>
  <c r="K179" i="26"/>
  <c r="K178" i="26"/>
  <c r="K177" i="26"/>
  <c r="K176" i="26"/>
  <c r="K175" i="26"/>
  <c r="K174" i="26"/>
  <c r="K173" i="26"/>
  <c r="K172" i="26"/>
  <c r="K171" i="26"/>
  <c r="K170" i="26"/>
  <c r="K169" i="26"/>
  <c r="K168" i="26"/>
  <c r="K167" i="26"/>
  <c r="K166" i="26"/>
  <c r="K165" i="26"/>
  <c r="K164" i="26"/>
  <c r="K163" i="26"/>
  <c r="K162" i="26"/>
  <c r="K161" i="26"/>
  <c r="K160" i="26"/>
  <c r="K159" i="26"/>
  <c r="K158" i="26"/>
  <c r="K157" i="26"/>
  <c r="K156" i="26"/>
  <c r="K155" i="26"/>
  <c r="K154" i="26"/>
  <c r="K153" i="26"/>
  <c r="K152" i="26"/>
  <c r="K151" i="26"/>
  <c r="K150" i="26"/>
  <c r="K149" i="26"/>
  <c r="K148" i="26"/>
  <c r="K147" i="26"/>
  <c r="K146" i="26"/>
  <c r="K145" i="26"/>
  <c r="K144" i="26"/>
  <c r="K143" i="26"/>
  <c r="K142" i="26"/>
  <c r="K141" i="26"/>
  <c r="K140" i="26"/>
  <c r="K139" i="26"/>
  <c r="K138" i="26"/>
  <c r="K137" i="26"/>
  <c r="K136" i="26"/>
  <c r="K135" i="26"/>
  <c r="K134" i="26"/>
  <c r="K133" i="26"/>
  <c r="K132" i="26"/>
  <c r="K131" i="26"/>
  <c r="K130" i="26"/>
  <c r="K129" i="26"/>
  <c r="K128" i="26"/>
  <c r="K127" i="26"/>
  <c r="K126" i="26"/>
  <c r="K125" i="26"/>
  <c r="K124" i="26"/>
  <c r="K123" i="26"/>
  <c r="K122" i="26"/>
  <c r="K121" i="26"/>
  <c r="K120" i="26"/>
  <c r="K119" i="26"/>
  <c r="K118" i="26"/>
  <c r="K117" i="26"/>
  <c r="K116" i="26"/>
  <c r="K115" i="26"/>
  <c r="K114" i="26"/>
  <c r="K113" i="26"/>
  <c r="K112" i="26"/>
  <c r="K111" i="26"/>
  <c r="K110" i="26"/>
  <c r="K109" i="26"/>
  <c r="K108" i="26"/>
  <c r="K107" i="26"/>
  <c r="K106" i="26"/>
  <c r="K105" i="26"/>
  <c r="K104" i="26"/>
  <c r="K103" i="26"/>
  <c r="K102" i="26"/>
  <c r="K101" i="26"/>
  <c r="K100" i="26"/>
  <c r="K99" i="26"/>
  <c r="K98" i="26"/>
  <c r="K97" i="26"/>
  <c r="K96" i="26"/>
  <c r="K95" i="26"/>
  <c r="K94" i="26"/>
  <c r="K93" i="26"/>
  <c r="K92" i="26"/>
  <c r="K91" i="26"/>
  <c r="K90" i="26"/>
  <c r="K89" i="26"/>
  <c r="K88" i="26"/>
  <c r="K87" i="26"/>
  <c r="K86" i="26"/>
  <c r="K85" i="26"/>
  <c r="K84" i="26"/>
  <c r="K83" i="26"/>
  <c r="K82" i="26"/>
  <c r="K81" i="26"/>
  <c r="K80" i="26"/>
  <c r="K79" i="26"/>
  <c r="K78" i="26"/>
  <c r="K77" i="26"/>
  <c r="K76" i="26"/>
  <c r="K75" i="26"/>
  <c r="K74" i="26"/>
  <c r="K73" i="26"/>
  <c r="K72" i="26"/>
  <c r="K71" i="26"/>
  <c r="K70" i="26"/>
  <c r="K69" i="26"/>
  <c r="K68" i="26"/>
  <c r="K67" i="26"/>
  <c r="K66" i="26"/>
  <c r="K65" i="26"/>
  <c r="K64" i="26"/>
  <c r="K63" i="26"/>
  <c r="K62" i="26"/>
  <c r="K61" i="26"/>
  <c r="K60" i="26"/>
  <c r="K59" i="26"/>
  <c r="K58" i="26"/>
  <c r="K57" i="26"/>
  <c r="K56" i="26"/>
  <c r="K55" i="26"/>
  <c r="K54" i="26"/>
  <c r="K53" i="26"/>
  <c r="K52" i="26"/>
  <c r="K51" i="26"/>
  <c r="K50" i="26"/>
  <c r="K49" i="26"/>
  <c r="K48" i="26"/>
  <c r="K47" i="26"/>
  <c r="K46" i="26"/>
  <c r="K45" i="26"/>
  <c r="K44" i="26"/>
  <c r="K43" i="26"/>
  <c r="K42" i="26"/>
  <c r="K41" i="26"/>
  <c r="K40" i="26"/>
  <c r="K39" i="26"/>
  <c r="K38" i="26"/>
  <c r="K37" i="26"/>
  <c r="K36" i="26"/>
  <c r="K35" i="26"/>
  <c r="K34" i="26"/>
  <c r="K33" i="26"/>
  <c r="K32" i="26"/>
  <c r="K31" i="26"/>
  <c r="K30" i="26"/>
  <c r="K29" i="26"/>
  <c r="K28" i="26"/>
  <c r="K27" i="26"/>
  <c r="K26" i="26"/>
  <c r="K25" i="26"/>
  <c r="K24" i="26"/>
  <c r="K23" i="26"/>
  <c r="K22" i="26"/>
  <c r="K21" i="26"/>
  <c r="K20" i="26"/>
  <c r="K19" i="26"/>
  <c r="K18" i="26"/>
  <c r="K17" i="26"/>
  <c r="K16" i="26"/>
  <c r="K15" i="26"/>
  <c r="K14" i="26"/>
  <c r="K13" i="26"/>
  <c r="K10" i="26"/>
  <c r="K9" i="26"/>
  <c r="K8" i="26"/>
  <c r="K7" i="26"/>
  <c r="K6" i="26"/>
  <c r="K5" i="26"/>
  <c r="K4" i="26"/>
  <c r="K3" i="26"/>
  <c r="K2" i="26"/>
  <c r="C3" i="25" l="1"/>
  <c r="G3" i="25"/>
  <c r="C4" i="25"/>
  <c r="G4" i="25"/>
  <c r="C5" i="25"/>
  <c r="G5" i="25"/>
  <c r="C6" i="25"/>
  <c r="G6" i="25"/>
  <c r="C7" i="25"/>
  <c r="G7" i="25"/>
  <c r="C8" i="25"/>
  <c r="G8" i="25"/>
  <c r="C9" i="25"/>
  <c r="G9" i="25"/>
  <c r="C10" i="25"/>
  <c r="G10" i="25"/>
  <c r="G11" i="25"/>
  <c r="C12" i="25"/>
  <c r="G12" i="25"/>
  <c r="B53" i="25"/>
  <c r="C53" i="25" s="1"/>
  <c r="C49" i="25"/>
  <c r="C50" i="25" s="1"/>
  <c r="C51" i="25" s="1"/>
  <c r="C52" i="25" s="1"/>
  <c r="B44" i="25"/>
  <c r="C44" i="25" s="1"/>
  <c r="C32" i="25"/>
  <c r="C33" i="25" s="1"/>
  <c r="C34" i="25" s="1"/>
  <c r="C35" i="25" s="1"/>
  <c r="C36" i="25" s="1"/>
  <c r="C37" i="25" s="1"/>
  <c r="C38" i="25" s="1"/>
  <c r="C39" i="25" s="1"/>
  <c r="C40" i="25" s="1"/>
  <c r="C41" i="25" s="1"/>
  <c r="C42" i="25" s="1"/>
  <c r="C43" i="25" s="1"/>
  <c r="C27" i="25"/>
  <c r="C26" i="25"/>
  <c r="C25" i="25"/>
  <c r="J24" i="25"/>
  <c r="C24" i="25"/>
  <c r="F20" i="25"/>
  <c r="E20" i="25"/>
  <c r="F19" i="25"/>
  <c r="E19" i="25"/>
  <c r="F18" i="25"/>
  <c r="E18" i="25"/>
  <c r="E17" i="25"/>
  <c r="B1722" i="5"/>
  <c r="C1722" i="5"/>
  <c r="B1723" i="5"/>
  <c r="C1723" i="5"/>
  <c r="B1724" i="5"/>
  <c r="C1724" i="5"/>
  <c r="B1725" i="5"/>
  <c r="C1725" i="5"/>
  <c r="B1720" i="5"/>
  <c r="C1720" i="5"/>
  <c r="B1715" i="5"/>
  <c r="C1715" i="5"/>
  <c r="B1716" i="5"/>
  <c r="C1716" i="5"/>
  <c r="B1717" i="5"/>
  <c r="C1717" i="5"/>
  <c r="B1718" i="5"/>
  <c r="C1718" i="5"/>
  <c r="C1714" i="5"/>
  <c r="B1714" i="5"/>
  <c r="B1713" i="5"/>
  <c r="C1713" i="5"/>
  <c r="G21" i="25" l="1"/>
  <c r="G17" i="25"/>
  <c r="G19" i="25"/>
  <c r="G20" i="25"/>
  <c r="G18" i="25"/>
  <c r="B1681" i="5"/>
  <c r="C1681" i="5"/>
  <c r="B1682" i="5"/>
  <c r="C1682" i="5"/>
  <c r="B1683" i="5"/>
  <c r="C1683" i="5"/>
  <c r="B1684" i="5"/>
  <c r="C1684" i="5"/>
  <c r="B1685" i="5"/>
  <c r="C1685" i="5"/>
  <c r="B1686" i="5"/>
  <c r="C1686" i="5"/>
  <c r="B1687" i="5"/>
  <c r="C1687" i="5"/>
  <c r="B1688" i="5"/>
  <c r="C1688" i="5"/>
  <c r="B1689" i="5"/>
  <c r="C1689" i="5"/>
  <c r="B1690" i="5"/>
  <c r="C1690" i="5"/>
  <c r="B1691" i="5"/>
  <c r="C1691" i="5"/>
  <c r="B1692" i="5"/>
  <c r="C1692" i="5"/>
  <c r="B1693" i="5"/>
  <c r="C1693" i="5"/>
  <c r="B1695" i="5"/>
  <c r="C1695" i="5"/>
  <c r="B1696" i="5"/>
  <c r="C1696" i="5"/>
  <c r="B1697" i="5"/>
  <c r="C1697" i="5"/>
  <c r="B1698" i="5"/>
  <c r="C1698" i="5"/>
  <c r="B1699" i="5"/>
  <c r="C1699" i="5"/>
  <c r="B1700" i="5"/>
  <c r="C1700" i="5"/>
  <c r="B1701" i="5"/>
  <c r="C1701" i="5"/>
  <c r="B1702" i="5"/>
  <c r="C1702" i="5"/>
  <c r="B1703" i="5"/>
  <c r="C1703" i="5"/>
  <c r="B1704" i="5"/>
  <c r="C1704" i="5"/>
  <c r="B1706" i="5"/>
  <c r="C1706" i="5"/>
  <c r="B1707" i="5"/>
  <c r="C1707" i="5"/>
  <c r="B1708" i="5"/>
  <c r="C1708" i="5"/>
  <c r="B1709" i="5"/>
  <c r="C1709" i="5"/>
  <c r="B1678" i="5"/>
  <c r="C1678" i="5"/>
  <c r="B1679" i="5"/>
  <c r="C1679" i="5"/>
  <c r="B1680" i="5"/>
  <c r="C1680" i="5"/>
  <c r="B1670" i="5"/>
  <c r="C1670" i="5"/>
  <c r="B1671" i="5"/>
  <c r="C1671" i="5"/>
  <c r="B1672" i="5"/>
  <c r="C1672" i="5"/>
  <c r="B1674" i="5"/>
  <c r="C1674" i="5"/>
  <c r="B1675" i="5"/>
  <c r="C1675" i="5"/>
  <c r="B1676" i="5"/>
  <c r="C1676" i="5"/>
  <c r="B1669" i="5"/>
  <c r="C1669" i="5"/>
  <c r="B1665" i="5"/>
  <c r="C1665" i="5"/>
  <c r="B1667" i="5"/>
  <c r="C1667" i="5"/>
  <c r="B1668" i="5"/>
  <c r="C1668" i="5"/>
  <c r="B1659" i="5"/>
  <c r="C1659" i="5"/>
  <c r="B1660" i="5"/>
  <c r="C1660" i="5"/>
  <c r="B1661" i="5"/>
  <c r="C1661" i="5"/>
  <c r="B1662" i="5"/>
  <c r="C1662" i="5"/>
  <c r="B1663" i="5"/>
  <c r="C1663" i="5"/>
  <c r="B1664" i="5"/>
  <c r="C1664" i="5"/>
  <c r="B1655" i="5"/>
  <c r="C1655" i="5"/>
  <c r="B1656" i="5"/>
  <c r="C1656" i="5"/>
  <c r="B1657" i="5"/>
  <c r="C1657" i="5"/>
  <c r="B1658" i="5"/>
  <c r="C1658" i="5"/>
  <c r="B52" i="10"/>
  <c r="G14" i="10" l="1"/>
  <c r="C1275" i="5" l="1"/>
  <c r="C1274" i="5"/>
  <c r="B1654" i="5"/>
  <c r="C1654" i="5"/>
  <c r="J24" i="10"/>
  <c r="C1628" i="5" l="1"/>
  <c r="B1628" i="5"/>
  <c r="B1639" i="5"/>
  <c r="C1639" i="5"/>
  <c r="B1640" i="5"/>
  <c r="C1640" i="5"/>
  <c r="B1641" i="5"/>
  <c r="C1641" i="5"/>
  <c r="B1642" i="5"/>
  <c r="C1642" i="5"/>
  <c r="B1644" i="5"/>
  <c r="C1644" i="5"/>
  <c r="B1645" i="5"/>
  <c r="C1645" i="5"/>
  <c r="B1646" i="5"/>
  <c r="C1646" i="5"/>
  <c r="B1647" i="5"/>
  <c r="C1647" i="5"/>
  <c r="B1633" i="5"/>
  <c r="C1633" i="5"/>
  <c r="B1634" i="5"/>
  <c r="C1634" i="5"/>
  <c r="B1635" i="5"/>
  <c r="C1635" i="5"/>
  <c r="B1636" i="5"/>
  <c r="C1636" i="5"/>
  <c r="B1637" i="5"/>
  <c r="C1637" i="5"/>
  <c r="C1631" i="5"/>
  <c r="B1631" i="5"/>
  <c r="C1630" i="5"/>
  <c r="B1630" i="5"/>
  <c r="C1629" i="5"/>
  <c r="B1629" i="5"/>
  <c r="C1627" i="5"/>
  <c r="B1627" i="5"/>
  <c r="C1626" i="5"/>
  <c r="B1626" i="5"/>
  <c r="B1624" i="5"/>
  <c r="C1624" i="5"/>
  <c r="B1625" i="5"/>
  <c r="C1625" i="5"/>
  <c r="B1598" i="5"/>
  <c r="C1598" i="5"/>
  <c r="B1599" i="5"/>
  <c r="C1599" i="5"/>
  <c r="C1603" i="5"/>
  <c r="B1603" i="5"/>
  <c r="C1602" i="5"/>
  <c r="B1602" i="5"/>
  <c r="C1601" i="5"/>
  <c r="B1601" i="5"/>
  <c r="C1596" i="5"/>
  <c r="B1596" i="5"/>
  <c r="C1611" i="5"/>
  <c r="B1611" i="5"/>
  <c r="C1609" i="5"/>
  <c r="B1609" i="5"/>
  <c r="C1608" i="5"/>
  <c r="B1608" i="5"/>
  <c r="C1595" i="5"/>
  <c r="B1595" i="5"/>
  <c r="C1594" i="5"/>
  <c r="B1594" i="5"/>
  <c r="C1607" i="5"/>
  <c r="B1607" i="5"/>
  <c r="C1606" i="5"/>
  <c r="B1606" i="5"/>
  <c r="C1604" i="5"/>
  <c r="B1604" i="5"/>
  <c r="C1616" i="5"/>
  <c r="B1616" i="5"/>
  <c r="C1614" i="5"/>
  <c r="B1614" i="5"/>
  <c r="C1613" i="5"/>
  <c r="B1613" i="5"/>
  <c r="C1612" i="5"/>
  <c r="B1612" i="5"/>
  <c r="B1619" i="5"/>
  <c r="C1619" i="5"/>
  <c r="B1620" i="5"/>
  <c r="C1620" i="5"/>
  <c r="B1621" i="5"/>
  <c r="C1621" i="5"/>
  <c r="B1622" i="5"/>
  <c r="C1622" i="5"/>
  <c r="B1623" i="5"/>
  <c r="C1623" i="5"/>
  <c r="B1591" i="5"/>
  <c r="C1591" i="5"/>
  <c r="B1578" i="5"/>
  <c r="C1578" i="5"/>
  <c r="C1590" i="5"/>
  <c r="B1590" i="5"/>
  <c r="C1588" i="5"/>
  <c r="B1588" i="5"/>
  <c r="B1587" i="5"/>
  <c r="C1587" i="5"/>
  <c r="C1577" i="5"/>
  <c r="B1577" i="5"/>
  <c r="C1576" i="5"/>
  <c r="B1576" i="5"/>
  <c r="C1574" i="5"/>
  <c r="B1574" i="5"/>
  <c r="B1581" i="5"/>
  <c r="C1581" i="5"/>
  <c r="B1582" i="5"/>
  <c r="C1582" i="5"/>
  <c r="C27" i="10"/>
  <c r="B1570" i="5" l="1"/>
  <c r="C1570" i="5"/>
  <c r="B1571" i="5"/>
  <c r="C1571" i="5"/>
  <c r="B1568" i="5"/>
  <c r="C1568" i="5"/>
  <c r="C1586" i="5"/>
  <c r="B1586" i="5"/>
  <c r="B1567" i="5"/>
  <c r="C1567" i="5"/>
  <c r="C1563" i="5" l="1"/>
  <c r="B1565" i="5"/>
  <c r="C1565" i="5"/>
  <c r="B1566" i="5"/>
  <c r="C1566" i="5"/>
  <c r="B1555" i="5"/>
  <c r="C1555" i="5"/>
  <c r="C1546" i="5"/>
  <c r="B1546" i="5"/>
  <c r="B1556" i="5"/>
  <c r="C1556" i="5"/>
  <c r="B1558" i="5"/>
  <c r="C1558" i="5"/>
  <c r="C1560" i="5"/>
  <c r="C1554" i="5"/>
  <c r="B1553" i="5"/>
  <c r="C1553" i="5"/>
  <c r="B1583" i="5" l="1"/>
  <c r="C1583" i="5"/>
  <c r="B1584" i="5"/>
  <c r="C1584" i="5"/>
  <c r="B1550" i="5"/>
  <c r="C1550" i="5"/>
  <c r="C1914" i="5"/>
  <c r="C1923" i="5"/>
  <c r="C1924" i="5"/>
  <c r="C1925" i="5"/>
  <c r="C1950" i="5"/>
  <c r="C1951" i="5"/>
  <c r="C1952" i="5"/>
  <c r="C1953" i="5"/>
  <c r="C1954" i="5"/>
  <c r="C1955" i="5"/>
  <c r="C1956" i="5"/>
  <c r="C1957" i="5"/>
  <c r="B1542" i="5"/>
  <c r="C1542" i="5"/>
  <c r="B1543" i="5"/>
  <c r="C1543" i="5"/>
  <c r="B1544" i="5"/>
  <c r="C1544" i="5"/>
  <c r="B1545" i="5"/>
  <c r="C1545" i="5"/>
  <c r="B1547" i="5"/>
  <c r="C1547" i="5"/>
  <c r="B1548" i="5"/>
  <c r="C1548" i="5"/>
  <c r="B1549" i="5"/>
  <c r="C1549" i="5"/>
  <c r="B1580" i="5"/>
  <c r="C1580" i="5"/>
  <c r="C1539" i="5"/>
  <c r="B1539" i="5"/>
  <c r="B1540" i="5" l="1"/>
  <c r="C1540" i="5"/>
  <c r="B1541" i="5"/>
  <c r="C1541" i="5"/>
  <c r="B1524" i="5"/>
  <c r="C1524" i="5"/>
  <c r="B1529" i="5"/>
  <c r="C1529" i="5"/>
  <c r="C1528" i="5"/>
  <c r="B1528" i="5"/>
  <c r="C1527" i="5"/>
  <c r="B1527" i="5"/>
  <c r="C1533" i="5"/>
  <c r="B1533" i="5"/>
  <c r="C1532" i="5"/>
  <c r="B1532" i="5"/>
  <c r="C1531" i="5"/>
  <c r="B1531" i="5"/>
  <c r="C1530" i="5"/>
  <c r="B1530" i="5"/>
  <c r="C1537" i="5"/>
  <c r="B1537" i="5"/>
  <c r="C1536" i="5"/>
  <c r="B1536" i="5"/>
  <c r="C1535" i="5"/>
  <c r="B1535" i="5"/>
  <c r="C1522" i="5"/>
  <c r="B1522" i="5"/>
  <c r="C1521" i="5"/>
  <c r="B1521" i="5"/>
  <c r="B1517" i="5"/>
  <c r="C1517" i="5"/>
  <c r="B1518" i="5"/>
  <c r="C1518" i="5"/>
  <c r="B1519" i="5"/>
  <c r="C1519" i="5"/>
  <c r="B1520" i="5"/>
  <c r="C1520" i="5"/>
  <c r="B1436" i="5" l="1"/>
  <c r="C1436" i="5"/>
  <c r="B1515" i="5"/>
  <c r="C1515" i="5"/>
  <c r="B1508" i="5"/>
  <c r="C1508" i="5"/>
  <c r="B1455" i="5"/>
  <c r="C1455" i="5"/>
  <c r="B1456" i="5"/>
  <c r="C1456" i="5"/>
  <c r="B1457" i="5"/>
  <c r="C1457" i="5"/>
  <c r="C1493" i="5"/>
  <c r="B1493" i="5"/>
  <c r="B1386" i="5"/>
  <c r="C1386" i="5"/>
  <c r="C1507" i="5"/>
  <c r="B1498" i="5"/>
  <c r="C1498" i="5"/>
  <c r="B1499" i="5"/>
  <c r="C1499" i="5"/>
  <c r="B1500" i="5"/>
  <c r="C1500" i="5"/>
  <c r="B1501" i="5"/>
  <c r="C1501" i="5"/>
  <c r="B1502" i="5"/>
  <c r="C1502" i="5"/>
  <c r="B1503" i="5"/>
  <c r="C1503" i="5"/>
  <c r="B1504" i="5"/>
  <c r="C1504" i="5"/>
  <c r="B1505" i="5"/>
  <c r="C1505" i="5"/>
  <c r="B1506" i="5"/>
  <c r="C1506" i="5"/>
  <c r="B1509" i="5"/>
  <c r="B1510" i="5"/>
  <c r="C1510" i="5"/>
  <c r="B1511" i="5"/>
  <c r="C1511" i="5"/>
  <c r="B1512" i="5"/>
  <c r="C1512" i="5"/>
  <c r="B1513" i="5"/>
  <c r="C1513" i="5"/>
  <c r="B1514" i="5"/>
  <c r="C1514" i="5"/>
  <c r="B1477" i="5"/>
  <c r="C1477" i="5"/>
  <c r="B1479" i="5"/>
  <c r="C1479" i="5"/>
  <c r="B1480" i="5"/>
  <c r="C1480" i="5"/>
  <c r="B1481" i="5"/>
  <c r="C1481" i="5"/>
  <c r="B1482" i="5"/>
  <c r="C1482" i="5"/>
  <c r="B1484" i="5"/>
  <c r="C1484" i="5"/>
  <c r="B1485" i="5"/>
  <c r="C1485" i="5"/>
  <c r="B1486" i="5"/>
  <c r="C1486" i="5"/>
  <c r="B1487" i="5"/>
  <c r="C1487" i="5"/>
  <c r="B1489" i="5"/>
  <c r="C1489" i="5"/>
  <c r="B1471" i="5"/>
  <c r="C1471" i="5"/>
  <c r="B1473" i="5"/>
  <c r="C1473" i="5"/>
  <c r="B1474" i="5"/>
  <c r="C1474" i="5"/>
  <c r="B1449" i="5"/>
  <c r="C1449" i="5"/>
  <c r="B1450" i="5"/>
  <c r="C1450" i="5"/>
  <c r="B1451" i="5"/>
  <c r="C1451" i="5"/>
  <c r="C26" i="10"/>
  <c r="C25" i="10"/>
  <c r="B1444" i="5" l="1"/>
  <c r="C1444" i="5"/>
  <c r="B1445" i="5"/>
  <c r="C1445" i="5"/>
  <c r="B1446" i="5"/>
  <c r="C1446" i="5"/>
  <c r="B1447" i="5"/>
  <c r="C1447" i="5"/>
  <c r="B1448" i="5"/>
  <c r="C1448" i="5"/>
  <c r="B1441" i="5" l="1"/>
  <c r="B1442" i="5"/>
  <c r="B1443" i="5"/>
  <c r="C1433" i="5" l="1"/>
  <c r="B1433" i="5"/>
  <c r="B1429" i="5"/>
  <c r="C1429" i="5"/>
  <c r="B1367" i="5"/>
  <c r="C1367" i="5"/>
  <c r="B1438" i="5" l="1"/>
  <c r="C1438" i="5"/>
  <c r="B1439" i="5"/>
  <c r="C1439" i="5"/>
  <c r="C1442" i="5"/>
  <c r="C1443" i="5"/>
  <c r="B1453" i="5"/>
  <c r="C1453" i="5"/>
  <c r="B1497" i="5" l="1"/>
  <c r="C1497" i="5"/>
  <c r="B1461" i="5"/>
  <c r="C1461" i="5"/>
  <c r="B1462" i="5"/>
  <c r="C1462" i="5"/>
  <c r="B1464" i="5"/>
  <c r="C1464" i="5"/>
  <c r="B1465" i="5"/>
  <c r="C1465" i="5"/>
  <c r="B1467" i="5"/>
  <c r="C1467" i="5"/>
  <c r="B1468" i="5"/>
  <c r="C1468" i="5"/>
  <c r="B1476" i="5"/>
  <c r="C1476" i="5"/>
  <c r="B1425" i="5"/>
  <c r="C1425" i="5"/>
  <c r="B1414" i="5"/>
  <c r="C1414" i="5"/>
  <c r="B1415" i="5"/>
  <c r="C1415" i="5"/>
  <c r="B1416" i="5"/>
  <c r="C1416" i="5"/>
  <c r="B1422" i="5"/>
  <c r="C1422" i="5"/>
  <c r="B1423" i="5"/>
  <c r="C1423" i="5"/>
  <c r="B1424" i="5"/>
  <c r="C1424" i="5"/>
  <c r="B1420" i="5"/>
  <c r="C1420" i="5"/>
  <c r="B1421" i="5"/>
  <c r="C1421" i="5"/>
  <c r="B1427" i="5"/>
  <c r="C1427" i="5"/>
  <c r="B1428" i="5"/>
  <c r="C1428" i="5"/>
  <c r="B1430" i="5"/>
  <c r="C1430" i="5"/>
  <c r="B1431" i="5"/>
  <c r="C1431" i="5"/>
  <c r="B1432" i="5"/>
  <c r="C1432" i="5"/>
  <c r="C1403" i="5"/>
  <c r="B1403" i="5"/>
  <c r="C1399" i="5"/>
  <c r="B1399" i="5"/>
  <c r="B1401" i="5"/>
  <c r="C1401" i="5"/>
  <c r="B1402" i="5"/>
  <c r="C1402" i="5"/>
  <c r="B1406" i="5"/>
  <c r="C1406" i="5"/>
  <c r="B1407" i="5"/>
  <c r="C1407" i="5"/>
  <c r="B1408" i="5"/>
  <c r="C1408" i="5"/>
  <c r="B1409" i="5"/>
  <c r="C1409" i="5"/>
  <c r="B1410" i="5"/>
  <c r="C1410" i="5"/>
  <c r="B1411" i="5"/>
  <c r="C1411" i="5"/>
  <c r="G8" i="10"/>
  <c r="C8" i="10"/>
  <c r="G7" i="10"/>
  <c r="C7" i="10"/>
  <c r="B1338" i="5" l="1"/>
  <c r="C1338" i="5"/>
  <c r="B1339" i="5"/>
  <c r="C1339" i="5"/>
  <c r="B1340" i="5"/>
  <c r="C1340" i="5"/>
  <c r="B1341" i="5"/>
  <c r="C1341" i="5"/>
  <c r="B1342" i="5"/>
  <c r="C1342" i="5"/>
  <c r="B1343" i="5"/>
  <c r="C1343" i="5"/>
  <c r="B1344" i="5"/>
  <c r="C1344" i="5"/>
  <c r="B1345" i="5"/>
  <c r="C1345" i="5"/>
  <c r="B1346" i="5"/>
  <c r="C1346" i="5"/>
  <c r="B1347" i="5"/>
  <c r="C1347" i="5"/>
  <c r="B1348" i="5"/>
  <c r="C1348" i="5"/>
  <c r="B1349" i="5"/>
  <c r="C1349" i="5"/>
  <c r="B1350" i="5"/>
  <c r="C1350" i="5"/>
  <c r="B1351" i="5"/>
  <c r="C1351" i="5"/>
  <c r="B1352" i="5"/>
  <c r="C1352" i="5"/>
  <c r="B1353" i="5"/>
  <c r="C1353" i="5"/>
  <c r="B1357" i="5"/>
  <c r="C1357" i="5"/>
  <c r="B1358" i="5"/>
  <c r="C1358" i="5"/>
  <c r="B1359" i="5"/>
  <c r="C1359" i="5"/>
  <c r="B1360" i="5"/>
  <c r="C1360" i="5"/>
  <c r="B1361" i="5"/>
  <c r="C1361" i="5"/>
  <c r="B1364" i="5"/>
  <c r="C1364" i="5"/>
  <c r="B1365" i="5"/>
  <c r="C1365" i="5"/>
  <c r="B1366" i="5"/>
  <c r="C1366" i="5"/>
  <c r="B1368" i="5"/>
  <c r="C1368" i="5"/>
  <c r="B1369" i="5"/>
  <c r="C1369" i="5"/>
  <c r="B1370" i="5"/>
  <c r="C1370" i="5"/>
  <c r="B1371" i="5"/>
  <c r="C1371" i="5"/>
  <c r="B1372" i="5"/>
  <c r="C1372" i="5"/>
  <c r="B1373" i="5"/>
  <c r="C1373" i="5"/>
  <c r="B1374" i="5"/>
  <c r="C1374" i="5"/>
  <c r="B1375" i="5"/>
  <c r="C1375" i="5"/>
  <c r="B1336" i="5"/>
  <c r="C1336" i="5"/>
  <c r="B1337" i="5"/>
  <c r="C1337" i="5"/>
  <c r="C1335" i="5"/>
  <c r="B1332" i="5"/>
  <c r="C1332" i="5"/>
  <c r="B1376" i="5"/>
  <c r="C1376" i="5"/>
  <c r="B1378" i="5"/>
  <c r="C1378" i="5"/>
  <c r="B1379" i="5"/>
  <c r="C1379" i="5"/>
  <c r="B1380" i="5"/>
  <c r="C1380" i="5"/>
  <c r="B1381" i="5"/>
  <c r="C1381" i="5"/>
  <c r="B1382" i="5"/>
  <c r="C1382" i="5"/>
  <c r="B1383" i="5"/>
  <c r="C1383" i="5"/>
  <c r="B1384" i="5"/>
  <c r="C1384" i="5"/>
  <c r="B1385" i="5"/>
  <c r="C1385" i="5"/>
  <c r="B1648" i="5"/>
  <c r="C1648" i="5"/>
  <c r="B1649" i="5"/>
  <c r="C1649" i="5"/>
  <c r="B1650" i="5"/>
  <c r="C1650" i="5"/>
  <c r="B1651" i="5"/>
  <c r="C1651" i="5"/>
  <c r="B1652" i="5"/>
  <c r="C1652" i="5"/>
  <c r="B1335" i="5" l="1"/>
  <c r="B1329" i="5"/>
  <c r="C1329" i="5"/>
  <c r="B1330" i="5"/>
  <c r="C1330" i="5"/>
  <c r="B1331" i="5"/>
  <c r="C1331" i="5"/>
  <c r="C1293" i="5"/>
  <c r="B1309" i="5"/>
  <c r="C1309" i="5"/>
  <c r="B1310" i="5"/>
  <c r="C1310" i="5"/>
  <c r="B1311" i="5"/>
  <c r="C1311" i="5"/>
  <c r="B1312" i="5"/>
  <c r="C1312" i="5"/>
  <c r="B1313" i="5"/>
  <c r="C1313" i="5"/>
  <c r="B1314" i="5"/>
  <c r="C1314" i="5"/>
  <c r="B1315" i="5"/>
  <c r="C1315" i="5"/>
  <c r="B1327" i="5"/>
  <c r="C1327" i="5"/>
  <c r="B1317" i="5"/>
  <c r="C1317" i="5"/>
  <c r="B1318" i="5"/>
  <c r="C1318" i="5"/>
  <c r="B1319" i="5"/>
  <c r="C1319" i="5"/>
  <c r="B1320" i="5"/>
  <c r="C1320" i="5"/>
  <c r="B1322" i="5"/>
  <c r="C1322" i="5"/>
  <c r="B1323" i="5"/>
  <c r="C1323" i="5"/>
  <c r="B1324" i="5"/>
  <c r="C1324" i="5"/>
  <c r="B1325" i="5"/>
  <c r="C1325" i="5"/>
  <c r="C1276" i="5" l="1"/>
  <c r="C1278" i="5"/>
  <c r="C1279" i="5"/>
  <c r="C1280" i="5"/>
  <c r="C1281" i="5"/>
  <c r="C1282" i="5"/>
  <c r="C1283" i="5"/>
  <c r="C1284" i="5"/>
  <c r="C1285" i="5"/>
  <c r="C1286" i="5"/>
  <c r="C1287" i="5"/>
  <c r="C1288" i="5"/>
  <c r="C1289" i="5"/>
  <c r="C1290" i="5"/>
  <c r="C1291" i="5"/>
  <c r="C1292" i="5"/>
  <c r="C1277" i="5"/>
  <c r="C1273" i="5"/>
  <c r="C1272" i="5"/>
  <c r="B1272" i="5"/>
  <c r="C1271" i="5"/>
  <c r="C1270" i="5"/>
  <c r="C1265" i="5"/>
  <c r="B1262" i="5"/>
  <c r="C1262" i="5"/>
  <c r="B1263" i="5"/>
  <c r="C1263" i="5"/>
  <c r="B1264" i="5"/>
  <c r="C1264" i="5"/>
  <c r="B1266" i="5"/>
  <c r="C1266" i="5"/>
  <c r="B1267" i="5"/>
  <c r="C1267" i="5"/>
  <c r="B1268" i="5"/>
  <c r="C1268" i="5"/>
  <c r="B1269" i="5"/>
  <c r="C1269" i="5"/>
  <c r="B1270" i="5"/>
  <c r="B1265" i="5" l="1"/>
  <c r="F17" i="10"/>
  <c r="C24" i="10"/>
  <c r="B1235" i="5" l="1"/>
  <c r="C1235" i="5"/>
  <c r="B1236" i="5"/>
  <c r="C1236" i="5"/>
  <c r="B1237" i="5"/>
  <c r="C1237" i="5"/>
  <c r="B1238" i="5"/>
  <c r="C1238" i="5"/>
  <c r="B1239" i="5"/>
  <c r="C1239" i="5"/>
  <c r="B1240" i="5"/>
  <c r="C1240" i="5"/>
  <c r="B1227" i="5"/>
  <c r="B1232" i="5"/>
  <c r="C1211" i="5"/>
  <c r="B1211" i="5"/>
  <c r="C1233" i="5"/>
  <c r="B1234" i="5"/>
  <c r="B1225" i="5"/>
  <c r="B1222" i="5"/>
  <c r="B1223" i="5"/>
  <c r="C1223" i="5"/>
  <c r="B1224" i="5"/>
  <c r="C1224" i="5"/>
  <c r="B1226" i="5"/>
  <c r="C1226" i="5"/>
  <c r="C1228" i="5"/>
  <c r="C1229" i="5"/>
  <c r="C1230" i="5"/>
  <c r="C1231" i="5"/>
  <c r="C1232" i="5"/>
  <c r="C1227" i="5" l="1"/>
  <c r="B1233" i="5"/>
  <c r="C1234" i="5"/>
  <c r="C1225" i="5"/>
  <c r="C1222" i="5"/>
  <c r="B1214" i="5" l="1"/>
  <c r="C1214" i="5"/>
  <c r="B1210" i="5"/>
  <c r="C1210" i="5"/>
  <c r="B1212" i="5"/>
  <c r="C1212" i="5"/>
  <c r="B1209" i="5"/>
  <c r="C1209" i="5"/>
  <c r="B1208" i="5"/>
  <c r="C1208" i="5"/>
  <c r="B1076" i="5"/>
  <c r="C1076" i="5"/>
  <c r="B1077" i="5"/>
  <c r="C1077" i="5"/>
  <c r="B1078" i="5"/>
  <c r="C1078" i="5"/>
  <c r="B1079" i="5"/>
  <c r="C1079" i="5"/>
  <c r="B1080" i="5"/>
  <c r="C1080" i="5"/>
  <c r="B1081" i="5"/>
  <c r="C1081" i="5"/>
  <c r="B1082" i="5"/>
  <c r="C1082" i="5"/>
  <c r="B1083" i="5"/>
  <c r="C1083" i="5"/>
  <c r="B1084" i="5"/>
  <c r="C1084" i="5"/>
  <c r="B1085" i="5"/>
  <c r="C1085" i="5"/>
  <c r="B1086" i="5"/>
  <c r="C1086" i="5"/>
  <c r="B1087" i="5"/>
  <c r="C1087" i="5"/>
  <c r="B1088" i="5"/>
  <c r="C1088" i="5"/>
  <c r="B1089" i="5"/>
  <c r="C1089" i="5"/>
  <c r="B1090" i="5"/>
  <c r="C1090" i="5"/>
  <c r="B1091" i="5"/>
  <c r="C1091" i="5"/>
  <c r="B1092" i="5"/>
  <c r="C1092" i="5"/>
  <c r="B1093" i="5"/>
  <c r="C1093" i="5"/>
  <c r="B1094" i="5"/>
  <c r="C1094" i="5"/>
  <c r="B1095" i="5"/>
  <c r="C1095" i="5"/>
  <c r="B1096" i="5"/>
  <c r="C1096" i="5"/>
  <c r="B1097" i="5"/>
  <c r="C1097" i="5"/>
  <c r="B1098" i="5"/>
  <c r="C1098" i="5"/>
  <c r="B1099" i="5"/>
  <c r="C1099" i="5"/>
  <c r="B1100" i="5"/>
  <c r="C1100" i="5"/>
  <c r="B1101" i="5"/>
  <c r="C1101" i="5"/>
  <c r="B1102" i="5"/>
  <c r="C1102" i="5"/>
  <c r="B1103" i="5"/>
  <c r="C1103" i="5"/>
  <c r="B1104" i="5"/>
  <c r="C1104" i="5"/>
  <c r="B1105" i="5"/>
  <c r="C1105" i="5"/>
  <c r="B1106" i="5"/>
  <c r="C1106" i="5"/>
  <c r="B1107" i="5"/>
  <c r="C1107" i="5"/>
  <c r="B1108" i="5"/>
  <c r="C1108" i="5"/>
  <c r="B1109" i="5"/>
  <c r="C1109" i="5"/>
  <c r="B1110" i="5"/>
  <c r="C1110" i="5"/>
  <c r="B1111" i="5"/>
  <c r="C1111" i="5"/>
  <c r="B1112" i="5"/>
  <c r="C1112" i="5"/>
  <c r="B1113" i="5"/>
  <c r="C1113" i="5"/>
  <c r="B1114" i="5"/>
  <c r="C1114" i="5"/>
  <c r="B1115" i="5"/>
  <c r="C1115" i="5"/>
  <c r="B1116" i="5"/>
  <c r="C1116" i="5"/>
  <c r="B1117" i="5"/>
  <c r="C1117" i="5"/>
  <c r="B1118" i="5"/>
  <c r="C1118" i="5"/>
  <c r="B1119" i="5"/>
  <c r="C1119" i="5"/>
  <c r="B1120" i="5"/>
  <c r="C1120" i="5"/>
  <c r="B1121" i="5"/>
  <c r="C1121" i="5"/>
  <c r="B1122" i="5"/>
  <c r="C1122" i="5"/>
  <c r="B1123" i="5"/>
  <c r="C1123" i="5"/>
  <c r="B1124" i="5"/>
  <c r="C1124" i="5"/>
  <c r="B1125" i="5"/>
  <c r="C1125" i="5"/>
  <c r="B1126" i="5"/>
  <c r="C1126" i="5"/>
  <c r="B1127" i="5"/>
  <c r="C1127" i="5"/>
  <c r="B1128" i="5"/>
  <c r="C1128" i="5"/>
  <c r="B1129" i="5"/>
  <c r="C1129" i="5"/>
  <c r="B1130" i="5"/>
  <c r="C1130" i="5"/>
  <c r="B1131" i="5"/>
  <c r="C1131" i="5"/>
  <c r="B1132" i="5"/>
  <c r="C1132" i="5"/>
  <c r="B1133" i="5"/>
  <c r="C1133" i="5"/>
  <c r="B1134" i="5"/>
  <c r="C1134" i="5"/>
  <c r="B1135" i="5"/>
  <c r="C1135" i="5"/>
  <c r="B1136" i="5"/>
  <c r="C1136" i="5"/>
  <c r="B1137" i="5"/>
  <c r="C1137" i="5"/>
  <c r="B1138" i="5"/>
  <c r="C1138" i="5"/>
  <c r="B1139" i="5"/>
  <c r="C1139" i="5"/>
  <c r="B1140" i="5"/>
  <c r="C1140" i="5"/>
  <c r="B1141" i="5"/>
  <c r="C1141" i="5"/>
  <c r="B1142" i="5"/>
  <c r="C1142" i="5"/>
  <c r="B1143" i="5"/>
  <c r="C1143" i="5"/>
  <c r="B1144" i="5"/>
  <c r="C1144" i="5"/>
  <c r="B1145" i="5"/>
  <c r="C1145" i="5"/>
  <c r="B1146" i="5"/>
  <c r="C1146" i="5"/>
  <c r="B1147" i="5"/>
  <c r="C1147" i="5"/>
  <c r="B1148" i="5"/>
  <c r="C1148" i="5"/>
  <c r="B1149" i="5"/>
  <c r="C1149" i="5"/>
  <c r="B1150" i="5"/>
  <c r="C1150" i="5"/>
  <c r="B1151" i="5"/>
  <c r="C1151" i="5"/>
  <c r="B1152" i="5"/>
  <c r="C1152" i="5"/>
  <c r="B1153" i="5"/>
  <c r="C1153" i="5"/>
  <c r="B1154" i="5"/>
  <c r="C1154" i="5"/>
  <c r="B1155" i="5"/>
  <c r="C1155" i="5"/>
  <c r="B1156" i="5"/>
  <c r="C1156" i="5"/>
  <c r="B1157" i="5"/>
  <c r="C1157" i="5"/>
  <c r="B1158" i="5"/>
  <c r="C1158" i="5"/>
  <c r="B1159" i="5"/>
  <c r="C1159" i="5"/>
  <c r="B1160" i="5"/>
  <c r="C1160" i="5"/>
  <c r="B1161" i="5"/>
  <c r="C1161" i="5"/>
  <c r="B1162" i="5"/>
  <c r="C1162" i="5"/>
  <c r="B1163" i="5"/>
  <c r="C1163" i="5"/>
  <c r="B1164" i="5"/>
  <c r="C1164" i="5"/>
  <c r="B1165" i="5"/>
  <c r="C1165" i="5"/>
  <c r="B1166" i="5"/>
  <c r="C1166" i="5"/>
  <c r="B1167" i="5"/>
  <c r="C1167" i="5"/>
  <c r="B1168" i="5"/>
  <c r="C1168" i="5"/>
  <c r="B1169" i="5"/>
  <c r="C1169" i="5"/>
  <c r="B1170" i="5"/>
  <c r="C1170" i="5"/>
  <c r="B1171" i="5"/>
  <c r="C1171" i="5"/>
  <c r="B1172" i="5"/>
  <c r="C1172" i="5"/>
  <c r="B1173" i="5"/>
  <c r="C1173" i="5"/>
  <c r="B1174" i="5"/>
  <c r="C1174" i="5"/>
  <c r="B1175" i="5"/>
  <c r="C1175" i="5"/>
  <c r="B1176" i="5"/>
  <c r="C1176" i="5"/>
  <c r="B1177" i="5"/>
  <c r="C1177" i="5"/>
  <c r="B1178" i="5"/>
  <c r="C1178" i="5"/>
  <c r="B1179" i="5"/>
  <c r="C1179" i="5"/>
  <c r="B1180" i="5"/>
  <c r="C1180" i="5"/>
  <c r="B1181" i="5"/>
  <c r="C1181" i="5"/>
  <c r="B1182" i="5"/>
  <c r="C1182" i="5"/>
  <c r="B1183" i="5"/>
  <c r="C1183" i="5"/>
  <c r="B1184" i="5"/>
  <c r="C1184" i="5"/>
  <c r="B1185" i="5"/>
  <c r="C1185" i="5"/>
  <c r="B1186" i="5"/>
  <c r="C1186" i="5"/>
  <c r="B1187" i="5"/>
  <c r="C1187" i="5"/>
  <c r="B1188" i="5"/>
  <c r="C1188" i="5"/>
  <c r="B1189" i="5"/>
  <c r="C1189" i="5"/>
  <c r="B1190" i="5"/>
  <c r="C1190" i="5"/>
  <c r="B1191" i="5"/>
  <c r="C1191" i="5"/>
  <c r="B1193" i="5"/>
  <c r="C1193" i="5"/>
  <c r="B1194" i="5"/>
  <c r="C1194" i="5"/>
  <c r="B1195" i="5"/>
  <c r="C1195" i="5"/>
  <c r="B1196" i="5"/>
  <c r="C1196" i="5"/>
  <c r="B1197" i="5"/>
  <c r="C1197" i="5"/>
  <c r="B1198" i="5"/>
  <c r="C1198" i="5"/>
  <c r="B1199" i="5"/>
  <c r="C1199" i="5"/>
  <c r="B1200" i="5"/>
  <c r="C1200" i="5"/>
  <c r="B1201" i="5"/>
  <c r="C1201" i="5"/>
  <c r="B1202" i="5"/>
  <c r="C1202" i="5"/>
  <c r="B1203" i="5"/>
  <c r="C1203" i="5"/>
  <c r="B1204" i="5"/>
  <c r="C1204" i="5"/>
  <c r="B1205" i="5"/>
  <c r="C1205" i="5"/>
  <c r="B1207" i="5"/>
  <c r="C1207" i="5"/>
  <c r="C1206" i="5"/>
  <c r="B1206" i="5" l="1"/>
  <c r="F20" i="10" l="1"/>
  <c r="E20" i="10"/>
  <c r="F19" i="10"/>
  <c r="E19" i="10"/>
  <c r="F18" i="10"/>
  <c r="E18" i="10"/>
  <c r="G12" i="10"/>
  <c r="C12" i="10"/>
  <c r="E17" i="10"/>
  <c r="G20" i="10" l="1"/>
  <c r="G19" i="10"/>
  <c r="G18" i="10"/>
  <c r="G17" i="10"/>
  <c r="B1069" i="5" l="1"/>
  <c r="C1069" i="5"/>
  <c r="B1070" i="5"/>
  <c r="C1070" i="5"/>
  <c r="B1071" i="5"/>
  <c r="C1071" i="5"/>
  <c r="B1072" i="5"/>
  <c r="C1072" i="5"/>
  <c r="B1073" i="5"/>
  <c r="C1073" i="5"/>
  <c r="B1074" i="5"/>
  <c r="C1074" i="5"/>
  <c r="B1075" i="5"/>
  <c r="C1075" i="5"/>
  <c r="B1057" i="5"/>
  <c r="C1057" i="5"/>
  <c r="B1058" i="5"/>
  <c r="C1058" i="5"/>
  <c r="B1056" i="5"/>
  <c r="C1056" i="5"/>
  <c r="C14" i="10" l="1"/>
  <c r="C5" i="10"/>
  <c r="C6" i="10"/>
  <c r="C9" i="10"/>
  <c r="C10" i="10"/>
  <c r="C11" i="10"/>
  <c r="C13" i="10"/>
  <c r="C4" i="10"/>
  <c r="C3" i="10"/>
  <c r="B53" i="10" l="1"/>
  <c r="C49" i="10"/>
  <c r="C50" i="10" s="1"/>
  <c r="C51" i="10" s="1"/>
  <c r="C52" i="10" s="1"/>
  <c r="C32" i="10"/>
  <c r="C33" i="10" s="1"/>
  <c r="C34" i="10" s="1"/>
  <c r="C35" i="10" s="1"/>
  <c r="C36" i="10" s="1"/>
  <c r="C37" i="10" s="1"/>
  <c r="C38" i="10" s="1"/>
  <c r="C39" i="10" s="1"/>
  <c r="C40" i="10" s="1"/>
  <c r="C41" i="10" s="1"/>
  <c r="C42" i="10" s="1"/>
  <c r="C43" i="10" s="1"/>
  <c r="G3" i="10"/>
  <c r="G4" i="10"/>
  <c r="G5" i="10"/>
  <c r="C42" i="19"/>
  <c r="B42" i="19"/>
  <c r="D41" i="19"/>
  <c r="D40" i="19"/>
  <c r="D39" i="19"/>
  <c r="D38" i="19"/>
  <c r="D37" i="19"/>
  <c r="D36" i="19"/>
  <c r="D35" i="19"/>
  <c r="D34" i="19"/>
  <c r="D33" i="19"/>
  <c r="E32" i="19"/>
  <c r="E33" i="19" s="1"/>
  <c r="E34" i="19" s="1"/>
  <c r="E35" i="19" s="1"/>
  <c r="E36" i="19" s="1"/>
  <c r="E37" i="19" s="1"/>
  <c r="E38" i="19" s="1"/>
  <c r="E39" i="19" s="1"/>
  <c r="E40" i="19" s="1"/>
  <c r="E41" i="19" s="1"/>
  <c r="D32" i="19"/>
  <c r="D42" i="19" s="1"/>
  <c r="E42" i="19" s="1"/>
  <c r="K25" i="19"/>
  <c r="E20" i="19"/>
  <c r="F19" i="19"/>
  <c r="E19" i="19"/>
  <c r="G19" i="19" s="1"/>
  <c r="G18" i="19"/>
  <c r="F18" i="19"/>
  <c r="E18" i="19"/>
  <c r="F17" i="19"/>
  <c r="E17" i="19"/>
  <c r="G16" i="19"/>
  <c r="E16" i="19"/>
  <c r="G12" i="19"/>
  <c r="C12" i="19"/>
  <c r="G11" i="19"/>
  <c r="G10" i="19"/>
  <c r="G9" i="19"/>
  <c r="C9" i="19"/>
  <c r="G8" i="19"/>
  <c r="C8" i="19"/>
  <c r="G7" i="19"/>
  <c r="C25" i="19" s="1"/>
  <c r="C7" i="19"/>
  <c r="G6" i="19"/>
  <c r="G20" i="19" s="1"/>
  <c r="C6" i="19"/>
  <c r="C5" i="19"/>
  <c r="C4" i="19"/>
  <c r="F3" i="19"/>
  <c r="F16" i="19" s="1"/>
  <c r="C11" i="18"/>
  <c r="C10" i="18"/>
  <c r="C1023" i="5"/>
  <c r="B1015" i="5"/>
  <c r="B1017" i="5"/>
  <c r="B1016" i="5"/>
  <c r="B1014" i="5"/>
  <c r="C1016" i="5"/>
  <c r="B1018" i="5"/>
  <c r="C1018" i="5"/>
  <c r="B1019" i="5"/>
  <c r="C1019" i="5"/>
  <c r="B1020" i="5"/>
  <c r="C1020" i="5"/>
  <c r="B1021" i="5"/>
  <c r="C1021" i="5"/>
  <c r="B1022" i="5"/>
  <c r="C1022" i="5"/>
  <c r="B1024" i="5"/>
  <c r="C1024" i="5"/>
  <c r="C1000" i="5"/>
  <c r="B1000" i="5"/>
  <c r="G17" i="19" l="1"/>
  <c r="F20" i="19"/>
  <c r="C13" i="18"/>
  <c r="B1023" i="5"/>
  <c r="C1017" i="5"/>
  <c r="C1015" i="5"/>
  <c r="C1014" i="5"/>
  <c r="G11" i="10"/>
  <c r="B1008" i="5" l="1"/>
  <c r="B1009" i="5"/>
  <c r="C1007" i="5"/>
  <c r="B1011" i="5"/>
  <c r="C1011" i="5"/>
  <c r="B1012" i="5"/>
  <c r="C1012" i="5"/>
  <c r="B1003" i="5"/>
  <c r="C1003" i="5"/>
  <c r="B1010" i="5"/>
  <c r="C1006" i="5"/>
  <c r="C1005" i="5"/>
  <c r="B1004" i="5"/>
  <c r="B1002" i="5"/>
  <c r="C1002" i="5"/>
  <c r="B1005" i="5"/>
  <c r="B1006" i="5"/>
  <c r="B1013" i="5"/>
  <c r="C1013" i="5"/>
  <c r="B1025" i="5"/>
  <c r="C1025" i="5"/>
  <c r="B1026" i="5"/>
  <c r="C1026" i="5"/>
  <c r="B1027" i="5"/>
  <c r="C1027" i="5"/>
  <c r="B1028" i="5"/>
  <c r="C1028" i="5"/>
  <c r="C1029" i="5"/>
  <c r="C1030" i="5"/>
  <c r="B1031" i="5"/>
  <c r="C1031" i="5"/>
  <c r="B1032" i="5"/>
  <c r="C1032" i="5"/>
  <c r="B1033" i="5"/>
  <c r="C1033" i="5"/>
  <c r="B1034" i="5"/>
  <c r="C1034" i="5"/>
  <c r="B1035" i="5"/>
  <c r="C1035" i="5"/>
  <c r="B1036" i="5"/>
  <c r="C1036" i="5"/>
  <c r="B1037" i="5"/>
  <c r="C1037" i="5"/>
  <c r="B1038" i="5"/>
  <c r="C1038" i="5"/>
  <c r="B1039" i="5"/>
  <c r="C1039" i="5"/>
  <c r="B1040" i="5"/>
  <c r="C1040" i="5"/>
  <c r="B1041" i="5"/>
  <c r="C1041" i="5"/>
  <c r="B1042" i="5"/>
  <c r="C1042" i="5"/>
  <c r="B1043" i="5"/>
  <c r="C1043" i="5"/>
  <c r="B1044" i="5"/>
  <c r="C1044" i="5"/>
  <c r="B1045" i="5"/>
  <c r="C1045" i="5"/>
  <c r="B1046" i="5"/>
  <c r="C1046" i="5"/>
  <c r="B1047" i="5"/>
  <c r="C1047" i="5"/>
  <c r="B1048" i="5"/>
  <c r="C1048" i="5"/>
  <c r="B1049" i="5"/>
  <c r="C1049" i="5"/>
  <c r="B1050" i="5"/>
  <c r="C1050" i="5"/>
  <c r="B1051" i="5"/>
  <c r="C1051" i="5"/>
  <c r="B1052" i="5"/>
  <c r="C1052" i="5"/>
  <c r="B1053" i="5"/>
  <c r="C1053" i="5"/>
  <c r="B1054" i="5"/>
  <c r="C1054" i="5"/>
  <c r="B1055" i="5"/>
  <c r="C1055" i="5"/>
  <c r="B1059" i="5"/>
  <c r="C1059" i="5"/>
  <c r="B1060" i="5"/>
  <c r="C1060" i="5"/>
  <c r="B1061" i="5"/>
  <c r="C1061" i="5"/>
  <c r="B1062" i="5"/>
  <c r="C1062" i="5"/>
  <c r="B1063" i="5"/>
  <c r="C1063" i="5"/>
  <c r="B1064" i="5"/>
  <c r="C1064" i="5"/>
  <c r="B1065" i="5"/>
  <c r="C1065" i="5"/>
  <c r="B1066" i="5"/>
  <c r="C1066" i="5"/>
  <c r="B1067" i="5"/>
  <c r="C1067" i="5"/>
  <c r="B1213" i="5"/>
  <c r="C1213" i="5"/>
  <c r="B1215" i="5"/>
  <c r="C1215" i="5"/>
  <c r="B1216" i="5"/>
  <c r="C1216" i="5"/>
  <c r="B1217" i="5"/>
  <c r="C1217" i="5"/>
  <c r="B1219" i="5"/>
  <c r="C1219" i="5"/>
  <c r="B1220" i="5"/>
  <c r="C1220" i="5"/>
  <c r="B1221" i="5"/>
  <c r="C1221" i="5"/>
  <c r="B1241" i="5"/>
  <c r="C1241" i="5"/>
  <c r="B1242" i="5"/>
  <c r="C1242" i="5"/>
  <c r="B1243" i="5"/>
  <c r="C1243" i="5"/>
  <c r="B1244" i="5"/>
  <c r="C1244" i="5"/>
  <c r="B1245" i="5"/>
  <c r="C1245" i="5"/>
  <c r="C1246" i="5"/>
  <c r="B1247" i="5"/>
  <c r="C1247" i="5"/>
  <c r="B1248" i="5"/>
  <c r="C1248" i="5"/>
  <c r="B1249" i="5"/>
  <c r="C1249" i="5"/>
  <c r="B1250" i="5"/>
  <c r="C1250" i="5"/>
  <c r="B1251" i="5"/>
  <c r="C1251" i="5"/>
  <c r="B1252" i="5"/>
  <c r="C1252" i="5"/>
  <c r="B1253" i="5"/>
  <c r="C1253" i="5"/>
  <c r="B1254" i="5"/>
  <c r="C1254" i="5"/>
  <c r="B1255" i="5"/>
  <c r="C1255" i="5"/>
  <c r="B1256" i="5"/>
  <c r="C1256" i="5"/>
  <c r="B1257" i="5"/>
  <c r="C1257" i="5"/>
  <c r="B1258" i="5"/>
  <c r="C1258" i="5"/>
  <c r="B1259" i="5"/>
  <c r="C1259" i="5"/>
  <c r="B1260" i="5"/>
  <c r="C1260" i="5"/>
  <c r="B1261" i="5"/>
  <c r="C1261" i="5"/>
  <c r="C1295" i="5"/>
  <c r="C1296" i="5"/>
  <c r="C1297" i="5"/>
  <c r="C1299" i="5"/>
  <c r="C1300" i="5"/>
  <c r="B1301" i="5"/>
  <c r="C1301" i="5"/>
  <c r="B1303" i="5"/>
  <c r="C1303" i="5"/>
  <c r="B1304" i="5"/>
  <c r="C1304" i="5"/>
  <c r="B1305" i="5"/>
  <c r="C1305" i="5"/>
  <c r="B1306" i="5"/>
  <c r="C1306" i="5"/>
  <c r="B1307" i="5"/>
  <c r="C1307" i="5"/>
  <c r="B1389" i="5"/>
  <c r="C1389" i="5"/>
  <c r="B1390" i="5"/>
  <c r="C1390" i="5"/>
  <c r="B1391" i="5"/>
  <c r="C1391" i="5"/>
  <c r="B1392" i="5"/>
  <c r="C1392" i="5"/>
  <c r="B1394" i="5"/>
  <c r="C1394" i="5"/>
  <c r="B1395" i="5"/>
  <c r="C1395" i="5"/>
  <c r="B1396" i="5"/>
  <c r="C1396" i="5"/>
  <c r="B1400" i="5"/>
  <c r="C1400" i="5"/>
  <c r="B954" i="5"/>
  <c r="C954" i="5"/>
  <c r="B955" i="5"/>
  <c r="C955" i="5"/>
  <c r="B956" i="5"/>
  <c r="C956" i="5"/>
  <c r="B957" i="5"/>
  <c r="C957" i="5"/>
  <c r="B958" i="5"/>
  <c r="C958" i="5"/>
  <c r="B959" i="5"/>
  <c r="C959" i="5"/>
  <c r="B960" i="5"/>
  <c r="C960" i="5"/>
  <c r="B961" i="5"/>
  <c r="C961" i="5"/>
  <c r="B962" i="5"/>
  <c r="C962" i="5"/>
  <c r="B963" i="5"/>
  <c r="C963" i="5"/>
  <c r="B964" i="5"/>
  <c r="C964" i="5"/>
  <c r="B965" i="5"/>
  <c r="C965" i="5"/>
  <c r="B966" i="5"/>
  <c r="C966" i="5"/>
  <c r="B967" i="5"/>
  <c r="C967" i="5"/>
  <c r="B968" i="5"/>
  <c r="C968" i="5"/>
  <c r="B969" i="5"/>
  <c r="C969" i="5"/>
  <c r="B970" i="5"/>
  <c r="C970" i="5"/>
  <c r="B971" i="5"/>
  <c r="C971" i="5"/>
  <c r="B972" i="5"/>
  <c r="C972" i="5"/>
  <c r="B973" i="5"/>
  <c r="C973" i="5"/>
  <c r="B974" i="5"/>
  <c r="C974" i="5"/>
  <c r="B975" i="5"/>
  <c r="C975" i="5"/>
  <c r="B976" i="5"/>
  <c r="C976" i="5"/>
  <c r="B977" i="5"/>
  <c r="C977" i="5"/>
  <c r="B978" i="5"/>
  <c r="C978" i="5"/>
  <c r="B979" i="5"/>
  <c r="C979" i="5"/>
  <c r="B980" i="5"/>
  <c r="C980" i="5"/>
  <c r="B981" i="5"/>
  <c r="C981" i="5"/>
  <c r="B982" i="5"/>
  <c r="C982" i="5"/>
  <c r="B983" i="5"/>
  <c r="C983" i="5"/>
  <c r="B984" i="5"/>
  <c r="C984" i="5"/>
  <c r="B985" i="5"/>
  <c r="C985" i="5"/>
  <c r="B986" i="5"/>
  <c r="C986" i="5"/>
  <c r="B987" i="5"/>
  <c r="C987" i="5"/>
  <c r="B988" i="5"/>
  <c r="C988" i="5"/>
  <c r="B989" i="5"/>
  <c r="C989" i="5"/>
  <c r="B990" i="5"/>
  <c r="C990" i="5"/>
  <c r="B991" i="5"/>
  <c r="C991" i="5"/>
  <c r="B992" i="5"/>
  <c r="C992" i="5"/>
  <c r="B993" i="5"/>
  <c r="C993" i="5"/>
  <c r="B994" i="5"/>
  <c r="C994" i="5"/>
  <c r="B995" i="5"/>
  <c r="C995" i="5"/>
  <c r="B996" i="5"/>
  <c r="C996" i="5"/>
  <c r="B997" i="5"/>
  <c r="C997" i="5"/>
  <c r="B998" i="5"/>
  <c r="C998" i="5"/>
  <c r="B999" i="5"/>
  <c r="C999" i="5"/>
  <c r="B1001" i="5"/>
  <c r="C1001" i="5"/>
  <c r="B947" i="5"/>
  <c r="B948" i="5"/>
  <c r="B949" i="5"/>
  <c r="B950" i="5"/>
  <c r="C947" i="5"/>
  <c r="C948" i="5"/>
  <c r="C949" i="5"/>
  <c r="C950" i="5"/>
  <c r="C1008" i="5" l="1"/>
  <c r="C1009" i="5"/>
  <c r="B1007" i="5"/>
  <c r="C1010" i="5"/>
  <c r="C1004" i="5"/>
  <c r="G13" i="10" l="1"/>
  <c r="B911" i="5"/>
  <c r="C911" i="5"/>
  <c r="B912" i="5"/>
  <c r="C912" i="5"/>
  <c r="B913" i="5"/>
  <c r="C913" i="5"/>
  <c r="B914" i="5"/>
  <c r="C914" i="5"/>
  <c r="G10" i="10" l="1"/>
  <c r="N4" i="12"/>
  <c r="B907" i="5"/>
  <c r="C907" i="5"/>
  <c r="B908" i="5"/>
  <c r="C908" i="5"/>
  <c r="B904" i="5"/>
  <c r="C904" i="5"/>
  <c r="B905" i="5"/>
  <c r="C905" i="5"/>
  <c r="B906" i="5"/>
  <c r="C906" i="5"/>
  <c r="C893" i="5"/>
  <c r="C894" i="5"/>
  <c r="C895" i="5"/>
  <c r="C896" i="5"/>
  <c r="B891" i="5"/>
  <c r="C891" i="5"/>
  <c r="B887" i="5"/>
  <c r="C887" i="5" l="1"/>
  <c r="C880" i="5"/>
  <c r="B859" i="5" l="1"/>
  <c r="B839" i="5"/>
  <c r="C839" i="5"/>
  <c r="B840" i="5"/>
  <c r="C840" i="5"/>
  <c r="B841" i="5"/>
  <c r="C841" i="5"/>
  <c r="B842" i="5"/>
  <c r="C842" i="5"/>
  <c r="B843" i="5"/>
  <c r="C843" i="5"/>
  <c r="B844" i="5"/>
  <c r="C844" i="5"/>
  <c r="B845" i="5"/>
  <c r="C845" i="5"/>
  <c r="B846" i="5"/>
  <c r="C846" i="5"/>
  <c r="B847" i="5"/>
  <c r="C847" i="5"/>
  <c r="B848" i="5"/>
  <c r="C848" i="5"/>
  <c r="B849" i="5"/>
  <c r="C849" i="5"/>
  <c r="B850" i="5"/>
  <c r="C850" i="5"/>
  <c r="B851" i="5"/>
  <c r="C851" i="5"/>
  <c r="B852" i="5"/>
  <c r="C852" i="5"/>
  <c r="B853" i="5"/>
  <c r="C853" i="5"/>
  <c r="B854" i="5"/>
  <c r="C854" i="5"/>
  <c r="B855" i="5"/>
  <c r="C855" i="5"/>
  <c r="B856" i="5"/>
  <c r="C856" i="5"/>
  <c r="B857" i="5"/>
  <c r="C857" i="5"/>
  <c r="B858" i="5"/>
  <c r="C858" i="5"/>
  <c r="C859" i="5"/>
  <c r="B860" i="5"/>
  <c r="C860" i="5"/>
  <c r="B861" i="5"/>
  <c r="C861" i="5"/>
  <c r="B862" i="5"/>
  <c r="C862" i="5"/>
  <c r="B863" i="5"/>
  <c r="C863" i="5"/>
  <c r="B864" i="5"/>
  <c r="C864" i="5"/>
  <c r="B865" i="5"/>
  <c r="C865" i="5"/>
  <c r="B866" i="5"/>
  <c r="C866" i="5"/>
  <c r="B867" i="5"/>
  <c r="C867" i="5"/>
  <c r="B868" i="5"/>
  <c r="C868" i="5"/>
  <c r="B869" i="5"/>
  <c r="C869" i="5"/>
  <c r="B870" i="5"/>
  <c r="C870" i="5"/>
  <c r="B871" i="5"/>
  <c r="C871" i="5"/>
  <c r="B872" i="5"/>
  <c r="C872" i="5"/>
  <c r="B873" i="5"/>
  <c r="C873" i="5"/>
  <c r="B874" i="5"/>
  <c r="C874" i="5"/>
  <c r="B875" i="5"/>
  <c r="C875" i="5"/>
  <c r="B876" i="5"/>
  <c r="C876" i="5"/>
  <c r="B877" i="5"/>
  <c r="C877" i="5"/>
  <c r="B878" i="5"/>
  <c r="C878" i="5"/>
  <c r="B879" i="5"/>
  <c r="C879" i="5"/>
  <c r="B880" i="5"/>
  <c r="B881" i="5"/>
  <c r="C881" i="5"/>
  <c r="B882" i="5"/>
  <c r="C882" i="5"/>
  <c r="B883" i="5"/>
  <c r="C883" i="5"/>
  <c r="B884" i="5"/>
  <c r="C884" i="5"/>
  <c r="B885" i="5"/>
  <c r="C885" i="5"/>
  <c r="B886" i="5"/>
  <c r="C886" i="5"/>
  <c r="B888" i="5"/>
  <c r="C888" i="5"/>
  <c r="B889" i="5"/>
  <c r="C889" i="5"/>
  <c r="B890" i="5"/>
  <c r="C890" i="5"/>
  <c r="C892" i="5"/>
  <c r="B897" i="5"/>
  <c r="C897" i="5"/>
  <c r="B898" i="5"/>
  <c r="C898" i="5"/>
  <c r="B899" i="5"/>
  <c r="C899" i="5"/>
  <c r="B900" i="5"/>
  <c r="C900" i="5"/>
  <c r="B901" i="5"/>
  <c r="C901" i="5"/>
  <c r="B902" i="5"/>
  <c r="C902" i="5"/>
  <c r="B903" i="5"/>
  <c r="C903" i="5"/>
  <c r="B909" i="5"/>
  <c r="C909" i="5"/>
  <c r="B910" i="5"/>
  <c r="C910" i="5"/>
  <c r="B916" i="5"/>
  <c r="C916" i="5"/>
  <c r="B917" i="5"/>
  <c r="C917" i="5"/>
  <c r="B918" i="5"/>
  <c r="C918" i="5"/>
  <c r="B919" i="5"/>
  <c r="C919" i="5"/>
  <c r="B920" i="5"/>
  <c r="C920" i="5"/>
  <c r="B921" i="5"/>
  <c r="C921" i="5"/>
  <c r="B922" i="5"/>
  <c r="C922" i="5"/>
  <c r="B923" i="5"/>
  <c r="C923" i="5"/>
  <c r="B924" i="5"/>
  <c r="C924" i="5"/>
  <c r="B925" i="5"/>
  <c r="C925" i="5"/>
  <c r="B926" i="5"/>
  <c r="C926" i="5"/>
  <c r="B927" i="5"/>
  <c r="C927" i="5"/>
  <c r="B928" i="5"/>
  <c r="C928" i="5"/>
  <c r="B929" i="5"/>
  <c r="C929" i="5"/>
  <c r="B930" i="5"/>
  <c r="C930" i="5"/>
  <c r="B931" i="5"/>
  <c r="C931" i="5"/>
  <c r="B932" i="5"/>
  <c r="C932" i="5"/>
  <c r="B933" i="5"/>
  <c r="C933" i="5"/>
  <c r="B934" i="5"/>
  <c r="C934" i="5"/>
  <c r="B935" i="5"/>
  <c r="C935" i="5"/>
  <c r="B936" i="5"/>
  <c r="C936" i="5"/>
  <c r="B937" i="5"/>
  <c r="C937" i="5"/>
  <c r="B938" i="5"/>
  <c r="C938" i="5"/>
  <c r="B939" i="5"/>
  <c r="C939" i="5"/>
  <c r="B940" i="5"/>
  <c r="C940" i="5"/>
  <c r="B941" i="5"/>
  <c r="C941" i="5"/>
  <c r="B942" i="5"/>
  <c r="C942" i="5"/>
  <c r="B943" i="5"/>
  <c r="C943" i="5"/>
  <c r="B944" i="5"/>
  <c r="C944" i="5"/>
  <c r="B946" i="5"/>
  <c r="C946" i="5"/>
  <c r="B951" i="5"/>
  <c r="C951" i="5"/>
  <c r="B952" i="5"/>
  <c r="C952" i="5"/>
  <c r="B838" i="5"/>
  <c r="C838" i="5"/>
  <c r="B836" i="5"/>
  <c r="C836" i="5"/>
  <c r="B837" i="5"/>
  <c r="C837" i="5"/>
  <c r="B830" i="5"/>
  <c r="C830" i="5"/>
  <c r="B831" i="5"/>
  <c r="C831" i="5"/>
  <c r="B832" i="5"/>
  <c r="C832" i="5"/>
  <c r="B833" i="5"/>
  <c r="C833" i="5"/>
  <c r="B834" i="5"/>
  <c r="C834" i="5"/>
  <c r="B835" i="5"/>
  <c r="C835" i="5"/>
  <c r="C829" i="5"/>
  <c r="B829" i="5"/>
  <c r="B828" i="5"/>
  <c r="C828" i="5"/>
  <c r="C827" i="5"/>
  <c r="B827" i="5"/>
  <c r="B808" i="5"/>
  <c r="C808" i="5"/>
  <c r="B809" i="5"/>
  <c r="C809" i="5"/>
  <c r="B810" i="5"/>
  <c r="C810" i="5"/>
  <c r="B811" i="5"/>
  <c r="C811" i="5"/>
  <c r="B812" i="5"/>
  <c r="C812" i="5"/>
  <c r="B797" i="5" l="1"/>
  <c r="C797" i="5"/>
  <c r="B798" i="5"/>
  <c r="C798" i="5"/>
  <c r="B799" i="5"/>
  <c r="C799" i="5"/>
  <c r="B800" i="5"/>
  <c r="C800" i="5"/>
  <c r="B801" i="5"/>
  <c r="C801" i="5"/>
  <c r="B802" i="5"/>
  <c r="C802" i="5"/>
  <c r="B803" i="5"/>
  <c r="C803" i="5"/>
  <c r="B804" i="5"/>
  <c r="C804" i="5"/>
  <c r="B805" i="5"/>
  <c r="C805" i="5"/>
  <c r="B796" i="5"/>
  <c r="B787" i="5"/>
  <c r="C787" i="5"/>
  <c r="B788" i="5"/>
  <c r="C788" i="5"/>
  <c r="B789" i="5"/>
  <c r="C789" i="5"/>
  <c r="B790" i="5"/>
  <c r="C790" i="5"/>
  <c r="B791" i="5"/>
  <c r="C791" i="5"/>
  <c r="B792" i="5"/>
  <c r="C792" i="5"/>
  <c r="B793" i="5"/>
  <c r="C793" i="5"/>
  <c r="B780" i="5"/>
  <c r="C780" i="5"/>
  <c r="B781" i="5"/>
  <c r="C781" i="5"/>
  <c r="B782" i="5"/>
  <c r="C782" i="5"/>
  <c r="B783" i="5"/>
  <c r="C783" i="5"/>
  <c r="B784" i="5"/>
  <c r="C784" i="5"/>
  <c r="B785" i="5"/>
  <c r="C785" i="5"/>
  <c r="B770" i="5"/>
  <c r="C770" i="5"/>
  <c r="B771" i="5"/>
  <c r="C771" i="5"/>
  <c r="B772" i="5"/>
  <c r="C772" i="5"/>
  <c r="B773" i="5"/>
  <c r="C773" i="5"/>
  <c r="B774" i="5"/>
  <c r="C774" i="5"/>
  <c r="B775" i="5"/>
  <c r="C775" i="5"/>
  <c r="B776" i="5"/>
  <c r="C776" i="5"/>
  <c r="B777" i="5"/>
  <c r="C777" i="5"/>
  <c r="B778" i="5"/>
  <c r="C778" i="5"/>
  <c r="B760" i="5"/>
  <c r="C760" i="5"/>
  <c r="B761" i="5"/>
  <c r="C761" i="5"/>
  <c r="B762" i="5"/>
  <c r="C762" i="5"/>
  <c r="B763" i="5"/>
  <c r="C763" i="5"/>
  <c r="B764" i="5"/>
  <c r="C764" i="5"/>
  <c r="B765" i="5"/>
  <c r="C765" i="5"/>
  <c r="B766" i="5"/>
  <c r="C766" i="5"/>
  <c r="B767" i="5"/>
  <c r="C767" i="5"/>
  <c r="B768" i="5"/>
  <c r="C768" i="5"/>
  <c r="B744" i="5"/>
  <c r="C744" i="5"/>
  <c r="B739" i="5"/>
  <c r="C739" i="5"/>
  <c r="C738" i="5"/>
  <c r="B738" i="5"/>
  <c r="C737" i="5"/>
  <c r="B737" i="5"/>
  <c r="C736" i="5"/>
  <c r="B736" i="5"/>
  <c r="G9" i="10"/>
  <c r="C796" i="5" l="1"/>
  <c r="G6" i="10"/>
  <c r="C655" i="5"/>
  <c r="B655" i="5"/>
  <c r="B660" i="5" l="1"/>
  <c r="C660" i="5"/>
  <c r="C653" i="5"/>
  <c r="B653" i="5"/>
  <c r="C650" i="5" l="1"/>
  <c r="C651" i="5"/>
  <c r="B650" i="5"/>
  <c r="B651" i="5"/>
  <c r="G21" i="10"/>
  <c r="B577" i="5"/>
  <c r="C577" i="5"/>
  <c r="B578" i="5"/>
  <c r="C578" i="5"/>
  <c r="B579" i="5"/>
  <c r="C579" i="5"/>
  <c r="B580" i="5"/>
  <c r="C580" i="5"/>
  <c r="B581" i="5"/>
  <c r="C581" i="5"/>
  <c r="B582" i="5"/>
  <c r="C582" i="5"/>
  <c r="B583" i="5"/>
  <c r="C583" i="5"/>
  <c r="B584" i="5"/>
  <c r="C584" i="5"/>
  <c r="B585" i="5"/>
  <c r="C585" i="5"/>
  <c r="B586" i="5"/>
  <c r="C586" i="5"/>
  <c r="B587" i="5"/>
  <c r="C587" i="5"/>
  <c r="B588" i="5"/>
  <c r="C588" i="5"/>
  <c r="B589" i="5"/>
  <c r="C589" i="5"/>
  <c r="B590" i="5"/>
  <c r="C590" i="5"/>
  <c r="B591" i="5"/>
  <c r="C591" i="5"/>
  <c r="B592" i="5"/>
  <c r="C592" i="5"/>
  <c r="B593" i="5"/>
  <c r="C593" i="5"/>
  <c r="B594" i="5"/>
  <c r="C594" i="5"/>
  <c r="B595" i="5"/>
  <c r="C595" i="5"/>
  <c r="B596" i="5"/>
  <c r="C596" i="5"/>
  <c r="B597" i="5"/>
  <c r="C597" i="5"/>
  <c r="B598" i="5"/>
  <c r="C598" i="5"/>
  <c r="B599" i="5"/>
  <c r="C599" i="5"/>
  <c r="B600" i="5"/>
  <c r="C600" i="5"/>
  <c r="B601" i="5"/>
  <c r="C601" i="5"/>
  <c r="B602" i="5"/>
  <c r="C602" i="5"/>
  <c r="B603" i="5"/>
  <c r="C603" i="5"/>
  <c r="B604" i="5"/>
  <c r="C604" i="5"/>
  <c r="B605" i="5"/>
  <c r="C605" i="5"/>
  <c r="B606" i="5"/>
  <c r="C606" i="5"/>
  <c r="B607" i="5"/>
  <c r="C607" i="5"/>
  <c r="B608" i="5"/>
  <c r="C608" i="5"/>
  <c r="B609" i="5"/>
  <c r="C609" i="5"/>
  <c r="B610" i="5"/>
  <c r="C610" i="5"/>
  <c r="B611" i="5"/>
  <c r="C611" i="5"/>
  <c r="B612" i="5"/>
  <c r="C612" i="5"/>
  <c r="B613" i="5"/>
  <c r="C613" i="5"/>
  <c r="B614" i="5"/>
  <c r="C614" i="5"/>
  <c r="B615" i="5"/>
  <c r="C615" i="5"/>
  <c r="B616" i="5"/>
  <c r="C616" i="5"/>
  <c r="B617" i="5"/>
  <c r="C617" i="5"/>
  <c r="B618" i="5"/>
  <c r="C618" i="5"/>
  <c r="B619" i="5"/>
  <c r="C619" i="5"/>
  <c r="B620" i="5"/>
  <c r="C620" i="5"/>
  <c r="B621" i="5"/>
  <c r="C621" i="5"/>
  <c r="B622" i="5"/>
  <c r="C622" i="5"/>
  <c r="B623" i="5"/>
  <c r="C623" i="5"/>
  <c r="B624" i="5"/>
  <c r="C624" i="5"/>
  <c r="B625" i="5"/>
  <c r="C625" i="5"/>
  <c r="B626" i="5"/>
  <c r="C626" i="5"/>
  <c r="B627" i="5"/>
  <c r="C627" i="5"/>
  <c r="B628" i="5"/>
  <c r="C628" i="5"/>
  <c r="B629" i="5"/>
  <c r="C629" i="5"/>
  <c r="B630" i="5"/>
  <c r="C630" i="5"/>
  <c r="B631" i="5"/>
  <c r="C631" i="5"/>
  <c r="B632" i="5"/>
  <c r="C632" i="5"/>
  <c r="B633" i="5"/>
  <c r="C633" i="5"/>
  <c r="B634" i="5"/>
  <c r="C634" i="5"/>
  <c r="B635" i="5"/>
  <c r="C635" i="5"/>
  <c r="B636" i="5"/>
  <c r="C636" i="5"/>
  <c r="B637" i="5"/>
  <c r="C637" i="5"/>
  <c r="B638" i="5"/>
  <c r="C638" i="5"/>
  <c r="B639" i="5"/>
  <c r="C639" i="5"/>
  <c r="B640" i="5"/>
  <c r="C640" i="5"/>
  <c r="B641" i="5"/>
  <c r="C641" i="5"/>
  <c r="B642" i="5"/>
  <c r="C642" i="5"/>
  <c r="B643" i="5"/>
  <c r="C643" i="5"/>
  <c r="B644" i="5"/>
  <c r="C644" i="5"/>
  <c r="B645" i="5"/>
  <c r="C645" i="5"/>
  <c r="B646" i="5"/>
  <c r="C646" i="5"/>
  <c r="B647" i="5"/>
  <c r="C647" i="5"/>
  <c r="B648" i="5"/>
  <c r="C648" i="5"/>
  <c r="B649" i="5"/>
  <c r="C649" i="5"/>
  <c r="B654" i="5"/>
  <c r="C654" i="5"/>
  <c r="B656" i="5"/>
  <c r="C656" i="5"/>
  <c r="B657" i="5"/>
  <c r="C657" i="5"/>
  <c r="B658" i="5"/>
  <c r="C658" i="5"/>
  <c r="B659" i="5"/>
  <c r="C659" i="5"/>
  <c r="B661" i="5"/>
  <c r="C661" i="5"/>
  <c r="B662" i="5"/>
  <c r="C662" i="5"/>
  <c r="B663" i="5"/>
  <c r="C663" i="5"/>
  <c r="B664" i="5"/>
  <c r="C664" i="5"/>
  <c r="B665" i="5"/>
  <c r="C665" i="5"/>
  <c r="B666" i="5"/>
  <c r="C666" i="5"/>
  <c r="B667" i="5"/>
  <c r="C667" i="5"/>
  <c r="B668" i="5"/>
  <c r="C668" i="5"/>
  <c r="B669" i="5"/>
  <c r="C669" i="5"/>
  <c r="B670" i="5"/>
  <c r="C670" i="5"/>
  <c r="B671" i="5"/>
  <c r="C671" i="5"/>
  <c r="B672" i="5"/>
  <c r="C672" i="5"/>
  <c r="B673" i="5"/>
  <c r="C673" i="5"/>
  <c r="B674" i="5"/>
  <c r="C674" i="5"/>
  <c r="B675" i="5"/>
  <c r="C675" i="5"/>
  <c r="B676" i="5"/>
  <c r="C676" i="5"/>
  <c r="B677" i="5"/>
  <c r="C677" i="5"/>
  <c r="B678" i="5"/>
  <c r="C678" i="5"/>
  <c r="B679" i="5"/>
  <c r="C679" i="5"/>
  <c r="B680" i="5"/>
  <c r="C680" i="5"/>
  <c r="B681" i="5"/>
  <c r="C681" i="5"/>
  <c r="B682" i="5"/>
  <c r="C682" i="5"/>
  <c r="B683" i="5"/>
  <c r="C683" i="5"/>
  <c r="B684" i="5"/>
  <c r="C684" i="5"/>
  <c r="B685" i="5"/>
  <c r="C685" i="5"/>
  <c r="B686" i="5"/>
  <c r="C686" i="5"/>
  <c r="B687" i="5"/>
  <c r="C687" i="5"/>
  <c r="B688" i="5"/>
  <c r="C688" i="5"/>
  <c r="B689" i="5"/>
  <c r="C689" i="5"/>
  <c r="B690" i="5"/>
  <c r="C690" i="5"/>
  <c r="B691" i="5"/>
  <c r="C691" i="5"/>
  <c r="B692" i="5"/>
  <c r="C692" i="5"/>
  <c r="B693" i="5"/>
  <c r="C693" i="5"/>
  <c r="B694" i="5"/>
  <c r="C694" i="5"/>
  <c r="B695" i="5"/>
  <c r="C695" i="5"/>
  <c r="B696" i="5"/>
  <c r="C696" i="5"/>
  <c r="B697" i="5"/>
  <c r="C697" i="5"/>
  <c r="B698" i="5"/>
  <c r="C698" i="5"/>
  <c r="B699" i="5"/>
  <c r="C699" i="5"/>
  <c r="B700" i="5"/>
  <c r="C700" i="5"/>
  <c r="B701" i="5"/>
  <c r="C701" i="5"/>
  <c r="B702" i="5"/>
  <c r="C702" i="5"/>
  <c r="B703" i="5"/>
  <c r="C703" i="5"/>
  <c r="B704" i="5"/>
  <c r="C704" i="5"/>
  <c r="B705" i="5"/>
  <c r="C705" i="5"/>
  <c r="B706" i="5"/>
  <c r="C706" i="5"/>
  <c r="B707" i="5"/>
  <c r="C707" i="5"/>
  <c r="B708" i="5"/>
  <c r="C708" i="5"/>
  <c r="B709" i="5"/>
  <c r="C709" i="5"/>
  <c r="B710" i="5"/>
  <c r="C710" i="5"/>
  <c r="B711" i="5"/>
  <c r="C711" i="5"/>
  <c r="B712" i="5"/>
  <c r="C712" i="5"/>
  <c r="B713" i="5"/>
  <c r="C713" i="5"/>
  <c r="B714" i="5"/>
  <c r="C714" i="5"/>
  <c r="B715" i="5"/>
  <c r="C715" i="5"/>
  <c r="B716" i="5"/>
  <c r="C716" i="5"/>
  <c r="B717" i="5"/>
  <c r="C717" i="5"/>
  <c r="B718" i="5"/>
  <c r="C718" i="5"/>
  <c r="B719" i="5"/>
  <c r="C719" i="5"/>
  <c r="B720" i="5"/>
  <c r="C720" i="5"/>
  <c r="B721" i="5"/>
  <c r="C721" i="5"/>
  <c r="B722" i="5"/>
  <c r="C722" i="5"/>
  <c r="B723" i="5"/>
  <c r="C723" i="5"/>
  <c r="B724" i="5"/>
  <c r="C724" i="5"/>
  <c r="B725" i="5"/>
  <c r="C725" i="5"/>
  <c r="B727" i="5"/>
  <c r="C727" i="5"/>
  <c r="B729" i="5"/>
  <c r="C729" i="5"/>
  <c r="B730" i="5"/>
  <c r="C730" i="5"/>
  <c r="B731" i="5"/>
  <c r="C731" i="5"/>
  <c r="B733" i="5"/>
  <c r="C733" i="5"/>
  <c r="B734" i="5"/>
  <c r="C734" i="5"/>
  <c r="B735" i="5"/>
  <c r="C735" i="5"/>
  <c r="B740" i="5"/>
  <c r="C740" i="5"/>
  <c r="B741" i="5"/>
  <c r="C741" i="5"/>
  <c r="B742" i="5"/>
  <c r="C742" i="5"/>
  <c r="B743" i="5"/>
  <c r="C743" i="5"/>
  <c r="B759" i="5"/>
  <c r="C759" i="5"/>
  <c r="B779" i="5"/>
  <c r="C779" i="5"/>
  <c r="B786" i="5"/>
  <c r="C786" i="5"/>
  <c r="B794" i="5"/>
  <c r="C794" i="5"/>
  <c r="B795" i="5"/>
  <c r="C795" i="5"/>
  <c r="B806" i="5"/>
  <c r="C806" i="5"/>
  <c r="B807" i="5"/>
  <c r="C807" i="5"/>
  <c r="C576" i="5"/>
  <c r="B576" i="5"/>
  <c r="C575" i="5"/>
  <c r="B575" i="5"/>
  <c r="B570" i="5"/>
  <c r="C570" i="5"/>
  <c r="B571" i="5"/>
  <c r="C571" i="5"/>
  <c r="B572" i="5"/>
  <c r="C572" i="5"/>
  <c r="B573" i="5"/>
  <c r="C573" i="5"/>
  <c r="B574" i="5"/>
  <c r="C574" i="5"/>
  <c r="B536" i="5"/>
  <c r="C536" i="5"/>
  <c r="B537" i="5"/>
  <c r="C537" i="5"/>
  <c r="B538" i="5"/>
  <c r="C538" i="5"/>
  <c r="B539" i="5"/>
  <c r="C539" i="5"/>
  <c r="B540" i="5"/>
  <c r="C540" i="5"/>
  <c r="B541" i="5"/>
  <c r="C541" i="5"/>
  <c r="B542" i="5"/>
  <c r="C542" i="5"/>
  <c r="B543" i="5"/>
  <c r="C543" i="5"/>
  <c r="B544" i="5"/>
  <c r="C544" i="5"/>
  <c r="B545" i="5"/>
  <c r="C545" i="5"/>
  <c r="B546" i="5"/>
  <c r="C546" i="5"/>
  <c r="B547" i="5"/>
  <c r="C547" i="5"/>
  <c r="B548" i="5"/>
  <c r="C548" i="5"/>
  <c r="B549" i="5"/>
  <c r="C549" i="5"/>
  <c r="B550" i="5"/>
  <c r="C550" i="5"/>
  <c r="B551" i="5"/>
  <c r="C551" i="5"/>
  <c r="B552" i="5"/>
  <c r="C552" i="5"/>
  <c r="B553" i="5"/>
  <c r="C553" i="5"/>
  <c r="B554" i="5"/>
  <c r="C554" i="5"/>
  <c r="B555" i="5"/>
  <c r="C555" i="5"/>
  <c r="B556" i="5"/>
  <c r="C556" i="5"/>
  <c r="B557" i="5"/>
  <c r="C557" i="5"/>
  <c r="B558" i="5"/>
  <c r="C558" i="5"/>
  <c r="B559" i="5"/>
  <c r="C559" i="5"/>
  <c r="B560" i="5"/>
  <c r="C560" i="5"/>
  <c r="B561" i="5"/>
  <c r="C561" i="5"/>
  <c r="B562" i="5"/>
  <c r="C562" i="5"/>
  <c r="B563" i="5"/>
  <c r="C563" i="5"/>
  <c r="B564" i="5"/>
  <c r="C564" i="5"/>
  <c r="B565" i="5"/>
  <c r="C565" i="5"/>
  <c r="B566" i="5"/>
  <c r="C566" i="5"/>
  <c r="B567" i="5"/>
  <c r="C567" i="5"/>
  <c r="B568" i="5"/>
  <c r="C568" i="5"/>
  <c r="B569" i="5"/>
  <c r="C569" i="5"/>
  <c r="H4" i="12"/>
  <c r="B529" i="5"/>
  <c r="C529" i="5"/>
  <c r="B530" i="5"/>
  <c r="C530" i="5"/>
  <c r="B531" i="5"/>
  <c r="C531" i="5"/>
  <c r="B532" i="5"/>
  <c r="C532" i="5"/>
  <c r="B533" i="5"/>
  <c r="C533" i="5"/>
  <c r="B534" i="5"/>
  <c r="C534" i="5"/>
  <c r="B535" i="5"/>
  <c r="C535" i="5"/>
  <c r="B528" i="5"/>
  <c r="B519" i="5"/>
  <c r="C519" i="5"/>
  <c r="B520" i="5"/>
  <c r="C520" i="5"/>
  <c r="B521" i="5"/>
  <c r="C521" i="5"/>
  <c r="B522" i="5"/>
  <c r="C522" i="5"/>
  <c r="B523" i="5"/>
  <c r="C523" i="5"/>
  <c r="B524" i="5"/>
  <c r="C524" i="5"/>
  <c r="B525" i="5"/>
  <c r="C525" i="5"/>
  <c r="B526" i="5"/>
  <c r="C526" i="5"/>
  <c r="B527" i="5"/>
  <c r="C527" i="5"/>
  <c r="C517" i="5"/>
  <c r="B517" i="5"/>
  <c r="H5" i="12"/>
  <c r="H3" i="12"/>
  <c r="C516" i="5"/>
  <c r="C515" i="5"/>
  <c r="B515" i="5"/>
  <c r="C514" i="5"/>
  <c r="B514" i="5"/>
  <c r="B44" i="10"/>
  <c r="E21" i="10"/>
  <c r="F21" i="10"/>
  <c r="F43" i="9"/>
  <c r="F31" i="9"/>
  <c r="F34" i="9" s="1"/>
  <c r="C16" i="9"/>
  <c r="C15" i="9"/>
  <c r="F14" i="9"/>
  <c r="F45" i="9" s="1"/>
  <c r="C5" i="9"/>
  <c r="C18" i="9" s="1"/>
  <c r="C528" i="5" l="1"/>
  <c r="B516" i="5"/>
  <c r="C518" i="5"/>
  <c r="B518" i="5"/>
  <c r="C652" i="5"/>
  <c r="B652" i="5"/>
  <c r="B726" i="5"/>
  <c r="C726" i="5"/>
  <c r="C728" i="5"/>
  <c r="B728" i="5"/>
  <c r="C769" i="5" l="1"/>
  <c r="B769" i="5"/>
  <c r="C732" i="5"/>
  <c r="B732" i="5"/>
  <c r="C953" i="5"/>
  <c r="B953" i="5"/>
  <c r="C915" i="5"/>
  <c r="B915" i="5"/>
  <c r="C945" i="5"/>
  <c r="B945" i="5"/>
  <c r="C1068" i="5" l="1"/>
  <c r="B1068" i="5"/>
  <c r="C1218" i="5"/>
  <c r="B1218" i="5"/>
  <c r="C1192" i="5"/>
  <c r="B1192" i="5"/>
  <c r="C1298" i="5"/>
  <c r="C1302" i="5"/>
  <c r="B1302" i="5"/>
  <c r="C1294" i="5"/>
  <c r="B1308" i="5"/>
  <c r="C1308" i="5"/>
  <c r="B1316" i="5"/>
  <c r="C1316" i="5"/>
  <c r="C1321" i="5"/>
  <c r="B1321" i="5"/>
  <c r="C1326" i="5"/>
  <c r="B1326" i="5"/>
  <c r="B1328" i="5"/>
  <c r="C1328" i="5"/>
  <c r="B1333" i="5"/>
  <c r="C1333" i="5"/>
  <c r="B1334" i="5" l="1"/>
  <c r="C1334" i="5"/>
  <c r="B1354" i="5"/>
  <c r="C1354" i="5"/>
  <c r="C1356" i="5"/>
  <c r="B1356" i="5"/>
  <c r="B1355" i="5"/>
  <c r="C1355" i="5"/>
  <c r="B1362" i="5"/>
  <c r="C1362" i="5"/>
  <c r="B1363" i="5"/>
  <c r="C1363" i="5"/>
  <c r="C1377" i="5"/>
  <c r="B1377" i="5"/>
  <c r="C1398" i="5" l="1"/>
  <c r="B1398" i="5"/>
  <c r="B1412" i="5"/>
  <c r="C1412" i="5"/>
  <c r="C1405" i="5"/>
  <c r="B1405" i="5"/>
  <c r="C1404" i="5"/>
  <c r="B1404" i="5"/>
  <c r="B1413" i="5"/>
  <c r="C1413" i="5"/>
  <c r="C1417" i="5"/>
  <c r="B1417" i="5"/>
  <c r="B1419" i="5"/>
  <c r="C1419" i="5"/>
  <c r="C1418" i="5"/>
  <c r="B1418" i="5"/>
  <c r="C1426" i="5" l="1"/>
  <c r="B1426" i="5"/>
  <c r="C1434" i="5"/>
  <c r="B1434" i="5"/>
  <c r="B1435" i="5"/>
  <c r="C1435" i="5"/>
  <c r="C1437" i="5"/>
  <c r="B1437" i="5"/>
  <c r="C1388" i="5"/>
  <c r="B1388" i="5"/>
  <c r="C1393" i="5"/>
  <c r="B1393" i="5"/>
  <c r="C1397" i="5"/>
  <c r="B1397" i="5"/>
  <c r="B1452" i="5"/>
  <c r="C1452" i="5"/>
  <c r="B1440" i="5"/>
  <c r="C1440" i="5"/>
  <c r="C1441" i="5"/>
  <c r="C1458" i="5"/>
  <c r="B1458" i="5"/>
  <c r="C1459" i="5"/>
  <c r="B1459" i="5"/>
  <c r="C1387" i="5"/>
  <c r="B1387" i="5"/>
  <c r="C1460" i="5"/>
  <c r="B1460" i="5"/>
  <c r="C1463" i="5"/>
  <c r="B1463" i="5"/>
  <c r="C1466" i="5"/>
  <c r="B1466" i="5"/>
  <c r="B1470" i="5"/>
  <c r="C1470" i="5"/>
  <c r="C1472" i="5" l="1"/>
  <c r="B1472" i="5"/>
  <c r="B1488" i="5"/>
  <c r="C1488" i="5"/>
  <c r="B1490" i="5"/>
  <c r="C1490" i="5"/>
  <c r="B1491" i="5"/>
  <c r="C1491" i="5"/>
  <c r="C1494" i="5"/>
  <c r="B1494" i="5"/>
  <c r="C1496" i="5"/>
  <c r="B1496" i="5"/>
  <c r="C1495" i="5"/>
  <c r="B1495" i="5"/>
  <c r="C1475" i="5"/>
  <c r="B1475" i="5"/>
  <c r="B1478" i="5"/>
  <c r="C1478" i="5"/>
  <c r="C1483" i="5"/>
  <c r="B1483" i="5"/>
  <c r="B1492" i="5"/>
  <c r="C1492" i="5"/>
  <c r="C1469" i="5"/>
  <c r="B1469" i="5"/>
  <c r="C1454" i="5"/>
  <c r="B1454" i="5"/>
  <c r="C1516" i="5"/>
  <c r="B1516" i="5"/>
  <c r="B1526" i="5"/>
  <c r="C1526" i="5"/>
  <c r="B1525" i="5"/>
  <c r="C1525" i="5"/>
  <c r="B1534" i="5"/>
  <c r="C1534" i="5"/>
  <c r="C1538" i="5"/>
  <c r="B1538" i="5"/>
  <c r="C1551" i="5"/>
  <c r="B1551" i="5"/>
  <c r="B1552" i="5"/>
  <c r="C1552" i="5"/>
  <c r="B1557" i="5"/>
  <c r="C1557" i="5"/>
  <c r="C1559" i="5"/>
  <c r="B1561" i="5"/>
  <c r="C1561" i="5"/>
  <c r="C1562" i="5"/>
  <c r="B1564" i="5"/>
  <c r="C1564" i="5"/>
  <c r="B1569" i="5"/>
  <c r="C1569" i="5"/>
  <c r="C1573" i="5"/>
  <c r="B1573" i="5"/>
  <c r="B1575" i="5"/>
  <c r="C1575" i="5"/>
  <c r="B1572" i="5"/>
  <c r="C1572" i="5"/>
  <c r="C1579" i="5"/>
  <c r="B1579" i="5"/>
  <c r="C1585" i="5"/>
  <c r="B1585" i="5"/>
  <c r="B1589" i="5"/>
  <c r="C1589" i="5"/>
  <c r="C1592" i="5"/>
  <c r="B1592" i="5"/>
  <c r="B1593" i="5"/>
  <c r="C1593" i="5"/>
  <c r="B1597" i="5"/>
  <c r="C1597" i="5"/>
  <c r="B1600" i="5"/>
  <c r="C1600" i="5"/>
  <c r="C1605" i="5"/>
  <c r="B1605" i="5"/>
  <c r="B1610" i="5"/>
  <c r="C1610" i="5"/>
  <c r="C1615" i="5"/>
  <c r="B1615" i="5"/>
  <c r="B1617" i="5"/>
  <c r="C1617" i="5"/>
  <c r="B1618" i="5"/>
  <c r="C1618" i="5"/>
  <c r="B1632" i="5"/>
  <c r="C1632" i="5"/>
  <c r="B1638" i="5"/>
  <c r="C1638" i="5"/>
  <c r="C1643" i="5"/>
  <c r="B1643" i="5"/>
  <c r="C1653" i="5"/>
  <c r="B1653" i="5"/>
  <c r="B1673" i="5"/>
  <c r="C1673" i="5"/>
  <c r="C1677" i="5"/>
  <c r="B1677" i="5"/>
  <c r="B1705" i="5"/>
  <c r="C1705" i="5"/>
  <c r="C1694" i="5"/>
  <c r="B1694" i="5"/>
  <c r="B1710" i="5"/>
  <c r="C1710" i="5"/>
  <c r="B1711" i="5"/>
  <c r="C1711" i="5"/>
  <c r="B1719" i="5"/>
  <c r="C1719" i="5"/>
  <c r="B1721" i="5"/>
  <c r="C1721" i="5"/>
  <c r="C1712" i="5"/>
  <c r="B1712" i="5"/>
  <c r="B1727" i="5"/>
  <c r="C1727" i="5"/>
  <c r="B1742" i="5"/>
  <c r="C1742" i="5"/>
  <c r="B1747" i="5"/>
  <c r="C1747" i="5"/>
  <c r="B1778" i="5"/>
  <c r="C1778" i="5"/>
  <c r="C1783" i="5"/>
  <c r="B1783" i="5"/>
  <c r="C1739" i="5"/>
  <c r="B1739" i="5"/>
  <c r="B1804" i="5"/>
  <c r="C1804" i="5"/>
  <c r="B1810" i="5"/>
  <c r="C1810" i="5"/>
  <c r="C1811" i="5"/>
  <c r="B1811" i="5"/>
  <c r="C1826" i="5"/>
  <c r="B1826" i="5"/>
  <c r="C1831" i="5"/>
  <c r="B1831" i="5"/>
  <c r="C1848" i="5"/>
  <c r="B1848" i="5"/>
  <c r="C1849" i="5"/>
  <c r="B1849" i="5"/>
  <c r="B1856" i="5"/>
  <c r="C1856" i="5"/>
  <c r="B1861" i="5"/>
  <c r="C1861" i="5"/>
  <c r="C1852" i="5"/>
  <c r="B1852" i="5"/>
  <c r="C1836" i="5"/>
  <c r="B1836" i="5"/>
  <c r="C1841" i="5"/>
  <c r="B1841" i="5"/>
  <c r="B1864" i="5"/>
  <c r="C1864" i="5"/>
  <c r="B1879" i="5"/>
  <c r="C1879" i="5"/>
  <c r="C1884" i="5"/>
  <c r="B1884" i="5"/>
  <c r="B1887" i="5"/>
  <c r="C1887" i="5"/>
  <c r="B1888" i="5"/>
  <c r="C1888" i="5"/>
  <c r="C1892" i="5"/>
  <c r="B1892" i="5"/>
  <c r="B1894" i="5"/>
  <c r="C1894" i="5"/>
  <c r="B1895" i="5"/>
  <c r="C1895" i="5"/>
  <c r="B1896" i="5"/>
  <c r="C1896" i="5"/>
  <c r="B1899" i="5"/>
  <c r="C1899" i="5"/>
  <c r="B1902" i="5"/>
  <c r="C1902" i="5"/>
  <c r="B1911" i="5"/>
  <c r="C1911" i="5"/>
  <c r="C1922" i="5"/>
  <c r="B1922" i="5"/>
  <c r="B1926" i="5"/>
  <c r="C1926" i="5"/>
  <c r="C1930" i="5"/>
  <c r="B1930" i="5"/>
  <c r="B1898" i="5"/>
  <c r="C1898" i="5"/>
  <c r="B1932" i="5"/>
  <c r="B1934" i="5"/>
  <c r="C1934" i="5"/>
  <c r="B1936" i="5"/>
  <c r="C1936" i="5"/>
  <c r="C1937" i="5"/>
  <c r="B1937" i="5"/>
  <c r="C1949" i="5"/>
  <c r="B1949" i="5"/>
  <c r="C1958" i="5"/>
  <c r="B1958" i="5"/>
  <c r="C1960" i="5"/>
  <c r="B1960" i="5"/>
  <c r="C1972" i="5"/>
  <c r="B1972" i="5"/>
  <c r="B1973" i="5"/>
  <c r="C1973" i="5"/>
  <c r="B1974" i="5"/>
  <c r="C1974" i="5"/>
  <c r="C1975" i="5"/>
  <c r="B1975" i="5"/>
  <c r="C2001" i="5"/>
  <c r="B2001" i="5"/>
  <c r="B2013" i="5"/>
  <c r="C2013" i="5"/>
  <c r="B2020" i="5"/>
  <c r="C2020" i="5"/>
  <c r="B2021" i="5"/>
  <c r="C2021" i="5"/>
  <c r="B2022" i="5"/>
  <c r="C2022" i="5"/>
  <c r="B2025" i="5"/>
  <c r="C2025" i="5"/>
  <c r="B2026" i="5"/>
  <c r="C2026" i="5"/>
  <c r="C2027" i="5"/>
  <c r="B2027" i="5"/>
  <c r="C2019" i="5"/>
  <c r="B2047" i="5"/>
  <c r="C2047" i="5"/>
  <c r="B2033" i="5"/>
  <c r="C2033" i="5"/>
  <c r="B2053" i="5"/>
  <c r="C2053" i="5"/>
  <c r="C2048" i="5"/>
  <c r="B2048" i="5"/>
  <c r="C2049" i="5"/>
  <c r="B2049" i="5"/>
  <c r="B2050" i="5"/>
  <c r="C2050" i="5"/>
  <c r="C2068" i="5"/>
  <c r="B2068" i="5"/>
  <c r="B2072" i="5"/>
  <c r="C2072" i="5"/>
  <c r="B2071" i="5"/>
  <c r="C2071" i="5"/>
  <c r="B2038" i="5"/>
  <c r="C2038" i="5"/>
  <c r="B2037" i="5"/>
  <c r="C2037" i="5"/>
  <c r="C2045" i="5"/>
  <c r="C2036" i="5"/>
  <c r="B2036" i="5"/>
  <c r="C2073" i="5"/>
  <c r="B2073" i="5"/>
  <c r="B2042" i="5"/>
  <c r="C2042" i="5"/>
  <c r="B2069" i="5"/>
  <c r="C2069" i="5"/>
  <c r="C2077" i="5"/>
  <c r="C2079" i="5"/>
  <c r="C2080" i="5"/>
  <c r="B2094" i="5"/>
  <c r="C2094" i="5"/>
  <c r="B2092" i="5"/>
  <c r="C2092" i="5"/>
  <c r="B2096" i="5"/>
  <c r="C2096" i="5"/>
  <c r="C2099" i="5"/>
  <c r="B2099" i="5"/>
  <c r="C2100" i="5"/>
  <c r="C2112" i="5"/>
  <c r="C2113" i="5"/>
  <c r="B2114" i="5"/>
  <c r="C2114" i="5"/>
  <c r="C2104" i="5"/>
  <c r="B2104" i="5"/>
  <c r="B2105" i="5" l="1"/>
  <c r="C2105" i="5"/>
  <c r="C2101" i="5"/>
  <c r="B2101" i="5"/>
  <c r="C2102" i="5"/>
  <c r="B2102" i="5"/>
  <c r="B2103" i="5"/>
  <c r="C2103" i="5"/>
  <c r="C2115" i="5"/>
  <c r="B2115" i="5"/>
  <c r="C2118" i="5"/>
  <c r="B2118" i="5"/>
  <c r="B2121" i="5"/>
  <c r="C2121" i="5"/>
  <c r="B2124" i="5"/>
  <c r="C2124" i="5"/>
  <c r="B2126" i="5"/>
  <c r="C2126" i="5"/>
  <c r="B2131" i="5"/>
  <c r="C2131" i="5"/>
  <c r="B2133" i="5"/>
  <c r="C2133" i="5"/>
  <c r="B2146" i="5"/>
  <c r="C2146" i="5"/>
  <c r="C2106" i="5"/>
  <c r="B2106" i="5"/>
  <c r="C2107" i="5"/>
  <c r="B2107" i="5"/>
  <c r="B2147" i="5"/>
  <c r="C2147" i="5"/>
  <c r="C2148" i="5"/>
  <c r="B2148" i="5"/>
  <c r="C2149" i="5"/>
  <c r="B2149" i="5"/>
  <c r="B2109" i="5"/>
  <c r="C2109" i="5"/>
  <c r="B2129" i="5"/>
  <c r="C2129" i="5"/>
  <c r="B2163" i="5"/>
  <c r="C2163" i="5"/>
  <c r="C2167" i="5"/>
  <c r="B2167" i="5"/>
  <c r="C2166" i="5"/>
  <c r="B2166" i="5"/>
  <c r="C2174" i="5"/>
  <c r="B2174" i="5"/>
  <c r="C2175" i="5"/>
  <c r="B2175" i="5"/>
  <c r="C2176" i="5"/>
  <c r="B2176" i="5"/>
  <c r="C2177" i="5"/>
  <c r="B2177" i="5"/>
  <c r="B2188" i="5"/>
  <c r="C2188" i="5"/>
  <c r="B2178" i="5"/>
  <c r="C2178" i="5"/>
  <c r="B2182" i="5"/>
  <c r="C2182" i="5"/>
  <c r="C2185" i="5"/>
  <c r="B2185" i="5"/>
  <c r="B2198" i="5"/>
  <c r="C2198" i="5"/>
  <c r="B2207" i="5"/>
  <c r="C2207" i="5"/>
  <c r="C2212" i="5"/>
  <c r="B2212" i="5"/>
  <c r="B2217" i="5"/>
  <c r="C2217" i="5"/>
  <c r="B2194" i="5"/>
  <c r="C2194" i="5"/>
  <c r="C2195" i="5"/>
  <c r="B2195" i="5"/>
  <c r="B2196" i="5"/>
  <c r="C2196" i="5"/>
  <c r="B2197" i="5"/>
  <c r="C2222" i="5" l="1"/>
  <c r="B2222" i="5"/>
  <c r="B2223" i="5"/>
  <c r="C2223" i="5"/>
  <c r="C2226" i="5"/>
  <c r="B2226" i="5"/>
  <c r="B2228" i="5"/>
  <c r="C2228" i="5"/>
  <c r="C2229" i="5"/>
  <c r="B2229" i="5"/>
  <c r="B2230" i="5"/>
  <c r="C2230" i="5"/>
  <c r="C2231" i="5"/>
  <c r="B2231" i="5"/>
  <c r="B2232" i="5"/>
  <c r="C2232" i="5"/>
  <c r="C2233" i="5"/>
  <c r="B2233" i="5"/>
  <c r="C2234" i="5"/>
  <c r="B2234" i="5"/>
  <c r="C2235" i="5"/>
  <c r="B2235" i="5"/>
  <c r="B2218" i="5"/>
  <c r="C2218" i="5"/>
  <c r="B2220" i="5"/>
  <c r="C2220" i="5"/>
  <c r="C2237" i="5"/>
  <c r="B2237" i="5"/>
  <c r="C2240" i="5"/>
  <c r="B2240" i="5"/>
  <c r="B2241" i="5"/>
  <c r="C2241" i="5"/>
  <c r="C2242" i="5"/>
  <c r="B2242" i="5"/>
  <c r="B2245" i="5"/>
  <c r="C2245" i="5"/>
  <c r="B2248" i="5"/>
  <c r="C2248" i="5"/>
  <c r="B2251" i="5"/>
  <c r="C2251" i="5"/>
  <c r="B2254" i="5"/>
  <c r="C2254" i="5"/>
  <c r="B2272" i="5"/>
  <c r="C2272" i="5"/>
  <c r="B2277" i="5"/>
  <c r="C2277" i="5"/>
  <c r="C2286" i="5"/>
  <c r="B2286" i="5"/>
  <c r="C2257" i="5"/>
  <c r="B2257" i="5"/>
  <c r="B2269" i="5"/>
  <c r="C2269" i="5"/>
  <c r="C2287" i="5"/>
  <c r="B2287" i="5"/>
  <c r="C2292" i="5"/>
  <c r="B2292" i="5"/>
  <c r="C2295" i="5"/>
  <c r="B2295" i="5"/>
  <c r="B2301" i="5"/>
  <c r="C2301" i="5"/>
  <c r="B2309" i="5"/>
  <c r="C2309" i="5"/>
  <c r="B2313" i="5"/>
  <c r="C2313" i="5"/>
  <c r="B2317" i="5"/>
  <c r="C2317" i="5"/>
  <c r="C2327" i="5"/>
  <c r="B2327" i="5"/>
  <c r="B2332" i="5"/>
  <c r="C2332" i="5"/>
  <c r="B2333" i="5"/>
  <c r="C2333" i="5"/>
  <c r="B2338" i="5"/>
  <c r="C2338" i="5"/>
  <c r="C2345" i="5"/>
  <c r="B2345" i="5"/>
  <c r="C2342" i="5"/>
  <c r="B2343" i="5"/>
  <c r="C2343" i="5"/>
  <c r="B2346" i="5"/>
  <c r="C2346" i="5"/>
  <c r="B2347" i="5"/>
  <c r="C2347" i="5"/>
  <c r="C2353" i="5"/>
  <c r="B2353" i="5"/>
  <c r="C2356" i="5"/>
  <c r="B2356" i="5"/>
  <c r="C2359" i="5"/>
  <c r="B2359" i="5"/>
  <c r="B2362" i="5"/>
  <c r="C2362" i="5"/>
  <c r="B2364" i="5"/>
  <c r="C2364" i="5"/>
  <c r="C2367" i="5"/>
  <c r="B2367" i="5"/>
  <c r="C2365" i="5"/>
  <c r="C2363" i="5"/>
  <c r="B2370" i="5"/>
  <c r="C2370" i="5"/>
  <c r="B2404" i="5"/>
  <c r="C2404" i="5"/>
  <c r="C2396" i="5"/>
  <c r="B2396" i="5"/>
  <c r="B2397" i="5"/>
  <c r="C2397" i="5"/>
  <c r="B2408" i="5"/>
  <c r="C2408" i="5"/>
  <c r="B2409" i="5"/>
  <c r="C2409" i="5"/>
  <c r="B2410" i="5"/>
  <c r="C2410" i="5"/>
  <c r="B2411" i="5"/>
  <c r="C2411" i="5"/>
  <c r="C2400" i="5"/>
  <c r="B2371" i="5"/>
  <c r="C2371" i="5"/>
  <c r="C2389" i="5"/>
  <c r="B2389" i="5"/>
  <c r="C2390" i="5"/>
  <c r="B2390" i="5"/>
  <c r="B2392" i="5"/>
  <c r="C2392" i="5"/>
  <c r="C2376" i="5"/>
  <c r="B2376" i="5"/>
  <c r="C2384" i="5"/>
  <c r="B2384" i="5"/>
  <c r="C2412" i="5"/>
  <c r="B2412" i="5"/>
  <c r="C2415" i="5"/>
  <c r="B2415" i="5"/>
  <c r="C2420" i="5"/>
  <c r="B2420" i="5"/>
  <c r="C2431" i="5"/>
  <c r="B2431" i="5"/>
  <c r="C2432" i="5"/>
  <c r="B2432" i="5"/>
  <c r="C2452" i="5"/>
  <c r="B2452" i="5"/>
  <c r="C2460" i="5"/>
  <c r="B2460" i="5"/>
  <c r="B2430" i="5"/>
  <c r="C2430" i="5"/>
  <c r="C2458" i="5"/>
  <c r="B2458" i="5"/>
  <c r="C2462" i="5"/>
  <c r="B2462" i="5"/>
  <c r="C2464" i="5"/>
  <c r="B2464" i="5"/>
  <c r="C2457" i="5"/>
  <c r="B2457" i="5"/>
  <c r="B2469" i="5"/>
  <c r="C2469" i="5"/>
  <c r="B2467" i="5"/>
  <c r="C2467" i="5"/>
  <c r="C2470" i="5"/>
  <c r="B2470" i="5"/>
  <c r="C2476" i="5"/>
  <c r="B2481" i="5"/>
  <c r="C2481" i="5"/>
  <c r="B2484" i="5"/>
  <c r="C2484" i="5"/>
  <c r="C2487" i="5"/>
  <c r="B2487" i="5"/>
  <c r="C2490" i="5"/>
  <c r="B2490" i="5"/>
  <c r="C2493" i="5"/>
  <c r="B2493" i="5"/>
  <c r="C2495" i="5"/>
  <c r="B2495" i="5"/>
  <c r="C2500" i="5"/>
  <c r="B2500" i="5"/>
  <c r="C2504" i="5"/>
  <c r="B2506" i="5"/>
  <c r="C2506" i="5"/>
  <c r="B2507" i="5"/>
  <c r="C2507" i="5"/>
  <c r="C2505" i="5"/>
  <c r="B2505" i="5"/>
  <c r="C2508" i="5"/>
  <c r="B2508" i="5"/>
  <c r="B2509" i="5"/>
  <c r="C2509" i="5"/>
  <c r="B2551" i="5"/>
  <c r="C2551" i="5"/>
  <c r="B2511" i="5"/>
  <c r="C2511" i="5"/>
  <c r="B2514" i="5"/>
  <c r="C2514" i="5"/>
  <c r="B2521" i="5"/>
  <c r="C2521" i="5"/>
  <c r="C2510" i="5"/>
  <c r="B2510" i="5"/>
  <c r="C2531" i="5"/>
  <c r="B2531" i="5"/>
  <c r="B2537" i="5"/>
  <c r="C2537" i="5"/>
  <c r="B2546" i="5"/>
  <c r="C2546" i="5"/>
  <c r="B2550" i="5"/>
  <c r="C2550" i="5"/>
  <c r="C2548" i="5"/>
  <c r="B2548" i="5"/>
  <c r="C2552" i="5" l="1"/>
  <c r="B2552" i="5"/>
  <c r="B2553" i="5"/>
  <c r="C2553" i="5"/>
  <c r="B2556" i="5"/>
  <c r="C2556" i="5"/>
  <c r="C2557" i="5"/>
  <c r="B2557" i="5"/>
  <c r="B2561" i="5"/>
  <c r="C2561" i="5"/>
  <c r="B2570" i="5"/>
  <c r="C2570" i="5"/>
  <c r="B2573" i="5"/>
  <c r="C2573" i="5"/>
  <c r="B2578" i="5"/>
  <c r="C2578" i="5"/>
  <c r="B2583" i="5"/>
  <c r="C2583" i="5"/>
  <c r="B2589" i="5"/>
  <c r="C2589" i="5"/>
  <c r="B2590" i="5"/>
  <c r="C2590" i="5"/>
  <c r="B2596" i="5"/>
  <c r="C2596" i="5"/>
  <c r="B2605" i="5"/>
  <c r="C2605" i="5"/>
  <c r="C2620" i="5"/>
  <c r="B2606" i="5"/>
  <c r="C2606" i="5"/>
  <c r="B2611" i="5"/>
  <c r="C2611" i="5"/>
  <c r="B2614" i="5"/>
  <c r="C2614" i="5"/>
  <c r="B2624" i="5"/>
  <c r="C2624" i="5"/>
  <c r="B2630" i="5"/>
  <c r="C2630" i="5"/>
  <c r="B2625" i="5"/>
  <c r="C2625" i="5"/>
  <c r="B2653" i="5"/>
  <c r="C2653" i="5"/>
  <c r="B2654" i="5"/>
  <c r="C2654" i="5"/>
  <c r="B2657" i="5"/>
  <c r="C2657" i="5"/>
  <c r="B2667" i="5"/>
  <c r="C2667" i="5"/>
  <c r="B2672" i="5"/>
  <c r="C2672" i="5"/>
  <c r="B2677" i="5"/>
  <c r="C2677" i="5"/>
  <c r="B2678" i="5"/>
  <c r="C2678" i="5"/>
  <c r="B2684" i="5"/>
  <c r="C2684" i="5"/>
  <c r="B2692" i="5"/>
  <c r="C2692" i="5"/>
  <c r="C2693" i="5"/>
  <c r="B2696" i="5"/>
  <c r="B2698" i="5"/>
  <c r="C2698" i="5"/>
  <c r="B2699" i="5"/>
  <c r="C2699" i="5"/>
  <c r="B2697" i="5"/>
  <c r="C2696" i="5"/>
  <c r="C2697" i="5"/>
  <c r="B2695" i="5"/>
  <c r="C2695" i="5"/>
  <c r="B2727" i="5"/>
  <c r="C2727" i="5"/>
  <c r="B2730" i="5"/>
  <c r="C2730" i="5"/>
  <c r="B2733" i="5"/>
  <c r="C2733" i="5"/>
  <c r="B2740" i="5"/>
  <c r="C2740" i="5"/>
  <c r="C2746" i="5"/>
  <c r="B2749" i="5"/>
  <c r="C2749" i="5"/>
  <c r="B2750" i="5"/>
  <c r="C2750" i="5"/>
  <c r="B2748" i="5"/>
  <c r="C2748" i="5"/>
  <c r="B2754" i="5"/>
  <c r="C2754" i="5"/>
  <c r="B2753" i="5"/>
  <c r="C2753" i="5"/>
  <c r="B2755" i="5"/>
  <c r="C2755" i="5"/>
  <c r="B2756" i="5"/>
  <c r="C2756" i="5"/>
  <c r="B2764" i="5"/>
  <c r="C2764" i="5"/>
  <c r="B2770" i="5"/>
  <c r="C2770" i="5"/>
  <c r="B2771" i="5"/>
  <c r="C2771" i="5"/>
  <c r="C2774" i="5"/>
  <c r="B2779" i="5"/>
  <c r="C2779" i="5"/>
  <c r="B2788" i="5"/>
  <c r="C2788" i="5"/>
  <c r="B2794" i="5"/>
  <c r="C2794" i="5"/>
  <c r="B2795" i="5"/>
  <c r="C2795" i="5"/>
  <c r="B2799" i="5"/>
  <c r="C2799" i="5"/>
  <c r="B2804" i="5"/>
  <c r="C2804" i="5"/>
  <c r="B2809" i="5"/>
  <c r="C2809" i="5"/>
  <c r="B2815" i="5"/>
  <c r="C2815" i="5"/>
  <c r="B2828" i="5"/>
  <c r="C2828" i="5"/>
  <c r="B2829" i="5"/>
  <c r="C2829" i="5"/>
  <c r="B2836" i="5"/>
  <c r="C2836" i="5"/>
  <c r="B2840" i="5"/>
  <c r="C2840" i="5"/>
  <c r="B2845" i="5"/>
  <c r="C2845" i="5"/>
  <c r="B2846" i="5"/>
  <c r="C2846" i="5"/>
  <c r="B2851" i="5"/>
  <c r="C2851" i="5"/>
  <c r="B2866" i="5"/>
  <c r="C2866" i="5"/>
  <c r="C2867" i="5"/>
  <c r="C2873" i="5"/>
  <c r="B2876" i="5"/>
  <c r="C2876" i="5"/>
  <c r="B2844" i="5"/>
  <c r="C2844" i="5"/>
  <c r="C2879" i="5"/>
  <c r="B2882" i="5"/>
  <c r="C2882" i="5"/>
  <c r="C2885" i="5"/>
  <c r="B2891" i="5"/>
  <c r="C2891" i="5"/>
  <c r="B2894" i="5"/>
  <c r="C2894" i="5"/>
  <c r="B2897" i="5"/>
  <c r="C2897" i="5"/>
  <c r="B2917" i="5"/>
  <c r="C2917" i="5"/>
  <c r="B2900" i="5"/>
  <c r="C2900" i="5"/>
  <c r="B2905" i="5"/>
  <c r="C2905" i="5"/>
  <c r="B2906" i="5"/>
  <c r="C2906" i="5"/>
  <c r="B2909" i="5"/>
  <c r="C2909" i="5"/>
  <c r="B2913" i="5"/>
  <c r="C2913" i="5"/>
  <c r="B2915" i="5"/>
  <c r="C2915" i="5"/>
  <c r="B2916" i="5"/>
  <c r="C2916" i="5"/>
  <c r="B2918" i="5"/>
  <c r="C2918" i="5"/>
  <c r="B2921" i="5"/>
  <c r="C2921" i="5"/>
  <c r="B2925" i="5"/>
  <c r="C2925" i="5"/>
  <c r="B2927" i="5"/>
  <c r="C2927" i="5"/>
  <c r="B2930" i="5"/>
  <c r="C2930" i="5"/>
  <c r="B2934" i="5"/>
  <c r="C2934" i="5"/>
  <c r="B2941" i="5"/>
  <c r="C2941" i="5"/>
  <c r="B2942" i="5"/>
  <c r="C2942" i="5"/>
  <c r="B2943" i="5"/>
  <c r="C2943" i="5"/>
  <c r="B2944" i="5"/>
  <c r="C2944" i="5"/>
  <c r="B2957" i="5"/>
  <c r="C2957" i="5"/>
  <c r="B2960" i="5"/>
  <c r="C2960" i="5"/>
  <c r="B2963" i="5"/>
  <c r="C2963" i="5"/>
  <c r="B2966" i="5"/>
  <c r="C2966" i="5"/>
  <c r="B2969" i="5"/>
  <c r="C2969" i="5"/>
  <c r="B2976" i="5"/>
  <c r="C2976" i="5"/>
  <c r="B2981" i="5"/>
  <c r="C2981" i="5"/>
  <c r="B2982" i="5"/>
  <c r="C2982" i="5"/>
  <c r="B2995" i="5"/>
  <c r="C2995" i="5"/>
  <c r="B2996" i="5"/>
  <c r="C2996" i="5"/>
  <c r="B2997" i="5"/>
  <c r="C2997" i="5"/>
  <c r="B2988" i="5"/>
  <c r="C2988" i="5"/>
  <c r="B2989" i="5"/>
  <c r="C2989" i="5"/>
  <c r="B2987" i="5"/>
  <c r="C2987" i="5"/>
  <c r="B3003" i="5"/>
  <c r="C3003" i="5"/>
  <c r="B3005" i="5"/>
  <c r="C3005" i="5"/>
  <c r="B3007" i="5"/>
  <c r="C3007" i="5"/>
  <c r="B3010" i="5"/>
  <c r="C3010" i="5"/>
  <c r="B3013" i="5"/>
  <c r="C3013" i="5"/>
  <c r="B3016" i="5"/>
  <c r="C3016" i="5"/>
  <c r="B3019" i="5"/>
  <c r="C3019" i="5"/>
  <c r="B3024" i="5"/>
  <c r="C3024" i="5"/>
  <c r="B3042" i="5"/>
  <c r="C3042" i="5"/>
  <c r="B3043" i="5"/>
  <c r="C3043" i="5"/>
  <c r="B3049" i="5"/>
  <c r="C3049" i="5"/>
  <c r="B3047" i="5"/>
  <c r="C3047" i="5"/>
  <c r="B3058" i="5"/>
  <c r="C3058" i="5"/>
  <c r="B3045" i="5"/>
  <c r="C3045" i="5"/>
  <c r="B3072" i="5"/>
  <c r="C3072" i="5"/>
  <c r="B3082" i="5"/>
  <c r="C3082" i="5"/>
  <c r="B3046" i="5"/>
  <c r="C3046" i="5"/>
  <c r="B3103" i="5"/>
  <c r="C3103" i="5"/>
  <c r="B3114" i="5"/>
  <c r="C3114" i="5"/>
  <c r="B3124" i="5"/>
  <c r="C3124" i="5"/>
  <c r="B3064" i="5"/>
  <c r="C3064" i="5"/>
  <c r="B3132" i="5"/>
  <c r="C3132" i="5"/>
  <c r="B3137" i="5"/>
  <c r="C3137" i="5"/>
  <c r="B3146" i="5"/>
  <c r="C3146" i="5"/>
  <c r="B3239" i="5"/>
  <c r="C3239" i="5"/>
  <c r="B3240" i="5"/>
  <c r="C3240" i="5"/>
  <c r="B3148" i="5"/>
  <c r="C3148" i="5"/>
  <c r="B3249" i="5"/>
  <c r="C3249" i="5"/>
  <c r="B3218" i="5"/>
  <c r="C3218" i="5"/>
  <c r="B3225" i="5"/>
  <c r="B3224" i="5"/>
  <c r="C3225" i="5"/>
  <c r="C3224" i="5"/>
  <c r="B3153" i="5"/>
  <c r="C3153" i="5"/>
  <c r="B3241" i="5"/>
  <c r="C3241" i="5"/>
  <c r="B3155" i="5"/>
  <c r="C3155" i="5"/>
  <c r="B3156" i="5"/>
  <c r="C3156" i="5"/>
  <c r="B3157" i="5"/>
  <c r="C3157" i="5"/>
  <c r="B3174" i="5"/>
  <c r="C3174" i="5"/>
  <c r="B3176" i="5"/>
  <c r="C3176" i="5"/>
  <c r="B3179" i="5"/>
  <c r="C3179" i="5"/>
  <c r="B3182" i="5"/>
  <c r="C3182" i="5"/>
  <c r="B3185" i="5"/>
  <c r="C3185" i="5"/>
  <c r="B3188" i="5"/>
  <c r="C3188" i="5"/>
  <c r="B3191" i="5"/>
  <c r="C3191" i="5"/>
  <c r="B3194" i="5"/>
  <c r="C3194" i="5"/>
  <c r="B3197" i="5"/>
  <c r="C3197" i="5"/>
  <c r="B3200" i="5"/>
  <c r="C3200" i="5"/>
  <c r="B3261" i="5"/>
  <c r="C3261" i="5"/>
  <c r="B3265" i="5"/>
  <c r="C3265" i="5"/>
  <c r="B3160" i="5"/>
  <c r="C3160" i="5"/>
  <c r="B3162" i="5"/>
  <c r="C3162" i="5"/>
  <c r="B3262" i="5"/>
  <c r="C3262" i="5"/>
  <c r="B3263" i="5"/>
  <c r="C3263" i="5"/>
  <c r="B3271" i="5"/>
  <c r="C3271" i="5"/>
  <c r="B3286" i="5"/>
  <c r="C3286" i="5"/>
  <c r="B3292" i="5"/>
  <c r="C3292" i="5"/>
  <c r="B3298" i="5"/>
  <c r="C3298" i="5"/>
  <c r="B3305" i="5"/>
  <c r="C3305" i="5"/>
  <c r="B6" i="40"/>
  <c r="C6" i="40"/>
  <c r="B29" i="40"/>
  <c r="C29" i="40"/>
  <c r="B34" i="40"/>
  <c r="C34" i="40"/>
  <c r="B40" i="40"/>
  <c r="C40" i="40"/>
  <c r="B46" i="40"/>
  <c r="C46" i="40"/>
  <c r="B47" i="40"/>
  <c r="C47" i="40"/>
  <c r="B48" i="40" l="1"/>
  <c r="C48" i="40"/>
  <c r="B52" i="40" l="1"/>
  <c r="B73" i="40"/>
  <c r="C73" i="40"/>
  <c r="B82" i="40"/>
  <c r="C82" i="40"/>
  <c r="B92" i="40"/>
  <c r="C92" i="40"/>
  <c r="B91" i="40"/>
  <c r="C91" i="40"/>
  <c r="B102" i="40"/>
  <c r="C102" i="40"/>
  <c r="B77" i="40"/>
  <c r="C77" i="40"/>
  <c r="B115" i="40"/>
  <c r="C115" i="40"/>
  <c r="B117" i="40"/>
  <c r="C117" i="40"/>
  <c r="B3306" i="5"/>
  <c r="C3306" i="5"/>
  <c r="B118" i="40"/>
  <c r="C118"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Masaaki Hori</author>
    <author>tc={AD335BD0-CE91-40EC-83FA-FF853F3DDB48}</author>
  </authors>
  <commentList>
    <comment ref="D1" authorId="0" shapeId="0" xr:uid="{99C27A57-6B5B-4483-BC6C-F648395C4099}">
      <text>
        <r>
          <rPr>
            <b/>
            <sz val="9"/>
            <color indexed="81"/>
            <rFont val="MS P ゴシック"/>
            <family val="3"/>
            <charset val="128"/>
          </rPr>
          <t>Masaaki Hori:</t>
        </r>
        <r>
          <rPr>
            <sz val="9"/>
            <color indexed="81"/>
            <rFont val="MS P ゴシック"/>
            <family val="3"/>
            <charset val="128"/>
          </rPr>
          <t xml:space="preserve">
プロジェクトリクエスト月
</t>
        </r>
      </text>
    </comment>
    <comment ref="F1" authorId="0" shapeId="0" xr:uid="{FC8B3855-1B6D-4637-AA41-6073162B5016}">
      <text>
        <r>
          <rPr>
            <b/>
            <sz val="9"/>
            <color indexed="81"/>
            <rFont val="MS P ゴシック"/>
            <family val="3"/>
            <charset val="128"/>
          </rPr>
          <t xml:space="preserve">Masaaki Hori:
</t>
        </r>
        <r>
          <rPr>
            <sz val="9"/>
            <color indexed="81"/>
            <rFont val="MS P ゴシック"/>
            <family val="3"/>
            <charset val="128"/>
          </rPr>
          <t xml:space="preserve">
親プロジェクト名
（複数のXTMプロジェクトを1つのプロジェクトとしてベンダーにリクエストした場合のみ使用）
</t>
        </r>
      </text>
    </comment>
    <comment ref="G679" authorId="0" shapeId="0" xr:uid="{552F961A-961E-4438-B2E1-BB70BCB18B2A}">
      <text>
        <r>
          <rPr>
            <b/>
            <sz val="9"/>
            <color indexed="81"/>
            <rFont val="MS P ゴシック"/>
            <family val="3"/>
            <charset val="128"/>
          </rPr>
          <t>Masaaki Hori:</t>
        </r>
        <r>
          <rPr>
            <sz val="9"/>
            <color indexed="81"/>
            <rFont val="MS P ゴシック"/>
            <family val="3"/>
            <charset val="128"/>
          </rPr>
          <t xml:space="preserve">
9月分 KB</t>
        </r>
      </text>
    </comment>
    <comment ref="H884" authorId="1" shapeId="0" xr:uid="{AD335BD0-CE91-40EC-83FA-FF853F3DDB4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ここからSFDC migration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Masaaki Hori</author>
  </authors>
  <commentList>
    <comment ref="D1" authorId="0" shapeId="0" xr:uid="{6C9FDFEC-0BBC-42C4-A25B-A9AB32626DA7}">
      <text>
        <r>
          <rPr>
            <b/>
            <sz val="9"/>
            <color indexed="81"/>
            <rFont val="MS P ゴシック"/>
            <family val="3"/>
            <charset val="128"/>
          </rPr>
          <t>Masaaki Hori:</t>
        </r>
        <r>
          <rPr>
            <sz val="9"/>
            <color indexed="81"/>
            <rFont val="MS P ゴシック"/>
            <family val="3"/>
            <charset val="128"/>
          </rPr>
          <t xml:space="preserve">
プロジェクトリクエスト月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Masaaki Hori</author>
  </authors>
  <commentList>
    <comment ref="A1" authorId="0" shapeId="0" xr:uid="{BC0C6FC6-4A79-4D9D-BF29-37B5EBBA444B}">
      <text>
        <r>
          <rPr>
            <b/>
            <sz val="9"/>
            <color indexed="81"/>
            <rFont val="MS P ゴシック"/>
            <family val="3"/>
            <charset val="128"/>
          </rPr>
          <t>Masaaki Hori:</t>
        </r>
        <r>
          <rPr>
            <sz val="9"/>
            <color indexed="81"/>
            <rFont val="MS P ゴシック"/>
            <family val="3"/>
            <charset val="128"/>
          </rPr>
          <t xml:space="preserve">
プロジェクトリクエスト月
</t>
        </r>
      </text>
    </comment>
  </commentList>
</comments>
</file>

<file path=xl/sharedStrings.xml><?xml version="1.0" encoding="utf-8"?>
<sst xmlns="http://schemas.openxmlformats.org/spreadsheetml/2006/main" count="31939" uniqueCount="7813">
  <si>
    <t>#</t>
    <phoneticPr fontId="5"/>
  </si>
  <si>
    <t>BU</t>
    <phoneticPr fontId="5"/>
  </si>
  <si>
    <t xml:space="preserve">YY(FY) +MM </t>
    <phoneticPr fontId="5"/>
  </si>
  <si>
    <t>Date</t>
    <phoneticPr fontId="5"/>
  </si>
  <si>
    <t>Vendor</t>
    <phoneticPr fontId="5"/>
  </si>
  <si>
    <t>Asset type</t>
    <phoneticPr fontId="5"/>
  </si>
  <si>
    <t>File/Job name</t>
    <phoneticPr fontId="5"/>
  </si>
  <si>
    <t>Lang</t>
    <phoneticPr fontId="5"/>
  </si>
  <si>
    <t>Batch# (Optional)</t>
    <phoneticPr fontId="5"/>
  </si>
  <si>
    <t>Project name</t>
    <phoneticPr fontId="5"/>
  </si>
  <si>
    <t>Comments</t>
    <phoneticPr fontId="5"/>
  </si>
  <si>
    <t>SA</t>
  </si>
  <si>
    <t>ACSM</t>
  </si>
  <si>
    <t>TEST Project</t>
    <phoneticPr fontId="5"/>
  </si>
  <si>
    <t>JA</t>
  </si>
  <si>
    <t>_Batch-1</t>
    <phoneticPr fontId="5"/>
  </si>
  <si>
    <t>ED</t>
  </si>
  <si>
    <t>KB</t>
  </si>
  <si>
    <t>FY21-Q2-Batch-1_Mindtouch-Zendesk</t>
    <phoneticPr fontId="5"/>
  </si>
  <si>
    <t>_Batch-3</t>
    <phoneticPr fontId="5"/>
  </si>
  <si>
    <t>Learn Domo</t>
  </si>
  <si>
    <t>LearnBySkill.xlsx</t>
    <phoneticPr fontId="5"/>
  </si>
  <si>
    <t>MK</t>
  </si>
  <si>
    <t>Web</t>
  </si>
  <si>
    <t>FY21-Q2-MKTG_Website</t>
    <phoneticPr fontId="5"/>
  </si>
  <si>
    <t>22**</t>
    <phoneticPr fontId="5"/>
  </si>
  <si>
    <t>FY22-Q*-Zendesk</t>
    <phoneticPr fontId="5"/>
  </si>
  <si>
    <t>_Batch-*</t>
    <phoneticPr fontId="5"/>
  </si>
  <si>
    <t>Zendeskの昨年度分と今年度分</t>
    <rPh sb="8" eb="9">
      <t>サク</t>
    </rPh>
    <rPh sb="9" eb="11">
      <t>ネンド</t>
    </rPh>
    <rPh sb="11" eb="12">
      <t>ブン</t>
    </rPh>
    <rPh sb="13" eb="16">
      <t>コンネンド</t>
    </rPh>
    <rPh sb="16" eb="17">
      <t>ブン</t>
    </rPh>
    <phoneticPr fontId="5"/>
  </si>
  <si>
    <t>Domo University exam courses</t>
    <phoneticPr fontId="5"/>
  </si>
  <si>
    <t>FY21-Q2_Mindtouch-Zendesk</t>
    <phoneticPr fontId="5"/>
  </si>
  <si>
    <t>_Batch-4</t>
    <phoneticPr fontId="5"/>
  </si>
  <si>
    <t>FY22-Q2_Zendesk-Priority_High</t>
    <phoneticPr fontId="5"/>
  </si>
  <si>
    <t>Upsert in a MySQL DataFlow</t>
  </si>
  <si>
    <t>ED2206_KB-FY22-Q2_Zendesk-Priority_High-JA_Batch-2</t>
    <phoneticPr fontId="5"/>
  </si>
  <si>
    <t>MK2207_Web-FY21-Q2-MKTG_Website-Ver2-JA</t>
  </si>
  <si>
    <t>FY22-July-Current Release Notes</t>
    <phoneticPr fontId="5"/>
  </si>
  <si>
    <t>July 2021 Release Updated Existing Articles - Japanese</t>
  </si>
  <si>
    <t>Beast Mode Functions Reference Guide/Beast Mode関数リファレンスガイド</t>
    <phoneticPr fontId="5"/>
  </si>
  <si>
    <t>MO</t>
  </si>
  <si>
    <t>App</t>
  </si>
  <si>
    <t>Using Domo Embed</t>
    <phoneticPr fontId="5"/>
  </si>
  <si>
    <t>CS</t>
  </si>
  <si>
    <t>SalesPlays_indd</t>
  </si>
  <si>
    <t>Customer Stories_Domo Everywhere (Internal Only).PDF</t>
    <phoneticPr fontId="5"/>
  </si>
  <si>
    <t>SalesPlays</t>
  </si>
  <si>
    <t>Domo Everywhere - PPTX+INDD</t>
    <phoneticPr fontId="5"/>
  </si>
  <si>
    <t>Customer Story - Media and Entertainment</t>
  </si>
  <si>
    <t>App-PLC</t>
  </si>
  <si>
    <t>Governing Your User Ecosystem</t>
    <phoneticPr fontId="5"/>
  </si>
  <si>
    <t>Movie</t>
  </si>
  <si>
    <t>Domo Everywhere</t>
  </si>
  <si>
    <t>US</t>
  </si>
  <si>
    <t>JP sales assets</t>
    <phoneticPr fontId="5"/>
  </si>
  <si>
    <t>indd</t>
  </si>
  <si>
    <t>Enterprise+Apps-Take Domo to the next level with Enterprise Apps.</t>
    <phoneticPr fontId="5"/>
  </si>
  <si>
    <t>MS Word template for Brochures</t>
    <phoneticPr fontId="5"/>
  </si>
  <si>
    <t>Domo Value Framework</t>
    <phoneticPr fontId="5"/>
  </si>
  <si>
    <t>Copy</t>
    <phoneticPr fontId="5"/>
  </si>
  <si>
    <t>AL</t>
  </si>
  <si>
    <t>_Batch-5</t>
    <phoneticPr fontId="5"/>
  </si>
  <si>
    <t>Feature Page</t>
  </si>
  <si>
    <t>Seismic</t>
  </si>
  <si>
    <t>Industry App Enablement - Use Case Document</t>
    <phoneticPr fontId="5"/>
  </si>
  <si>
    <t>Non-queryable DataSets</t>
    <phoneticPr fontId="5"/>
  </si>
  <si>
    <t>Managing Pages</t>
  </si>
  <si>
    <t>System Requirements</t>
    <phoneticPr fontId="5"/>
  </si>
  <si>
    <t>Adding a Drill Path to Your Chart</t>
    <phoneticPr fontId="5"/>
  </si>
  <si>
    <t>FY22-Q2_Zendesk-Priority_High</t>
  </si>
  <si>
    <t>_Batch-6</t>
    <phoneticPr fontId="5"/>
  </si>
  <si>
    <t>Google Analytics Advanced Connector</t>
    <phoneticPr fontId="5"/>
  </si>
  <si>
    <t>October 2021 Release Update</t>
    <phoneticPr fontId="5"/>
  </si>
  <si>
    <t>Taeko</t>
  </si>
  <si>
    <t>Enablement</t>
  </si>
  <si>
    <t>GMT20211020-163018</t>
  </si>
  <si>
    <t>New Magic ETL Tiles: Pivot</t>
    <phoneticPr fontId="5"/>
  </si>
  <si>
    <t>Installing Workbench 5.1</t>
  </si>
  <si>
    <t>Adding a Unique Key Column Using Magic ETL</t>
  </si>
  <si>
    <t>Adding and Subtracting Hours in the Old Magic ETL</t>
  </si>
  <si>
    <t>Adding Missing Dates to Your Data</t>
    <phoneticPr fontId="5"/>
  </si>
  <si>
    <t>Requested by Support team-20210817</t>
    <phoneticPr fontId="5"/>
  </si>
  <si>
    <t>_Batch-2</t>
    <phoneticPr fontId="5"/>
  </si>
  <si>
    <t>Understanding Joins</t>
  </si>
  <si>
    <t>Understanding and Configuring Domo Single Sign-On Using SAML</t>
    <phoneticPr fontId="5"/>
  </si>
  <si>
    <t>Masaaki</t>
    <phoneticPr fontId="5"/>
  </si>
  <si>
    <t>Scheduling Reports</t>
    <phoneticPr fontId="5"/>
  </si>
  <si>
    <t>Sharing and Removing Access to Cards and Pages</t>
  </si>
  <si>
    <t>Creating and Deleting PDP Policies</t>
  </si>
  <si>
    <t>Instagram Connector (Deprecated)</t>
    <phoneticPr fontId="5"/>
  </si>
  <si>
    <t>Adding an Account in Workbench 5&amp;5.1</t>
    <phoneticPr fontId="5"/>
  </si>
  <si>
    <t>_Batch-7</t>
    <phoneticPr fontId="5"/>
  </si>
  <si>
    <t>_Batch-8</t>
    <phoneticPr fontId="5"/>
  </si>
  <si>
    <t>_Batch-9</t>
    <phoneticPr fontId="5"/>
  </si>
  <si>
    <t>_Batch-10</t>
    <phoneticPr fontId="5"/>
  </si>
  <si>
    <t>Video link update</t>
    <phoneticPr fontId="5"/>
  </si>
  <si>
    <t>October 2021 Release Update-Course Description</t>
    <phoneticPr fontId="5"/>
  </si>
  <si>
    <t>MH</t>
    <phoneticPr fontId="5"/>
  </si>
  <si>
    <t>Domo Trust White paper.pdf</t>
    <phoneticPr fontId="5"/>
  </si>
  <si>
    <t>_Batch-11</t>
    <phoneticPr fontId="5"/>
  </si>
  <si>
    <t>_Batch-12</t>
    <phoneticPr fontId="5"/>
  </si>
  <si>
    <t>_Batch-13</t>
    <phoneticPr fontId="5"/>
  </si>
  <si>
    <t>New Section Names in the Knowledge Base</t>
    <phoneticPr fontId="5"/>
  </si>
  <si>
    <t>Update for PLC</t>
    <phoneticPr fontId="5"/>
  </si>
  <si>
    <t>ED</t>
    <phoneticPr fontId="5"/>
  </si>
  <si>
    <t>DataFlow Tips and Tricks</t>
    <phoneticPr fontId="5"/>
  </si>
  <si>
    <t>Using Does Not Contain in Magic ETL</t>
    <phoneticPr fontId="5"/>
  </si>
  <si>
    <t>Domo Certification</t>
    <phoneticPr fontId="5"/>
  </si>
  <si>
    <t>Certification Translation request 20220204</t>
    <phoneticPr fontId="5"/>
  </si>
  <si>
    <t>Wrong Date: 二月のプロジェクトを誤って2303と表記。</t>
    <rPh sb="12" eb="14">
      <t>ニガツ</t>
    </rPh>
    <rPh sb="22" eb="23">
      <t>アヤマ</t>
    </rPh>
    <rPh sb="30" eb="32">
      <t>ヒョウキ</t>
    </rPh>
    <phoneticPr fontId="5"/>
  </si>
  <si>
    <t>DataSet Views</t>
    <phoneticPr fontId="5"/>
  </si>
  <si>
    <t>PDP Policy Autocreation</t>
  </si>
  <si>
    <t>Creating Domo Stories</t>
  </si>
  <si>
    <t>KB</t>
    <phoneticPr fontId="5"/>
  </si>
  <si>
    <t>Workbench 5.1</t>
    <phoneticPr fontId="5"/>
  </si>
  <si>
    <t>TO</t>
  </si>
  <si>
    <t>FY23-Q1_Zendesk-1</t>
    <phoneticPr fontId="5"/>
  </si>
  <si>
    <t>FY23-Q1_Zendesk-2</t>
    <phoneticPr fontId="5"/>
  </si>
  <si>
    <t>FY23-Q1_Zendesk-3</t>
    <phoneticPr fontId="5"/>
  </si>
  <si>
    <t>DataFusion Performance Recommendations</t>
    <phoneticPr fontId="5"/>
  </si>
  <si>
    <t>Backing Up Workbench 5.1 Jobs</t>
    <phoneticPr fontId="5"/>
  </si>
  <si>
    <t>New Magic ETL Tiles Performance</t>
    <phoneticPr fontId="5"/>
  </si>
  <si>
    <t>Japanese Domopalooza Release 2022 - New Articles</t>
  </si>
  <si>
    <t>Japanese Domopalooza Release Notes 2022</t>
  </si>
  <si>
    <t>Whitelisting IP Addresses for Connectors &amp; Federated Adapters</t>
  </si>
  <si>
    <t>Enabling SSO with Okta</t>
    <phoneticPr fontId="5"/>
  </si>
  <si>
    <t>Using the Federated Data Solution</t>
  </si>
  <si>
    <t>KCS_RFC-KB-JP | Google Ad Manager Connector</t>
    <phoneticPr fontId="5"/>
  </si>
  <si>
    <t>KCS_RFC-KB-JP | Social User FAQs and Video</t>
    <phoneticPr fontId="5"/>
  </si>
  <si>
    <t>Ads connectors</t>
    <phoneticPr fontId="5"/>
  </si>
  <si>
    <t>_Batch-2</t>
  </si>
  <si>
    <t>_Batch-3</t>
  </si>
  <si>
    <t>March 2022 Release Update - Japan Modules</t>
    <phoneticPr fontId="5"/>
  </si>
  <si>
    <t>KCS-RFC-KB-JP-April</t>
    <phoneticPr fontId="5"/>
  </si>
  <si>
    <t>New Articles - April</t>
    <phoneticPr fontId="5"/>
  </si>
  <si>
    <t>Updated Articles - April</t>
    <phoneticPr fontId="5"/>
  </si>
  <si>
    <t>Domo</t>
  </si>
  <si>
    <t>privacypolicy.json</t>
    <phoneticPr fontId="5"/>
  </si>
  <si>
    <t>Education</t>
  </si>
  <si>
    <t>Domo Professional Knowledge Test (2h)_export_2022-04-04.txt</t>
  </si>
  <si>
    <t>New Magic ETL</t>
    <phoneticPr fontId="5"/>
  </si>
  <si>
    <t>RFC-KB-JP  Specifying Your Personal Profile Information</t>
    <phoneticPr fontId="5"/>
  </si>
  <si>
    <t>RFC-KB-JP | Adobe Analytics 1.4 OAuth Connector</t>
    <phoneticPr fontId="5"/>
  </si>
  <si>
    <t>Fun Sample DataSets</t>
    <phoneticPr fontId="5"/>
  </si>
  <si>
    <t>Review</t>
    <phoneticPr fontId="5"/>
  </si>
  <si>
    <t>Future of BI Reprint Translation - Domo</t>
    <phoneticPr fontId="5"/>
  </si>
  <si>
    <t>Instagram Business Connector</t>
  </si>
  <si>
    <t>RFC-KB-JP Adding a Beast Mode Calculation to Your Chart</t>
    <phoneticPr fontId="5"/>
  </si>
  <si>
    <t>RFC-KB-JP Understanding the Workbench 5.1 User Interface</t>
    <phoneticPr fontId="5"/>
  </si>
  <si>
    <t>RFC-KB-JP Installing Workbench 5.1</t>
    <phoneticPr fontId="5"/>
  </si>
  <si>
    <t>End of Course Surveys</t>
    <phoneticPr fontId="5"/>
  </si>
  <si>
    <t>Zendesk FY23-Q1 04 New translation</t>
    <phoneticPr fontId="5"/>
  </si>
  <si>
    <t>Zendesk FY23-Q2 05 New translation</t>
    <phoneticPr fontId="5"/>
  </si>
  <si>
    <t>MH</t>
  </si>
  <si>
    <t>_Update</t>
    <phoneticPr fontId="5"/>
  </si>
  <si>
    <t>Adding a Beast Mode Calculation to Your Chart</t>
  </si>
  <si>
    <t>_Bugfix</t>
  </si>
  <si>
    <t>Bucketing Data Using Beast Mode</t>
  </si>
  <si>
    <t>_Update</t>
  </si>
  <si>
    <t>Sample Beast Mode Calculations- Date Transforms</t>
    <phoneticPr fontId="5"/>
  </si>
  <si>
    <t>Domo for Office Add-Ins</t>
  </si>
  <si>
    <t>JA</t>
    <phoneticPr fontId="5"/>
  </si>
  <si>
    <t>RFC-KB-JP Plugins for Sharing Domo Content</t>
    <phoneticPr fontId="5"/>
  </si>
  <si>
    <t>RFC-KB-JP Sample Beast Mode Calculations- Card Element Transforms</t>
    <phoneticPr fontId="5"/>
  </si>
  <si>
    <t>RFC-KB-JP Table Chart</t>
    <phoneticPr fontId="5"/>
  </si>
  <si>
    <t>Workbench 5.1 publishing issue</t>
    <phoneticPr fontId="5"/>
  </si>
  <si>
    <t>Installing Workbench 5.1</t>
    <phoneticPr fontId="5"/>
  </si>
  <si>
    <t>RFC-KB-JP Using Programmatic Filters with Domo Embed</t>
  </si>
  <si>
    <t xml:space="preserve">Zendesk FY23-Q2 06 </t>
    <phoneticPr fontId="5"/>
  </si>
  <si>
    <t>_Update_Batch-1</t>
    <phoneticPr fontId="5"/>
  </si>
  <si>
    <t>_Update_Batch-2</t>
  </si>
  <si>
    <t>_Update_Batch-3</t>
  </si>
  <si>
    <t>_Update_Batch-4</t>
  </si>
  <si>
    <t>_Update_Batch-5</t>
  </si>
  <si>
    <t>_New_Batch-1</t>
    <phoneticPr fontId="5"/>
  </si>
  <si>
    <t>_New_Batch-2</t>
    <phoneticPr fontId="5"/>
  </si>
  <si>
    <t>_New_Batch-3</t>
    <phoneticPr fontId="5"/>
  </si>
  <si>
    <t>_New_Batch-4</t>
    <phoneticPr fontId="5"/>
  </si>
  <si>
    <t>_New_Batch-5</t>
    <phoneticPr fontId="5"/>
  </si>
  <si>
    <t>_New_Batch-6</t>
    <phoneticPr fontId="5"/>
  </si>
  <si>
    <t>RFC-KB-JP Common Troubleshooting Practices for Custom Apps</t>
    <phoneticPr fontId="5"/>
  </si>
  <si>
    <t>_New</t>
  </si>
  <si>
    <t>RFC-KB-JP Duplicating Dashboards (Save As)</t>
    <phoneticPr fontId="5"/>
  </si>
  <si>
    <t>March 2022 Release Update</t>
    <phoneticPr fontId="5"/>
  </si>
  <si>
    <t>Requested by Tyler - Applications update</t>
    <phoneticPr fontId="5"/>
  </si>
  <si>
    <t>RFC-KB-JP Using the Domo Excel Plugin</t>
    <phoneticPr fontId="5"/>
  </si>
  <si>
    <t>RFC-KB-JP Managing User Accounts for Connectors</t>
    <phoneticPr fontId="5"/>
  </si>
  <si>
    <t>SC</t>
  </si>
  <si>
    <t>Attack and Penetration Test</t>
    <phoneticPr fontId="5"/>
  </si>
  <si>
    <t>Domo certification courses issues reported by Rakuten</t>
    <phoneticPr fontId="5"/>
  </si>
  <si>
    <t>Using MySQL DataFlows in Domo</t>
    <phoneticPr fontId="5"/>
  </si>
  <si>
    <t>PPT</t>
  </si>
  <si>
    <t>DomoTraining_forTMG.pptx</t>
    <phoneticPr fontId="5"/>
  </si>
  <si>
    <t>EN</t>
  </si>
  <si>
    <t>RFC-KB-JP HTML Table Connector</t>
    <phoneticPr fontId="5"/>
  </si>
  <si>
    <t>RFC-KB-JP DataSet via Email Connector</t>
    <phoneticPr fontId="5"/>
  </si>
  <si>
    <t>RFC-KB-JP Using a Fiscal Calendar</t>
    <phoneticPr fontId="5"/>
  </si>
  <si>
    <t>Video tutorial - product feedback in Dojo</t>
    <phoneticPr fontId="5"/>
  </si>
  <si>
    <t>FC-KB-JP Enabling SSO with Azure Active Directory</t>
    <phoneticPr fontId="5"/>
  </si>
  <si>
    <t>Plugins for Sharing Domo Content</t>
  </si>
  <si>
    <t>WP</t>
  </si>
  <si>
    <t>NDA</t>
    <phoneticPr fontId="5"/>
  </si>
  <si>
    <t>RFC-KB-JP Domo Governance Datasets Connector</t>
    <phoneticPr fontId="5"/>
  </si>
  <si>
    <t>RFC-KB-JP Adding a Doc Card to Domo</t>
    <phoneticPr fontId="5"/>
  </si>
  <si>
    <t>RFC-KB-JP Instagram Business Connector</t>
    <phoneticPr fontId="5"/>
  </si>
  <si>
    <t>Zendesk FY23-Q2 07</t>
    <phoneticPr fontId="5"/>
  </si>
  <si>
    <t>RFC-KB-JP Sharing a DataSet</t>
    <phoneticPr fontId="5"/>
  </si>
  <si>
    <t>RFC-KB-JP Yahoo! JAPAN Display Ad Network (YDN)</t>
    <phoneticPr fontId="5"/>
  </si>
  <si>
    <t>RFC-KB-JP Jupyter Workspaces</t>
    <phoneticPr fontId="5"/>
  </si>
  <si>
    <t>Using Drill Paths and Building Specific Chart Types</t>
    <phoneticPr fontId="5"/>
  </si>
  <si>
    <t>Governing Your Data Ecosystem</t>
    <phoneticPr fontId="5"/>
  </si>
  <si>
    <t>RFC-KB-JP Adobe Analytics v2 OAuth Partition Connector</t>
    <phoneticPr fontId="5"/>
  </si>
  <si>
    <t>July 2022 Release Update-CB</t>
    <phoneticPr fontId="5"/>
  </si>
  <si>
    <t>Domo R Plugin &amp; Domo Python Movies</t>
  </si>
  <si>
    <t>_Update_Batch-3</t>
    <phoneticPr fontId="5"/>
  </si>
  <si>
    <t>Zendesk FY23-Q3 08</t>
    <phoneticPr fontId="5"/>
  </si>
  <si>
    <t>_Update_Batch-4</t>
    <phoneticPr fontId="5"/>
  </si>
  <si>
    <t>_Update_Batch-5</t>
    <phoneticPr fontId="5"/>
  </si>
  <si>
    <t>RFC-KB-JP Admin Settings Layout</t>
    <phoneticPr fontId="5"/>
  </si>
  <si>
    <t>RFC-KB-JP Governance Toolkit PDP Automation</t>
    <phoneticPr fontId="5"/>
  </si>
  <si>
    <t>Beast Mode FIXED Functions</t>
    <phoneticPr fontId="5"/>
  </si>
  <si>
    <t xml:space="preserve">Edit the Mobile Layout </t>
    <phoneticPr fontId="5"/>
  </si>
  <si>
    <t>PS</t>
  </si>
  <si>
    <t>Competitive Guide</t>
    <phoneticPr fontId="5"/>
  </si>
  <si>
    <t>Dashboard Best Practices</t>
    <phoneticPr fontId="5"/>
  </si>
  <si>
    <t>RFC-KB-JP Magic ETL Tiles Scripting</t>
    <phoneticPr fontId="5"/>
  </si>
  <si>
    <t>RFC-KB-JP Governance Toolkit User Management</t>
    <phoneticPr fontId="5"/>
  </si>
  <si>
    <t>RFC-KB-JP Generating a List of Users</t>
    <phoneticPr fontId="5"/>
  </si>
  <si>
    <t>Beast Mode FIXED Functions</t>
  </si>
  <si>
    <t>_Update_2</t>
    <phoneticPr fontId="5"/>
  </si>
  <si>
    <t>Setting Up Publication Groups</t>
  </si>
  <si>
    <t>Community Built Connectors</t>
    <phoneticPr fontId="5"/>
  </si>
  <si>
    <t xml:space="preserve">Domo certifications course applications </t>
    <phoneticPr fontId="5"/>
  </si>
  <si>
    <t>RFC-KB-JP Google Drive Service Connector</t>
    <phoneticPr fontId="5"/>
  </si>
  <si>
    <t>RFC-KB-JP Available Table-Type Charts</t>
    <phoneticPr fontId="5"/>
  </si>
  <si>
    <t>RFC-KB-JP Current Release Notes</t>
    <phoneticPr fontId="5"/>
  </si>
  <si>
    <t>KB Bugs reporeted by Hiro</t>
    <phoneticPr fontId="5"/>
  </si>
  <si>
    <t>Behavior Changes and Feature Updates in Magic ETL</t>
    <phoneticPr fontId="5"/>
  </si>
  <si>
    <t>_Update_Batch-6</t>
    <phoneticPr fontId="5"/>
  </si>
  <si>
    <t>_Update_Batch-7</t>
    <phoneticPr fontId="5"/>
  </si>
  <si>
    <t>Requesting Access to an App</t>
  </si>
  <si>
    <t>_Update_Batch-8</t>
    <phoneticPr fontId="5"/>
  </si>
  <si>
    <t>_Update_Batch-9</t>
  </si>
  <si>
    <t>_Update_Batch-10</t>
    <phoneticPr fontId="5"/>
  </si>
  <si>
    <t>_Update_Batch-11</t>
    <phoneticPr fontId="5"/>
  </si>
  <si>
    <t>_Update_Batch-12</t>
    <phoneticPr fontId="5"/>
  </si>
  <si>
    <t>July 2022 Release Update - Related apps</t>
    <phoneticPr fontId="5"/>
  </si>
  <si>
    <t>Adding a Doc Card to Domo</t>
  </si>
  <si>
    <t>KB-Support</t>
  </si>
  <si>
    <t>KCS RFC-KB-JP Scheduling Reports</t>
    <phoneticPr fontId="5"/>
  </si>
  <si>
    <t>KCS RFC-KB-JP Creating and Managing User Groups</t>
  </si>
  <si>
    <t>KCS RFC-KB-JP Viewing DataFlow Details</t>
  </si>
  <si>
    <t>Country Map</t>
    <phoneticPr fontId="5"/>
  </si>
  <si>
    <t>Using a Fiscal Calendar</t>
    <phoneticPr fontId="5"/>
  </si>
  <si>
    <t>July 2022 Release Update Course Description.docx</t>
    <phoneticPr fontId="5"/>
  </si>
  <si>
    <t>Pivot Table</t>
  </si>
  <si>
    <t>Behavior Changes and Feature Updates in Magic ETL</t>
  </si>
  <si>
    <t>Supported Functions in Magic ETL</t>
  </si>
  <si>
    <t>Amazon S3 Connector</t>
  </si>
  <si>
    <t>Formatting Data Label and Hover Text in Your Chart</t>
  </si>
  <si>
    <t>Adding an Account in Workbench 5.1</t>
  </si>
  <si>
    <t>Zendesk FY23-Q3 09</t>
    <phoneticPr fontId="5"/>
  </si>
  <si>
    <t>_New_Batch-2</t>
  </si>
  <si>
    <t>_New_Batch-3</t>
  </si>
  <si>
    <t>_New_Batch-4</t>
  </si>
  <si>
    <t>_New_Batch-5</t>
  </si>
  <si>
    <t>プロジェクトを10月に変更</t>
    <rPh sb="9" eb="10">
      <t>ガツ</t>
    </rPh>
    <rPh sb="11" eb="13">
      <t>ヘンコウ</t>
    </rPh>
    <phoneticPr fontId="5"/>
  </si>
  <si>
    <t>Understanding Form Response Data</t>
  </si>
  <si>
    <t>Zendesk FY23-Q3 10</t>
    <phoneticPr fontId="5"/>
  </si>
  <si>
    <t>_Batch-4</t>
  </si>
  <si>
    <t>_Batch-5</t>
  </si>
  <si>
    <t>_Batch-6</t>
  </si>
  <si>
    <t>October Release Update - Japanese</t>
    <phoneticPr fontId="5"/>
  </si>
  <si>
    <t>Data Center Layout</t>
  </si>
  <si>
    <t>Nested Bar Chart</t>
    <phoneticPr fontId="5"/>
  </si>
  <si>
    <t xml:space="preserve"> SFDC Update</t>
  </si>
  <si>
    <t>SFDCでアップデート</t>
    <phoneticPr fontId="5"/>
  </si>
  <si>
    <t>Practical Test-Creating Simple Beast Mode Calculations-CB</t>
    <phoneticPr fontId="5"/>
  </si>
  <si>
    <t>Microsoft Excel Connector</t>
    <phoneticPr fontId="5"/>
  </si>
  <si>
    <t xml:space="preserve"> Update</t>
  </si>
  <si>
    <t>Editing a SQL DataFlow</t>
    <phoneticPr fontId="5"/>
  </si>
  <si>
    <t>Understanding Form Response Data</t>
    <phoneticPr fontId="5"/>
  </si>
  <si>
    <t xml:space="preserve">Google </t>
    <phoneticPr fontId="5"/>
  </si>
  <si>
    <t>Governance Toolkit</t>
    <phoneticPr fontId="5"/>
  </si>
  <si>
    <t>SFDC Migration</t>
    <phoneticPr fontId="5"/>
  </si>
  <si>
    <t xml:space="preserve"> Update Batch-1</t>
    <phoneticPr fontId="5"/>
  </si>
  <si>
    <t xml:space="preserve"> Update Batch-2</t>
    <phoneticPr fontId="5"/>
  </si>
  <si>
    <t xml:space="preserve"> Update Batch-3</t>
    <phoneticPr fontId="5"/>
  </si>
  <si>
    <t>Variables Overview</t>
  </si>
  <si>
    <t>SFDC Migration-October 2022 Release Documentation</t>
    <phoneticPr fontId="5"/>
  </si>
  <si>
    <t>Beast Mode Functions Reference Guide</t>
    <phoneticPr fontId="5"/>
  </si>
  <si>
    <t xml:space="preserve"> Update Batch-4</t>
    <phoneticPr fontId="5"/>
  </si>
  <si>
    <t>Card And Dashboard Management</t>
    <phoneticPr fontId="5"/>
  </si>
  <si>
    <t xml:space="preserve"> SFDC Update</t>
    <phoneticPr fontId="5"/>
  </si>
  <si>
    <t>Using Story Presentation Mode</t>
  </si>
  <si>
    <t>Governance Toolkit: Observability Metrics</t>
  </si>
  <si>
    <t>Form Builder App</t>
  </si>
  <si>
    <t>AppDB Admin User Interface</t>
  </si>
  <si>
    <t>Domo Sandbox</t>
    <phoneticPr fontId="5"/>
  </si>
  <si>
    <t>Governance Toolkit: Observability Metrics</t>
    <phoneticPr fontId="5"/>
  </si>
  <si>
    <t>Governance Toolkit: Triggered Reports</t>
    <phoneticPr fontId="5"/>
  </si>
  <si>
    <t>Using Story Presentation Mode</t>
    <phoneticPr fontId="5"/>
  </si>
  <si>
    <t>Zendesk FY23-Q3 08-JA-Update-B-4</t>
    <phoneticPr fontId="5"/>
  </si>
  <si>
    <t>ED2308-TO_KB-Zendesk FY23-Q3 08-JA_Update_Batch-5</t>
  </si>
  <si>
    <t>adding cards as favorites</t>
    <phoneticPr fontId="5"/>
  </si>
  <si>
    <t>ED2309-TO-KB-Support-KCS RFC-KB-JP Creating and Managing User Groups</t>
    <phoneticPr fontId="5"/>
  </si>
  <si>
    <t xml:space="preserve"> Bugfix</t>
  </si>
  <si>
    <t>ED2309-TO_KB-Support-KCS RFC-KB-JP Scheduling Reports</t>
    <phoneticPr fontId="5"/>
  </si>
  <si>
    <t>ED2309-TO_KB-Support-KCS RFC-KB-JP Viewing DataFlow Details</t>
    <phoneticPr fontId="5"/>
  </si>
  <si>
    <t xml:space="preserve">	ED2309-TO_KB-Zendesk FY23-Q3 08-JA_Update_Batch-8</t>
    <phoneticPr fontId="5"/>
  </si>
  <si>
    <t>Zendesk-Q2-05 New B-10</t>
    <phoneticPr fontId="5"/>
  </si>
  <si>
    <t xml:space="preserve"> Batch-2</t>
    <phoneticPr fontId="5"/>
  </si>
  <si>
    <t>Localization requests</t>
    <phoneticPr fontId="5"/>
  </si>
  <si>
    <t xml:space="preserve"> Batch-1</t>
    <phoneticPr fontId="5"/>
  </si>
  <si>
    <t>Properties for Pie-Type Charts</t>
  </si>
  <si>
    <t>e-Stat Third Party Connector</t>
  </si>
  <si>
    <t xml:space="preserve"> New</t>
  </si>
  <si>
    <t>Google Analytics 4 connector (Beta)</t>
    <phoneticPr fontId="5"/>
  </si>
  <si>
    <t>Custom Charts</t>
  </si>
  <si>
    <t>Zendesk FY23-Q3 08-Update B-8</t>
    <phoneticPr fontId="5"/>
  </si>
  <si>
    <t xml:space="preserve"> SFDC Update Batch1</t>
    <phoneticPr fontId="5"/>
  </si>
  <si>
    <t xml:space="preserve"> SFDC Update Batch2</t>
  </si>
  <si>
    <t>Campaigns App</t>
    <phoneticPr fontId="5"/>
  </si>
  <si>
    <t>Flex Map</t>
  </si>
  <si>
    <t xml:space="preserve">January </t>
    <phoneticPr fontId="5"/>
  </si>
  <si>
    <t>January Connector</t>
    <phoneticPr fontId="5"/>
  </si>
  <si>
    <t>Sansan Third Party Connector</t>
    <phoneticPr fontId="5"/>
  </si>
  <si>
    <t>Goals</t>
    <phoneticPr fontId="5"/>
  </si>
  <si>
    <t>Spotify Third Party Connector</t>
    <phoneticPr fontId="5"/>
  </si>
  <si>
    <t>Support FY24 Q1 02</t>
    <phoneticPr fontId="5"/>
  </si>
  <si>
    <t>KB Localization project</t>
    <phoneticPr fontId="5"/>
  </si>
  <si>
    <t>JIRA-Backlog Third Party Connector</t>
    <phoneticPr fontId="5"/>
  </si>
  <si>
    <t>Support FY24 Q1 02</t>
  </si>
  <si>
    <t xml:space="preserve"> Batch-3</t>
  </si>
  <si>
    <t>KB Localization project</t>
  </si>
  <si>
    <t>Docebo Course translation 202303</t>
    <phoneticPr fontId="5"/>
  </si>
  <si>
    <t xml:space="preserve"> Batch-4</t>
    <phoneticPr fontId="5"/>
  </si>
  <si>
    <t xml:space="preserve"> Batch-5</t>
  </si>
  <si>
    <t>Support FY24 Q1 03</t>
    <phoneticPr fontId="5"/>
  </si>
  <si>
    <t>Support FY24 Q1 03 Workbench 5.2 Overview</t>
    <phoneticPr fontId="5"/>
  </si>
  <si>
    <t>Support FY24 Q1 03 Workbench 5.1 FAQs</t>
    <phoneticPr fontId="5"/>
  </si>
  <si>
    <t xml:space="preserve"> Batch-6</t>
    <phoneticPr fontId="5"/>
  </si>
  <si>
    <t xml:space="preserve"> Batch-7</t>
  </si>
  <si>
    <t>Release Notes Staging</t>
    <phoneticPr fontId="5"/>
  </si>
  <si>
    <t>October 2022 Release Notes</t>
    <phoneticPr fontId="5"/>
  </si>
  <si>
    <t>Available Bar Charts</t>
  </si>
  <si>
    <t>Table Chart</t>
  </si>
  <si>
    <t>Setting the Minimum or Maximum Value for Your Chart</t>
  </si>
  <si>
    <t>Dashboard Optimization Best Practices</t>
  </si>
  <si>
    <t>Using the Domo PowerPoint Plugin</t>
  </si>
  <si>
    <t>Bar Chart</t>
    <phoneticPr fontId="5"/>
  </si>
  <si>
    <t>March 2023 Release Update-Coursebuilder</t>
    <phoneticPr fontId="5"/>
  </si>
  <si>
    <t>March 2023 Release related Apps</t>
    <phoneticPr fontId="5"/>
  </si>
  <si>
    <t>Visualization Card - Update</t>
    <phoneticPr fontId="5"/>
  </si>
  <si>
    <t>Editing the Name or Description of a Visualization Card</t>
    <phoneticPr fontId="5"/>
  </si>
  <si>
    <t>ED2308-ZDK FY23-Q3 08_B-11</t>
    <phoneticPr fontId="5"/>
  </si>
  <si>
    <t>Table Chart</t>
    <phoneticPr fontId="5"/>
  </si>
  <si>
    <t>Properties for Gauges</t>
    <phoneticPr fontId="5"/>
  </si>
  <si>
    <t>Format Fix</t>
    <phoneticPr fontId="5"/>
  </si>
  <si>
    <t xml:space="preserve"> SFDC Update 2</t>
    <phoneticPr fontId="5"/>
  </si>
  <si>
    <t>Domo Add-ins for Microsoft 365</t>
    <phoneticPr fontId="5"/>
  </si>
  <si>
    <t>Signing into Domo</t>
  </si>
  <si>
    <t>User Information</t>
    <phoneticPr fontId="5"/>
  </si>
  <si>
    <t>2023 March Release related</t>
    <phoneticPr fontId="5"/>
  </si>
  <si>
    <t xml:space="preserve"> Batch-2</t>
  </si>
  <si>
    <t xml:space="preserve"> Batch-4</t>
  </si>
  <si>
    <t>Cloud Amplifier Overview</t>
  </si>
  <si>
    <t>ED2309-TO_KB-Zendesk FY23-Q3 09-JA_Update_Batch-2</t>
  </si>
  <si>
    <t>Card Building FAQs</t>
  </si>
  <si>
    <t>Amazon S3 Connector</t>
    <phoneticPr fontId="5"/>
  </si>
  <si>
    <t>Update to the latest version</t>
    <phoneticPr fontId="5"/>
  </si>
  <si>
    <t>Not migrated properly</t>
    <phoneticPr fontId="5"/>
  </si>
  <si>
    <t>Alert Center Layout</t>
  </si>
  <si>
    <t>Upgrading Workbench 5.2</t>
  </si>
  <si>
    <t>Troubleshooting for Custom Apps</t>
  </si>
  <si>
    <t>Domo Bricks</t>
  </si>
  <si>
    <t>Submitting Domo Product Feedback</t>
  </si>
  <si>
    <t>Inline Editing</t>
    <phoneticPr fontId="5"/>
  </si>
  <si>
    <t>FY24-05 Requests</t>
    <phoneticPr fontId="5"/>
  </si>
  <si>
    <t>Tableau Connector</t>
  </si>
  <si>
    <t xml:space="preserve"> Batch-5</t>
    <phoneticPr fontId="5"/>
  </si>
  <si>
    <t xml:space="preserve"> Bugfix-2</t>
    <phoneticPr fontId="5"/>
  </si>
  <si>
    <t>Publishing DataSet Views</t>
    <phoneticPr fontId="5"/>
  </si>
  <si>
    <t>Republishing and Fix</t>
    <phoneticPr fontId="5"/>
  </si>
  <si>
    <t>FY24-06 Requests</t>
    <phoneticPr fontId="5"/>
  </si>
  <si>
    <t>FY24-06</t>
    <phoneticPr fontId="5"/>
  </si>
  <si>
    <t>SFDC</t>
    <phoneticPr fontId="5"/>
  </si>
  <si>
    <t>Card And Dashboard Management</t>
  </si>
  <si>
    <t>Draft Japan University Bootcamp.pptx</t>
  </si>
  <si>
    <t xml:space="preserve"> Batch-1-Update</t>
    <phoneticPr fontId="5"/>
  </si>
  <si>
    <t>BI+Comparison+Brief_+Domo+vs+Tableau.PDF</t>
    <phoneticPr fontId="5"/>
  </si>
  <si>
    <t>Nested Bar Chart</t>
  </si>
  <si>
    <t>Box</t>
    <phoneticPr fontId="5"/>
  </si>
  <si>
    <t>AWS</t>
    <phoneticPr fontId="5"/>
  </si>
  <si>
    <t>Azure</t>
    <phoneticPr fontId="5"/>
  </si>
  <si>
    <t>Connectors</t>
    <phoneticPr fontId="5"/>
  </si>
  <si>
    <t>How to Drive Impact and Change with Data</t>
    <phoneticPr fontId="5"/>
  </si>
  <si>
    <t>Changes in Account Configuration Requirements for Connectors</t>
    <phoneticPr fontId="5"/>
  </si>
  <si>
    <t>Update and Switch Card Assets</t>
  </si>
  <si>
    <t>No-XTM</t>
  </si>
  <si>
    <t>FY24-07 Requests</t>
    <phoneticPr fontId="5"/>
  </si>
  <si>
    <t>Jupyter</t>
  </si>
  <si>
    <t>Urgent requests</t>
    <phoneticPr fontId="5"/>
  </si>
  <si>
    <t>KB-Request</t>
  </si>
  <si>
    <t>RMS Third Party Connector</t>
  </si>
  <si>
    <t xml:space="preserve"> Batch-6</t>
  </si>
  <si>
    <t xml:space="preserve"> Batch-8</t>
  </si>
  <si>
    <t xml:space="preserve"> Batch-9</t>
  </si>
  <si>
    <t>Asset Library</t>
  </si>
  <si>
    <t>Set Your Time Zone and Regional Formatting</t>
  </si>
  <si>
    <t>TikTok Third Party Connector</t>
    <phoneticPr fontId="5"/>
  </si>
  <si>
    <t>July 2023 Release Notes</t>
  </si>
  <si>
    <t>FY24-07 Connectors</t>
    <phoneticPr fontId="5"/>
  </si>
  <si>
    <t>TikTok Third Party Connector-2</t>
    <phoneticPr fontId="5"/>
  </si>
  <si>
    <t>July 2023 release updates</t>
    <phoneticPr fontId="5"/>
  </si>
  <si>
    <t>July 2023 release related</t>
    <phoneticPr fontId="5"/>
  </si>
  <si>
    <t>July 2023</t>
    <phoneticPr fontId="5"/>
  </si>
  <si>
    <t>Receiving and Viewing Notifications</t>
  </si>
  <si>
    <t>Configuring Notification and Alert Settings</t>
  </si>
  <si>
    <t xml:space="preserve">August </t>
    <phoneticPr fontId="5"/>
  </si>
  <si>
    <t>Release Updates</t>
    <phoneticPr fontId="5"/>
  </si>
  <si>
    <t>Change User Information</t>
  </si>
  <si>
    <t xml:space="preserve"> Batch-7</t>
    <phoneticPr fontId="5"/>
  </si>
  <si>
    <t xml:space="preserve"> New Batch-1</t>
    <phoneticPr fontId="5"/>
  </si>
  <si>
    <t xml:space="preserve"> New Batch-2</t>
  </si>
  <si>
    <t xml:space="preserve"> New Batch-3</t>
  </si>
  <si>
    <t>Youtube</t>
    <phoneticPr fontId="5"/>
  </si>
  <si>
    <t>Document</t>
    <phoneticPr fontId="5"/>
  </si>
  <si>
    <t>Domo.AI field enablement assets</t>
    <phoneticPr fontId="5"/>
  </si>
  <si>
    <t>Modern BI Platform RFP Template</t>
  </si>
  <si>
    <t>Requested by Taeko Withrow. Canceled.</t>
    <phoneticPr fontId="5"/>
  </si>
  <si>
    <t xml:space="preserve"> MT</t>
    <phoneticPr fontId="5"/>
  </si>
  <si>
    <t>domo-ai-overview-captions.vtt</t>
    <phoneticPr fontId="5"/>
  </si>
  <si>
    <t>What Are Consumption Credits and How Do They Work</t>
    <phoneticPr fontId="5"/>
  </si>
  <si>
    <t>Troubleshooting Domo</t>
  </si>
  <si>
    <t>Support urgent request</t>
    <phoneticPr fontId="5"/>
  </si>
  <si>
    <t>September</t>
    <phoneticPr fontId="5"/>
  </si>
  <si>
    <t>September request</t>
    <phoneticPr fontId="5"/>
  </si>
  <si>
    <t>Whitelisting IP Addresses in Domo</t>
  </si>
  <si>
    <t>Projecting the Last Value in Your Chart</t>
    <phoneticPr fontId="5"/>
  </si>
  <si>
    <t>Creating and Managing User Groups</t>
    <phoneticPr fontId="5"/>
  </si>
  <si>
    <t>Requested by Hiro</t>
    <phoneticPr fontId="5"/>
  </si>
  <si>
    <t>Vertica Connector</t>
    <phoneticPr fontId="5"/>
  </si>
  <si>
    <t>Instructor Led Courses Related articles</t>
    <phoneticPr fontId="5"/>
  </si>
  <si>
    <t>DomoStats Connector</t>
  </si>
  <si>
    <t>October 2023 Release Notes</t>
    <phoneticPr fontId="5"/>
  </si>
  <si>
    <t>October 2023 Release Related</t>
    <phoneticPr fontId="5"/>
  </si>
  <si>
    <t>AI Workflow Demo.srt</t>
  </si>
  <si>
    <t>October 2023 Release Updates - Japan</t>
    <phoneticPr fontId="5"/>
  </si>
  <si>
    <t>October request</t>
    <phoneticPr fontId="5"/>
  </si>
  <si>
    <t xml:space="preserve"> Batch-１</t>
    <phoneticPr fontId="5"/>
  </si>
  <si>
    <t>Free Domo | Overview</t>
    <phoneticPr fontId="5"/>
  </si>
  <si>
    <t>Daren Video for Shimadzu in Kyoto</t>
    <phoneticPr fontId="5"/>
  </si>
  <si>
    <t>SO</t>
  </si>
  <si>
    <t>Document</t>
  </si>
  <si>
    <t>Service order</t>
    <phoneticPr fontId="5"/>
  </si>
  <si>
    <t xml:space="preserve"> Batch-２</t>
    <phoneticPr fontId="5"/>
  </si>
  <si>
    <t>What Are Consumption Credits and How Do They Work?</t>
    <phoneticPr fontId="5"/>
  </si>
  <si>
    <t>November Urgent</t>
    <phoneticPr fontId="5"/>
  </si>
  <si>
    <t>November</t>
    <phoneticPr fontId="5"/>
  </si>
  <si>
    <t>Using the Domo PowerPoint Plugin</t>
    <phoneticPr fontId="5"/>
  </si>
  <si>
    <t>Editing a Magic ETL DataFlow</t>
  </si>
  <si>
    <t>Link issues</t>
    <phoneticPr fontId="5"/>
  </si>
  <si>
    <t>Instructor Led Courses</t>
    <phoneticPr fontId="5"/>
  </si>
  <si>
    <t>Instructor-Led Courses in Japan</t>
  </si>
  <si>
    <t>Packed Bubble</t>
  </si>
  <si>
    <t>DataFlow</t>
  </si>
  <si>
    <t>SmartDB Third Party Connector</t>
    <phoneticPr fontId="5"/>
  </si>
  <si>
    <t xml:space="preserve"> Update 2</t>
    <phoneticPr fontId="5"/>
  </si>
  <si>
    <t>Xero Connector</t>
    <phoneticPr fontId="5"/>
  </si>
  <si>
    <t xml:space="preserve">Amazon </t>
    <phoneticPr fontId="5"/>
  </si>
  <si>
    <t>Amazon Connector</t>
    <phoneticPr fontId="5"/>
  </si>
  <si>
    <t>Changing the Date Format in Your Chart</t>
    <phoneticPr fontId="5"/>
  </si>
  <si>
    <t>December</t>
    <phoneticPr fontId="5"/>
  </si>
  <si>
    <t>Docebo Course</t>
    <phoneticPr fontId="5"/>
  </si>
  <si>
    <t>Microsoft Dynamics CRM REST Connector</t>
    <phoneticPr fontId="5"/>
  </si>
  <si>
    <t>Radial Gauge</t>
  </si>
  <si>
    <t>Power to your people The new data experience</t>
    <phoneticPr fontId="5"/>
  </si>
  <si>
    <t>Scorm files for selflearning courses</t>
    <phoneticPr fontId="5"/>
  </si>
  <si>
    <t>Consumption and Domo Free</t>
  </si>
  <si>
    <t>Sharepoint Online Writeback Connector</t>
  </si>
  <si>
    <t>January</t>
    <phoneticPr fontId="5"/>
  </si>
  <si>
    <t>Old Magic ETL Tiles</t>
    <phoneticPr fontId="5"/>
  </si>
  <si>
    <t>Magic ETL Tiles</t>
    <phoneticPr fontId="5"/>
  </si>
  <si>
    <t>January 2024 Release Notes - Japanese</t>
    <phoneticPr fontId="5"/>
  </si>
  <si>
    <t>Domo AI</t>
  </si>
  <si>
    <t>Domo Privacy Notice</t>
    <phoneticPr fontId="5"/>
  </si>
  <si>
    <t>February</t>
    <phoneticPr fontId="5"/>
  </si>
  <si>
    <t>Jan 24 - Japan Localization</t>
  </si>
  <si>
    <t>Consumption Credits</t>
  </si>
  <si>
    <t xml:space="preserve"> Batch-3</t>
    <phoneticPr fontId="5"/>
  </si>
  <si>
    <t>Fonts in Domo App</t>
  </si>
  <si>
    <t>March</t>
    <phoneticPr fontId="5"/>
  </si>
  <si>
    <t>Code Engine</t>
  </si>
  <si>
    <t>Release Notes March 2024 - JP</t>
    <phoneticPr fontId="5"/>
  </si>
  <si>
    <t>Domo.AI</t>
    <phoneticPr fontId="5"/>
  </si>
  <si>
    <t>April</t>
    <phoneticPr fontId="5"/>
  </si>
  <si>
    <t>Bugfix</t>
    <phoneticPr fontId="5"/>
  </si>
  <si>
    <t>Linkedin</t>
    <phoneticPr fontId="5"/>
  </si>
  <si>
    <t>Current Release Notes</t>
    <phoneticPr fontId="5"/>
  </si>
  <si>
    <t>May</t>
    <phoneticPr fontId="5"/>
  </si>
  <si>
    <t>Beast Mode Functions Reference Guide</t>
  </si>
  <si>
    <t>Available Filter Charts</t>
  </si>
  <si>
    <t>Forms</t>
  </si>
  <si>
    <t>Cloud Amplifier</t>
    <phoneticPr fontId="5"/>
  </si>
  <si>
    <t>Requested by Juliana</t>
    <phoneticPr fontId="5"/>
  </si>
  <si>
    <t>May urgent</t>
    <phoneticPr fontId="5"/>
  </si>
  <si>
    <t>Supported Functions in Magic ETL Reference Guide</t>
  </si>
  <si>
    <t>Export Visualization Cards</t>
    <phoneticPr fontId="5"/>
  </si>
  <si>
    <t>Magic ETL on Snowflake (Beta)</t>
    <phoneticPr fontId="5"/>
  </si>
  <si>
    <t>Session</t>
    <phoneticPr fontId="5"/>
  </si>
  <si>
    <t>Snowflake and Cloud Amplifier</t>
    <phoneticPr fontId="5"/>
  </si>
  <si>
    <t>Supported Functions in Magic ETL Reference Guide</t>
    <phoneticPr fontId="5"/>
  </si>
  <si>
    <t>Samurai Data Integration Suite LP localization</t>
    <phoneticPr fontId="5"/>
  </si>
  <si>
    <t>Nucleus_2024 BI Analytics Value Matrix</t>
    <phoneticPr fontId="5"/>
  </si>
  <si>
    <t>March 2024 Release Update descriptions in Docebo</t>
    <phoneticPr fontId="5"/>
  </si>
  <si>
    <t>Snowflake and Cloud Amplifier</t>
  </si>
  <si>
    <t>List on the Appstore</t>
    <phoneticPr fontId="5"/>
  </si>
  <si>
    <t>June</t>
    <phoneticPr fontId="5"/>
  </si>
  <si>
    <t>July</t>
  </si>
  <si>
    <t>Google Sheets Service Connector</t>
    <phoneticPr fontId="5"/>
  </si>
  <si>
    <t>Routing, Creation, and Mapping</t>
    <phoneticPr fontId="5"/>
  </si>
  <si>
    <t>Range Selector Card for Asana testing</t>
    <phoneticPr fontId="5"/>
  </si>
  <si>
    <t>Date Selector Card</t>
  </si>
  <si>
    <t>Share a DataSet</t>
    <phoneticPr fontId="5"/>
  </si>
  <si>
    <t>Magic ETL on Snowflake</t>
  </si>
  <si>
    <t>Analyzer and DataSet Views Integration</t>
    <phoneticPr fontId="5"/>
  </si>
  <si>
    <t>Release related</t>
    <phoneticPr fontId="5"/>
  </si>
  <si>
    <t>Export Visualization Cards</t>
  </si>
  <si>
    <t>On-Demand App Studio Training</t>
  </si>
  <si>
    <t>KB-US</t>
  </si>
  <si>
    <t>Magic ETL Tiles Filter</t>
    <phoneticPr fontId="5"/>
  </si>
  <si>
    <t>Why Domo_Whitepaper_Aug 2024</t>
    <phoneticPr fontId="5"/>
  </si>
  <si>
    <t>File Upload Legacy Connector</t>
  </si>
  <si>
    <t>File Upload Connector</t>
    <phoneticPr fontId="5"/>
  </si>
  <si>
    <t>KB-asana</t>
  </si>
  <si>
    <t xml:space="preserve">Augsut-1 </t>
    <phoneticPr fontId="5"/>
  </si>
  <si>
    <t>Magic ETL Tiles: Filter</t>
  </si>
  <si>
    <t>Properties Available for Most Charts</t>
  </si>
  <si>
    <t>Microsoft OneDrive for Business Connector</t>
    <phoneticPr fontId="5"/>
  </si>
  <si>
    <t>Microsoft Connectors</t>
    <phoneticPr fontId="5"/>
  </si>
  <si>
    <t>Support-July</t>
    <phoneticPr fontId="5"/>
  </si>
  <si>
    <t>August - Connector</t>
    <phoneticPr fontId="5"/>
  </si>
  <si>
    <t>04</t>
    <phoneticPr fontId="5"/>
  </si>
  <si>
    <t>Link update</t>
    <phoneticPr fontId="5"/>
  </si>
  <si>
    <t>App Studio  Overview</t>
    <phoneticPr fontId="5"/>
  </si>
  <si>
    <t>05</t>
  </si>
  <si>
    <t>Magic ETL Tiles DataSets</t>
    <phoneticPr fontId="5"/>
  </si>
  <si>
    <t>Publishing DataSet Views</t>
  </si>
  <si>
    <t>12</t>
    <phoneticPr fontId="5"/>
  </si>
  <si>
    <t>CS SOW</t>
    <phoneticPr fontId="5"/>
  </si>
  <si>
    <t>KB-JIRA</t>
  </si>
  <si>
    <t>freee Enterprise Connector</t>
    <phoneticPr fontId="5"/>
  </si>
  <si>
    <t>17</t>
    <phoneticPr fontId="5"/>
  </si>
  <si>
    <t>18</t>
    <phoneticPr fontId="5"/>
  </si>
  <si>
    <t>Education Statistics Connector</t>
  </si>
  <si>
    <t>Build Domo Apps with the Pro-code Editor</t>
  </si>
  <si>
    <t>Domo CLI (Command Line Interface) Tool</t>
    <phoneticPr fontId="5"/>
  </si>
  <si>
    <t>Adobe Analytics 1.4 OAuth Connector</t>
  </si>
  <si>
    <t>Change the Owner of a DataSet</t>
    <phoneticPr fontId="5"/>
  </si>
  <si>
    <t>Publish Content to a Subscriber Instance</t>
  </si>
  <si>
    <t>19</t>
    <phoneticPr fontId="5"/>
  </si>
  <si>
    <t>Release related</t>
  </si>
  <si>
    <t>US requests</t>
    <phoneticPr fontId="5"/>
  </si>
  <si>
    <t>26</t>
    <phoneticPr fontId="5"/>
  </si>
  <si>
    <t>Getting started with workflows training V2</t>
    <phoneticPr fontId="5"/>
  </si>
  <si>
    <t>Getting started with workflows training V2 - Description</t>
    <phoneticPr fontId="5"/>
  </si>
  <si>
    <t>2</t>
    <phoneticPr fontId="5"/>
  </si>
  <si>
    <t>02</t>
    <phoneticPr fontId="5"/>
  </si>
  <si>
    <t>Embed Content Outside of Domo</t>
  </si>
  <si>
    <t>Scheduled Reports | Overview</t>
    <phoneticPr fontId="5"/>
  </si>
  <si>
    <t>Magic ETL on BigQuery</t>
    <phoneticPr fontId="5"/>
  </si>
  <si>
    <t>Domo Sandbox</t>
  </si>
  <si>
    <t>Jupyter Workspaces User Guide</t>
    <phoneticPr fontId="5"/>
  </si>
  <si>
    <t>03</t>
  </si>
  <si>
    <t>Magic ETL on Databricks (Beta)</t>
  </si>
  <si>
    <t>2024 Release Update</t>
    <phoneticPr fontId="5"/>
  </si>
  <si>
    <t>SCIM (System for Cross-domain Identity Management) in Domo</t>
  </si>
  <si>
    <t>Custom Date &amp; Timestamp Formatting in Analyzer</t>
  </si>
  <si>
    <t>October</t>
    <phoneticPr fontId="5"/>
  </si>
  <si>
    <t>08</t>
    <phoneticPr fontId="5"/>
  </si>
  <si>
    <t>App-2024 Release Update</t>
    <phoneticPr fontId="5"/>
  </si>
  <si>
    <t>10</t>
    <phoneticPr fontId="5"/>
  </si>
  <si>
    <t>Launch Workbench Enterprise Jobs with Third-Party Tools Using JWT</t>
    <phoneticPr fontId="5"/>
  </si>
  <si>
    <t>15</t>
    <phoneticPr fontId="5"/>
  </si>
  <si>
    <t>October Release Notes - JP</t>
  </si>
  <si>
    <t>22</t>
    <phoneticPr fontId="5"/>
  </si>
  <si>
    <t>Cloud Amplifier</t>
  </si>
  <si>
    <t>23</t>
    <phoneticPr fontId="5"/>
  </si>
  <si>
    <t>Google Sheets Connector</t>
    <phoneticPr fontId="5"/>
  </si>
  <si>
    <t>Train and Deploy Models with AutoML (Automated Machine Learning)</t>
  </si>
  <si>
    <t>AI Readiness</t>
  </si>
  <si>
    <t>Submit a Support Ticket</t>
  </si>
  <si>
    <t>24</t>
    <phoneticPr fontId="5"/>
  </si>
  <si>
    <t>App Studio Overview</t>
    <phoneticPr fontId="5"/>
  </si>
  <si>
    <t>25</t>
  </si>
  <si>
    <t>Microsoft SharePoint connector</t>
    <phoneticPr fontId="5"/>
  </si>
  <si>
    <t>06</t>
    <phoneticPr fontId="5"/>
  </si>
  <si>
    <t>13</t>
    <phoneticPr fontId="5"/>
  </si>
  <si>
    <t>Getting started with workflows training V2-Closing Logo</t>
    <phoneticPr fontId="5"/>
  </si>
  <si>
    <t>Enable SSO with Salesforcecom</t>
    <phoneticPr fontId="5"/>
  </si>
  <si>
    <t>Customize Domo Mobile App</t>
    <phoneticPr fontId="5"/>
  </si>
  <si>
    <t>20</t>
    <phoneticPr fontId="5"/>
  </si>
  <si>
    <t>Recurly Connector</t>
  </si>
  <si>
    <t>21</t>
  </si>
  <si>
    <t>Forecasting Universal Model</t>
  </si>
  <si>
    <t>App</t>
    <phoneticPr fontId="5"/>
  </si>
  <si>
    <t>29</t>
    <phoneticPr fontId="5"/>
  </si>
  <si>
    <t>03</t>
    <phoneticPr fontId="5"/>
  </si>
  <si>
    <t>November 24</t>
    <phoneticPr fontId="5"/>
  </si>
  <si>
    <t>Course Description</t>
    <phoneticPr fontId="5"/>
  </si>
  <si>
    <t>11</t>
    <phoneticPr fontId="5"/>
  </si>
  <si>
    <t>21</t>
    <phoneticPr fontId="5"/>
  </si>
  <si>
    <t>Kintone</t>
    <phoneticPr fontId="5"/>
  </si>
  <si>
    <t>23</t>
  </si>
  <si>
    <t>Scheduled Reports Overview</t>
    <phoneticPr fontId="5"/>
  </si>
  <si>
    <t>Migrate from Federated to Cloud Amplifier</t>
  </si>
  <si>
    <t>28</t>
    <phoneticPr fontId="5"/>
  </si>
  <si>
    <t>Microsoft Azure Storage Data Lake Gen2 Connector</t>
    <phoneticPr fontId="5"/>
  </si>
  <si>
    <t xml:space="preserve"> Batch-9</t>
    <phoneticPr fontId="5"/>
  </si>
  <si>
    <t xml:space="preserve"> Batch-10</t>
    <phoneticPr fontId="5"/>
  </si>
  <si>
    <t>29</t>
  </si>
  <si>
    <t>Kintone OAuth Connector</t>
    <phoneticPr fontId="5"/>
  </si>
  <si>
    <t>Oracle Cloud and Cloud Amplifier</t>
    <phoneticPr fontId="5"/>
  </si>
  <si>
    <t>Cloud Amplifier Overview</t>
    <phoneticPr fontId="5"/>
  </si>
  <si>
    <t>Use Non-aggregated Columns in Aggregated Beast Modes</t>
    <phoneticPr fontId="5"/>
  </si>
  <si>
    <t>Magic ETL Tiles: Data Science</t>
  </si>
  <si>
    <t>30</t>
    <phoneticPr fontId="5"/>
  </si>
  <si>
    <t>Table Charts</t>
  </si>
  <si>
    <t>2024 Release 6 November</t>
    <phoneticPr fontId="5"/>
  </si>
  <si>
    <t>Sandbox</t>
    <phoneticPr fontId="5"/>
  </si>
  <si>
    <t>Microsoft Azure Data Lake Store Connector - Deprecated</t>
    <phoneticPr fontId="5"/>
  </si>
  <si>
    <t>January 2025 Release Update</t>
    <phoneticPr fontId="5"/>
  </si>
  <si>
    <t>KB-Release</t>
  </si>
  <si>
    <t>Amazon Athena and Cloud Amplifier (Beta)</t>
  </si>
  <si>
    <t xml:space="preserve">	- Cloud Amplifier Overview -</t>
    <phoneticPr fontId="5"/>
  </si>
  <si>
    <t>Publish Content to an Organization</t>
    <phoneticPr fontId="5"/>
  </si>
  <si>
    <t>27</t>
    <phoneticPr fontId="5"/>
  </si>
  <si>
    <t>February articles</t>
    <phoneticPr fontId="5"/>
  </si>
  <si>
    <t>- Cloud Amplifier Overview -</t>
  </si>
  <si>
    <t>March articles</t>
    <phoneticPr fontId="5"/>
  </si>
  <si>
    <t xml:space="preserve">Jupyter Notebook Executions via Workflows </t>
    <phoneticPr fontId="5"/>
  </si>
  <si>
    <t>06</t>
  </si>
  <si>
    <t>Group Ownership of Accounts (Beta)</t>
  </si>
  <si>
    <t>System Roles Reference</t>
    <phoneticPr fontId="5"/>
  </si>
  <si>
    <t>Inline Editing | User Guide</t>
    <phoneticPr fontId="5"/>
  </si>
  <si>
    <t>Microsoft SharePoint Online REST Connector</t>
  </si>
  <si>
    <t xml:space="preserve"> March 2025 release</t>
    <phoneticPr fontId="5"/>
  </si>
  <si>
    <t xml:space="preserve"> Update Batch-2</t>
  </si>
  <si>
    <t xml:space="preserve"> Update Batch-3</t>
  </si>
  <si>
    <t xml:space="preserve"> Update Batch-4</t>
  </si>
  <si>
    <t>25</t>
    <phoneticPr fontId="5"/>
  </si>
  <si>
    <t>March - Republished</t>
    <phoneticPr fontId="5"/>
  </si>
  <si>
    <t>Assigned to</t>
    <phoneticPr fontId="5"/>
  </si>
  <si>
    <t>Type</t>
    <phoneticPr fontId="5"/>
  </si>
  <si>
    <t>FY_Q</t>
    <phoneticPr fontId="5"/>
  </si>
  <si>
    <t>Priority</t>
    <phoneticPr fontId="5"/>
  </si>
  <si>
    <t>XTM Project name</t>
    <phoneticPr fontId="5"/>
  </si>
  <si>
    <t>Art. #</t>
    <phoneticPr fontId="5"/>
  </si>
  <si>
    <t>Source file</t>
    <phoneticPr fontId="5"/>
  </si>
  <si>
    <t>Update</t>
  </si>
  <si>
    <t>Current Status</t>
    <phoneticPr fontId="5"/>
  </si>
  <si>
    <t>Final Status</t>
    <phoneticPr fontId="5"/>
  </si>
  <si>
    <t>Notes</t>
    <phoneticPr fontId="5"/>
  </si>
  <si>
    <t>Old/New Project Name/Comments</t>
    <phoneticPr fontId="5"/>
  </si>
  <si>
    <t>Toin</t>
    <phoneticPr fontId="5"/>
  </si>
  <si>
    <t>FY23Q1-03</t>
  </si>
  <si>
    <t>ED2303_KB-FY23-Q1 Article localization request_batch-1</t>
    <phoneticPr fontId="10"/>
  </si>
  <si>
    <t>ED2303_KB-FY23-Q1_Zendesk-1-JA_TO</t>
  </si>
  <si>
    <t>criteo marketing connector</t>
  </si>
  <si>
    <t>Closed</t>
  </si>
  <si>
    <t>dhl writeback connector</t>
  </si>
  <si>
    <t>ginzametrics connector</t>
  </si>
  <si>
    <t>limble cmms connector</t>
  </si>
  <si>
    <t>livechat v3 connector</t>
  </si>
  <si>
    <t>marketo writeback connector</t>
  </si>
  <si>
    <t>officespace connector</t>
  </si>
  <si>
    <t>onbrand360 connector</t>
  </si>
  <si>
    <t>trustyou connector</t>
  </si>
  <si>
    <t>vertica partition connector</t>
  </si>
  <si>
    <t>woocommerce connector</t>
  </si>
  <si>
    <t>workfront writeback connector</t>
  </si>
  <si>
    <t>xero connector update</t>
  </si>
  <si>
    <t>ED2303_KB-FY23-Q1_Zendesk-2-JA_TO</t>
  </si>
  <si>
    <t>adding a bot to buzz</t>
  </si>
  <si>
    <t>ceo view</t>
  </si>
  <si>
    <t>downloading and running the buzz desktop version</t>
  </si>
  <si>
    <t>facilities management</t>
  </si>
  <si>
    <t>seeing online users in domo</t>
  </si>
  <si>
    <t>unfollowing a buzz conversation</t>
  </si>
  <si>
    <t>ED2303_KB-March request-JA_TO</t>
  </si>
  <si>
    <t>ED2303_KB-Whitelisting IP Addresses for Connectors &amp; Federated Adapters-JA_TO</t>
  </si>
  <si>
    <t>whitelisting ip addresses for connectors  federated adapters</t>
  </si>
  <si>
    <t>ED2304_KB-March request-JA_TO</t>
  </si>
  <si>
    <t>ED2303_KB-Using the Federated Data Solution-JA_TO</t>
  </si>
  <si>
    <t>using the federated data solution</t>
  </si>
  <si>
    <t>ED2305_KB-March request-JA_TO</t>
  </si>
  <si>
    <t>ED2303_KB-KCS_RFC-KB-JP_Google Ad Manager Connector-JA_TO</t>
  </si>
  <si>
    <t>google ad manager connector</t>
  </si>
  <si>
    <t>ED2306_KB-March request-JA_TO</t>
  </si>
  <si>
    <t>ED2303_KB-KCS_RFC-KB-JP _Social User FAQs and Video-JA_TO</t>
  </si>
  <si>
    <t>social user faqs and video</t>
  </si>
  <si>
    <t>ED2307_KB-March request-JA_TO</t>
  </si>
  <si>
    <t>ED2303_KB-Ads connectors-JA_TO_Batch-1</t>
  </si>
  <si>
    <t>apple search ads connector</t>
  </si>
  <si>
    <t>apple search ads oauth connector</t>
  </si>
  <si>
    <t>bing ads analytics app</t>
  </si>
  <si>
    <t>bing ads connector</t>
  </si>
  <si>
    <t>datafunnels google spreadsheet datafunnels</t>
  </si>
  <si>
    <t>datafunnels spreadsheet datafunnels</t>
  </si>
  <si>
    <t>ED2308_KB-March request-JA_TO</t>
  </si>
  <si>
    <t>ED2303_KB-Ads connectors-JA_TO_Batch-2</t>
  </si>
  <si>
    <t>deleting specific uploads of datasets</t>
  </si>
  <si>
    <t>facebook ads advanced connector</t>
  </si>
  <si>
    <t>facebook ads connector</t>
  </si>
  <si>
    <t>google admin sdk reports connector</t>
  </si>
  <si>
    <t>google admin sdk reports service connector</t>
  </si>
  <si>
    <t>google ads connector deprecation</t>
  </si>
  <si>
    <t>google ads connector for manager account</t>
  </si>
  <si>
    <t>google ads connector</t>
  </si>
  <si>
    <t>google ads via google bigquery connector</t>
  </si>
  <si>
    <t>google ads via google bigquery service connector</t>
  </si>
  <si>
    <t>google adsense connector</t>
  </si>
  <si>
    <t>google adwords keyword performance app</t>
  </si>
  <si>
    <t>ED2309_KB-March request-JA_TO</t>
  </si>
  <si>
    <t>ED2303_KB-Ads connectors-JA_TO_Batch-3</t>
  </si>
  <si>
    <t>incomplete picture of customer relationship leads to bad risk analysis</t>
  </si>
  <si>
    <t>linkedin ads connector</t>
  </si>
  <si>
    <t>majordomo and executive sponsor misalignment leads to escalation</t>
  </si>
  <si>
    <t>managing scope and role assignments leads to success at retailer</t>
  </si>
  <si>
    <t>pinterest ads connector</t>
  </si>
  <si>
    <t>pulling instagram ads data</t>
  </si>
  <si>
    <t>purchasing domo in lieu of hiring fte leads to failure</t>
  </si>
  <si>
    <t>snapchat ads oauth connector</t>
  </si>
  <si>
    <t>tiktok ads connector</t>
  </si>
  <si>
    <t>twitter ads connector</t>
  </si>
  <si>
    <t>twitter ads quickstart app</t>
  </si>
  <si>
    <t>typo leads to massive tax blunder in indiana</t>
  </si>
  <si>
    <t>yahoo japan search ads connector</t>
  </si>
  <si>
    <t>youve got leads connector</t>
  </si>
  <si>
    <t>FY23Q1-04</t>
  </si>
  <si>
    <t>ED2304_KB-April -JA_TO</t>
  </si>
  <si>
    <t>ED2304_KB-KCS-RFC-KB-JP-April-JA_TO_Batch-1</t>
  </si>
  <si>
    <t>sftp writeback connector</t>
  </si>
  <si>
    <t>workbench 5.1 security options</t>
  </si>
  <si>
    <t>New?</t>
    <phoneticPr fontId="5"/>
  </si>
  <si>
    <t>ED2304_KB-New Articles - April-JA_TO</t>
  </si>
  <si>
    <t>domo centerview administrator guide</t>
  </si>
  <si>
    <t>domo centerview installation guide</t>
  </si>
  <si>
    <t>domo tools 8.0</t>
  </si>
  <si>
    <t>domo tools installation guide</t>
  </si>
  <si>
    <t>interacting with cards and pages</t>
  </si>
  <si>
    <t>legacy domo</t>
  </si>
  <si>
    <t>understanding data</t>
  </si>
  <si>
    <t>user interface for iphone</t>
  </si>
  <si>
    <t>welcome to centerview mobile for ipad</t>
  </si>
  <si>
    <t>welcome to centerview mobile for iphone</t>
  </si>
  <si>
    <t>welcome to domo centerview 5.0</t>
  </si>
  <si>
    <t>workbench 5.1</t>
  </si>
  <si>
    <t>working with datasets in domo</t>
  </si>
  <si>
    <t>ED2304_KB-Updated Articles - April-JA_TO</t>
  </si>
  <si>
    <t>about partition connectors</t>
  </si>
  <si>
    <t>ｙ</t>
    <phoneticPr fontId="5"/>
  </si>
  <si>
    <t>ED2304_KB-Updated Articles - April-JA_TO</t>
    <phoneticPr fontId="5"/>
  </si>
  <si>
    <t>adding a beast mode calculation to your chart</t>
  </si>
  <si>
    <t>adding a dataset using a connector</t>
  </si>
  <si>
    <t>adding a notebook card</t>
  </si>
  <si>
    <t>adding graphics links and images to table cards using beast mode</t>
  </si>
  <si>
    <t>analyzer overview</t>
  </si>
  <si>
    <t>applying dataset columns to your chart</t>
  </si>
  <si>
    <t>available filter charts</t>
  </si>
  <si>
    <t>available gauges</t>
  </si>
  <si>
    <t>cash flow app</t>
  </si>
  <si>
    <t>databricks connector</t>
  </si>
  <si>
    <t>domo for office add-ins beta</t>
  </si>
  <si>
    <t>ｎ</t>
    <phoneticPr fontId="5"/>
  </si>
  <si>
    <t>exporting dashboards to pdf or powerpoint</t>
  </si>
  <si>
    <t>exporting datasets</t>
  </si>
  <si>
    <t>faqs</t>
  </si>
  <si>
    <t>file upload connector</t>
  </si>
  <si>
    <t>form builder</t>
  </si>
  <si>
    <t>form viewer</t>
  </si>
  <si>
    <t>fun sample datasets</t>
  </si>
  <si>
    <t>getting help</t>
  </si>
  <si>
    <t>getting up and running in domo video</t>
  </si>
  <si>
    <t>goal-setting checklist</t>
  </si>
  <si>
    <t>google sheets connector</t>
  </si>
  <si>
    <t>governance toolkit pdp automation</t>
  </si>
  <si>
    <t>group dataset ownership beta</t>
  </si>
  <si>
    <t>grouped and stacked bar with line chart</t>
  </si>
  <si>
    <t>intercom connector</t>
  </si>
  <si>
    <t>magento2 advanced connector</t>
  </si>
  <si>
    <t>Zendesk adminではPublishedのステータスだがKBには見当たらない</t>
    <rPh sb="36" eb="38">
      <t>ミア</t>
    </rPh>
    <phoneticPr fontId="5"/>
  </si>
  <si>
    <t>microsoft sql ssh connector</t>
  </si>
  <si>
    <t>multi-line chart</t>
  </si>
  <si>
    <t>mysql ssh multistatement connector</t>
  </si>
  <si>
    <t>mysql ssh partition connector</t>
  </si>
  <si>
    <t>quickbooks multi account connector</t>
  </si>
  <si>
    <t>rearranging cards on a page</t>
  </si>
  <si>
    <t>sample beast mode calculations miscellaneous transforms</t>
  </si>
  <si>
    <t>sample beast mode calculations period-over-period transforms</t>
  </si>
  <si>
    <t>service desk plus cloud connector</t>
  </si>
  <si>
    <t>slicer checkbox and radio button cards</t>
  </si>
  <si>
    <t>specifying default overview content for users</t>
  </si>
  <si>
    <t>syncing value scales in a dual-scale chart</t>
  </si>
  <si>
    <t>talkdesk connector</t>
  </si>
  <si>
    <t>understanding cards</t>
  </si>
  <si>
    <t>understanding the data table in analyzer</t>
  </si>
  <si>
    <t>ED2304_KB-New Magic ETL-JA_TO_Batch-1</t>
    <phoneticPr fontId="5"/>
  </si>
  <si>
    <t>ED2304_KB-New Magic ETL-JA_TO_Batch-1</t>
  </si>
  <si>
    <t>new magic etl tiles data science</t>
  </si>
  <si>
    <t>new magic etl tiles datasets</t>
  </si>
  <si>
    <t>new magic etl tiles dates and numbers</t>
  </si>
  <si>
    <t>new magic etl tiles filter</t>
  </si>
  <si>
    <t>upgrading to the new magic etl</t>
  </si>
  <si>
    <t>KCS：RFC-KB-JP | Upgrading to the New Magic ETL</t>
    <phoneticPr fontId="5"/>
  </si>
  <si>
    <t>writing formulas in the new magic etl</t>
  </si>
  <si>
    <t>ED2304_KB-New Magic ETL-JA_TO_Batch-2</t>
  </si>
  <si>
    <t>creating a new magic etl dataflow</t>
  </si>
  <si>
    <t>creating a recursivesnapshot dataflow in the new magic etl</t>
  </si>
  <si>
    <t>WWC0、すべてICEのためXTM内でファイルをEnableできず。</t>
    <rPh sb="17" eb="18">
      <t>ナイ</t>
    </rPh>
    <phoneticPr fontId="5"/>
  </si>
  <si>
    <t>how to write a filter formula in the new magic etl</t>
  </si>
  <si>
    <t>new magic etl dataflow auto append processing</t>
  </si>
  <si>
    <t>new magic etl tiles aggregate</t>
  </si>
  <si>
    <t>new magic etl tiles combine data</t>
  </si>
  <si>
    <t>new magic etl tiles pivot</t>
  </si>
  <si>
    <t>new magic etl tiles scripting</t>
  </si>
  <si>
    <t>new magic etl tiles text</t>
  </si>
  <si>
    <t>new magic etl tiles utility</t>
  </si>
  <si>
    <t>supported functions in the new magic etl</t>
  </si>
  <si>
    <t>whats new in the new magic etl</t>
  </si>
  <si>
    <t>ED2304_KB-RFC-KB-JP  Specifying Your Personal Profile Information-JA_TO</t>
  </si>
  <si>
    <t>specifying your personal profile information</t>
  </si>
  <si>
    <t>ED2304_KB-RFC-KB-JP | Adobe Analytics 1.4 OAuth Connector-JA_TO</t>
  </si>
  <si>
    <t>adobe analytics 1.4 oauth connector</t>
  </si>
  <si>
    <t>Alpha</t>
    <phoneticPr fontId="5"/>
  </si>
  <si>
    <t>Edu</t>
    <phoneticPr fontId="5"/>
  </si>
  <si>
    <t>FY23Q1-02</t>
  </si>
  <si>
    <t>ED2302_Learn Domo-Certification Translation request 20220204-JA_AL</t>
  </si>
  <si>
    <t>220202ExamProperty.xlsx.xlsx</t>
  </si>
  <si>
    <t>Data Specialist Knowledge Retest (2h) export 2022-02-03.GIFT.docx</t>
  </si>
  <si>
    <t>Domo Professional Knowledge Test (2h) export 2022-02-04.GIFT.docx</t>
  </si>
  <si>
    <t>JP Data Specialist Knowledge Retest (2h) Feedback 2.docx</t>
  </si>
  <si>
    <t>JP Data Specialist Knowledge Retest (2h) Feedback.docx</t>
  </si>
  <si>
    <t>JP Data Specialist Practical Test (2h) ２.docx</t>
  </si>
  <si>
    <t>JP Data Specialist Practical Test (2h).docx</t>
  </si>
  <si>
    <t>JP Domo Professional Practical Test.docx</t>
  </si>
  <si>
    <t>JP Domo Professional Practical Test (2h).docx</t>
  </si>
  <si>
    <t>JP MajorDomo Knowledge Test(2h)  Feedback.docx</t>
  </si>
  <si>
    <t>JP MajorDomo Practical Test (2h).docx</t>
  </si>
  <si>
    <t>ODBC Connection Walk Thru.docx</t>
  </si>
  <si>
    <t>ED2303_KB-Managing Pages-JA_AL</t>
  </si>
  <si>
    <t>managing pages</t>
  </si>
  <si>
    <t>ED2303_KB-DataSet Views-JA_AL</t>
  </si>
  <si>
    <t>dataset views</t>
  </si>
  <si>
    <t>ED2303_KB-PDP Policy Autocreation-JA_AL</t>
  </si>
  <si>
    <t>pdp policy autocreation</t>
  </si>
  <si>
    <t>ED2303_KB-Creating Domo Stories-JA_AL</t>
  </si>
  <si>
    <t>creating domo stories</t>
  </si>
  <si>
    <t>ED2303_KB-Workbench 5.1-JA_AL</t>
  </si>
  <si>
    <t>backing up workbench 5.1 jobs</t>
  </si>
  <si>
    <t>common workbench 5.1 errors</t>
  </si>
  <si>
    <t>connecting to quickbooks data in workbench 5.1</t>
  </si>
  <si>
    <t>connecting to xml data in workbench 5.1</t>
  </si>
  <si>
    <t>creating a job for uploading data using workbench 5.1</t>
  </si>
  <si>
    <t>creating columns in workbench 5.1 using calculations</t>
  </si>
  <si>
    <t>encrypting decrypting and hashing workbench 5.1 data</t>
  </si>
  <si>
    <t>filtering columns in workbench 5.1</t>
  </si>
  <si>
    <t>group scheduling for workbench 5.1 jobs</t>
  </si>
  <si>
    <t>installing workbench 5.1</t>
  </si>
  <si>
    <t>managing plugins in workbench 5.1</t>
  </si>
  <si>
    <t>replacing a column value in workbench 5.1</t>
  </si>
  <si>
    <t>running workbench 5.1</t>
  </si>
  <si>
    <t>scheduling a job in workbench 5.1</t>
  </si>
  <si>
    <t>setting a custom date format on a column in workbench 5.1</t>
  </si>
  <si>
    <t>setting notifications in workbench 5.1</t>
  </si>
  <si>
    <t>setting up direct upload in workbench 5.1</t>
  </si>
  <si>
    <t>starting stopping and restarting the workbench 5.1 service</t>
  </si>
  <si>
    <t>understanding the workbench 5.1 user interface</t>
  </si>
  <si>
    <t>updating your workbench 5.1</t>
  </si>
  <si>
    <t>using upsert in workbench 5.1</t>
  </si>
  <si>
    <t>workbench 5.1 faqs</t>
  </si>
  <si>
    <t>workbench 5.1 overview</t>
  </si>
  <si>
    <t>workbench 5.1 partition support</t>
  </si>
  <si>
    <t>workbench 5.1 training topics</t>
  </si>
  <si>
    <t>ED2303_KB-FY23-Q1_Zendesk-3-JA_AL</t>
  </si>
  <si>
    <t>generating a list of users</t>
  </si>
  <si>
    <t>instagram business connector</t>
  </si>
  <si>
    <t>instagram business partition connector</t>
  </si>
  <si>
    <t>ED2303_KB-DataFusion Performance Recommendations-JA_AL</t>
  </si>
  <si>
    <t>datafusion performance recommendations</t>
  </si>
  <si>
    <t>ED2303_KB-Backing Up Workbench 5.1 Jobs-JA_AL</t>
  </si>
  <si>
    <t>ED2303_KB-New Magic ETL Tiles Performance-JA_AL</t>
  </si>
  <si>
    <t>new magic etl tiles performance</t>
  </si>
  <si>
    <t>_-Japanese Domopalooza Release 2022 - New Articles-_</t>
  </si>
  <si>
    <t>community-built connectors beta</t>
  </si>
  <si>
    <t>ddx bricks</t>
  </si>
  <si>
    <t>drag-and-drop apps</t>
  </si>
  <si>
    <t>dropdown selector card</t>
  </si>
  <si>
    <t>exporting embedded content</t>
  </si>
  <si>
    <t>microsoft office add-ins</t>
  </si>
  <si>
    <t>multi radial progress gauge</t>
  </si>
  <si>
    <t>multi-cloud data fabric</t>
  </si>
  <si>
    <t>radial progress gauge</t>
  </si>
  <si>
    <t>using smart text</t>
  </si>
  <si>
    <t>waffle gauge</t>
  </si>
  <si>
    <t>_-Japanese Domopalooza Release Notes 2022-_</t>
    <phoneticPr fontId="10"/>
  </si>
  <si>
    <t>release notes staging</t>
  </si>
  <si>
    <t>ED2303_KB-Enabling SSO with Okta-JA_AL</t>
  </si>
  <si>
    <t>enabling sso with okta</t>
  </si>
  <si>
    <t>FY23Q1-04</t>
    <phoneticPr fontId="5"/>
  </si>
  <si>
    <t>ED2304_Education-Domo Professional Knowledge Test (2h)_export_2022-04-04.txt-JA_MH</t>
  </si>
  <si>
    <t>Domo Professional Knowledge Test (2h) export 2022-04-04.txt.docx</t>
  </si>
  <si>
    <t>ED2304_Education-Domo Professional Knowledge Test (2h)_export_2022-04-04.txt-JA_MH_Batch-2</t>
  </si>
  <si>
    <t>FY22Q4-01</t>
    <phoneticPr fontId="5"/>
  </si>
  <si>
    <t>ED2201_KB-Update for PLC-JA_AL</t>
  </si>
  <si>
    <t>chatting in buzz_x000D_
domo layout</t>
  </si>
  <si>
    <t>ED2201_KB-DataFlow Tips and Tricks-JA_AL</t>
  </si>
  <si>
    <t>excel to domo matrix edm</t>
  </si>
  <si>
    <t>FY22Q4-01</t>
  </si>
  <si>
    <t>ED2201_KB-Using Does Not Contain in Magic ETL-JA_MH</t>
  </si>
  <si>
    <t>adding a unique key column using magic​ etl</t>
  </si>
  <si>
    <t>backing_up_workbench_5.1_jobs.xml</t>
  </si>
  <si>
    <t>common_workbench_5.1_errors.xml</t>
  </si>
  <si>
    <t>connecting_to_quickbooks_data_in_workbench_5.1.xml</t>
  </si>
  <si>
    <t>connecting_to_xml_data_in_workbench_5.1.xml</t>
  </si>
  <si>
    <t>Published 4 months ago</t>
    <phoneticPr fontId="5"/>
  </si>
  <si>
    <t>creating_a_job_for_uploading_data_using_workbench_5.1.xml</t>
  </si>
  <si>
    <t>creating_columns_in_workbench_5.1_using_calculations.xml</t>
  </si>
  <si>
    <t>encrypting_decrypting_and_hashing_workbench_5.1_data.xml</t>
  </si>
  <si>
    <t>filtering_columns_in_workbench_5.1.xml</t>
  </si>
  <si>
    <t>group_scheduling_for_workbench_5.1_jobs.xml</t>
  </si>
  <si>
    <t>installing_workbench_5.1.xml</t>
  </si>
  <si>
    <t>managing_plugins_in_workbench_5.1.xml</t>
  </si>
  <si>
    <t>replacing_a_column_value_in_workbench_5.1.xml</t>
  </si>
  <si>
    <t>running_workbench_5.1.xml</t>
  </si>
  <si>
    <t>scheduling_a_job_in_workbench_5.1.xml</t>
  </si>
  <si>
    <t>setting_a_custom_date_format_on_a_column_in_workbench_5.1.xml</t>
  </si>
  <si>
    <t>setting_notifications_in_workbench_5.1.xml</t>
  </si>
  <si>
    <t>setting_up_direct_upload_in_workbench_5.1.xml</t>
  </si>
  <si>
    <t>starting_stopping_and_restarting_the_workbench_5.1_service.xml</t>
  </si>
  <si>
    <t>understanding_the_workbench_5.1_user_interface.xml</t>
  </si>
  <si>
    <t>updating_your_workbench_5.1.xml</t>
  </si>
  <si>
    <t>using_upsert_in_workbench_5.1.xml</t>
  </si>
  <si>
    <t>workbench_5.1_faqs.xml</t>
  </si>
  <si>
    <t>workbench_5.1_overview.xml</t>
  </si>
  <si>
    <t>workbench_5.1_partition_support.xml</t>
  </si>
  <si>
    <t>workbench_5.1_security_options.xml</t>
  </si>
  <si>
    <t>workbench_5.1_training_topics.xml</t>
  </si>
  <si>
    <t>workbench_5.1.xml</t>
  </si>
  <si>
    <t>ED2304_KB-RFC-KB-JP Adding a Beast Mode Calculation to Your Chart-JA_TO</t>
    <phoneticPr fontId="5"/>
  </si>
  <si>
    <t>sorting_the_data_in_your_chart.xml</t>
    <phoneticPr fontId="5"/>
  </si>
  <si>
    <t>ED2304_KB-Whitelisting IP Addresses for Connectors &amp; Federated Adapters-JA_MH</t>
  </si>
  <si>
    <t>whitelisting_ip_addresses_in_domo.xml</t>
  </si>
  <si>
    <t>ED2304_KB-Instagram Business Connector-JA_MH</t>
  </si>
  <si>
    <t>instagram_business_connector.xml</t>
    <phoneticPr fontId="5"/>
  </si>
  <si>
    <t>Japanese Domopalooza Release 2022 - Updated Articles</t>
    <phoneticPr fontId="5"/>
  </si>
  <si>
    <t>adding_a_notebook_card.xml</t>
  </si>
  <si>
    <t>available_filter_charts.xml</t>
  </si>
  <si>
    <t>available_gauges.xml</t>
  </si>
  <si>
    <t>domostats_connector.xml</t>
  </si>
  <si>
    <t>edit_the_mobile_layout.xml</t>
  </si>
  <si>
    <t>exporting_dashboards_to_pdf_or_powerpoint.xml</t>
  </si>
  <si>
    <t>page_filters_in_dashboard_embed.xml</t>
  </si>
  <si>
    <t>community-built_connectors_beta.xml</t>
  </si>
  <si>
    <t>New</t>
    <phoneticPr fontId="5"/>
  </si>
  <si>
    <t>ddx_bricks.xml</t>
  </si>
  <si>
    <t>drag-and-drop_apps.xml</t>
  </si>
  <si>
    <t>dropdown_selector_card.xml</t>
  </si>
  <si>
    <t>exporting_embedded_content.xml</t>
  </si>
  <si>
    <t>microsoft_office_add-ins.xml</t>
  </si>
  <si>
    <t>multi_radial_progress_gauge.xml</t>
  </si>
  <si>
    <t>multi-cloud_data_fabric.xml</t>
  </si>
  <si>
    <t>radial_progress_gauge.xml</t>
  </si>
  <si>
    <t>using_smart_text.xml</t>
  </si>
  <si>
    <t>waffle_gauge.xml</t>
  </si>
  <si>
    <t>Japanese Domopalooza Release Notes 2022</t>
    <phoneticPr fontId="5"/>
  </si>
  <si>
    <t>release_notes_staging.xml</t>
  </si>
  <si>
    <t>ED2304_KB-Zendesk FY23-Q1 04 New translation-JA_TO_Batch-1</t>
  </si>
  <si>
    <t>About Partition Connectors</t>
  </si>
  <si>
    <t>n</t>
    <phoneticPr fontId="5"/>
  </si>
  <si>
    <t>2度目にPublish完了。</t>
    <rPh sb="0" eb="3">
      <t>ニドメ</t>
    </rPh>
    <rPh sb="11" eb="13">
      <t>カンリョウ</t>
    </rPh>
    <phoneticPr fontId="5"/>
  </si>
  <si>
    <t>Adding a File to a Zendesk Article</t>
  </si>
  <si>
    <t>Internal</t>
    <phoneticPr fontId="5"/>
  </si>
  <si>
    <t>Adding PTO Events in Outlook</t>
  </si>
  <si>
    <t>Adding Users to Zendesk</t>
  </si>
  <si>
    <t>y</t>
    <phoneticPr fontId="5"/>
  </si>
  <si>
    <t>Published on 5/27</t>
    <phoneticPr fontId="5"/>
  </si>
  <si>
    <t>Amazon Athena High Bandwidth Connector</t>
  </si>
  <si>
    <t>Amazon Kendra Writeback Connector</t>
  </si>
  <si>
    <t>Amazon S3 Advanced Unload Connector</t>
    <phoneticPr fontId="5"/>
  </si>
  <si>
    <t>En vresion not published</t>
    <phoneticPr fontId="5"/>
  </si>
  <si>
    <t>Amazon S3 Unload Writeback Connector</t>
  </si>
  <si>
    <t>Anonomatic Augmented Writeback Connector</t>
  </si>
  <si>
    <t>ED2304_KB-Zendesk FY23-Q1 04 New translation-JA_TO_Batch-2</t>
  </si>
  <si>
    <t>App Template</t>
  </si>
  <si>
    <t>Available Custom Connectors</t>
  </si>
  <si>
    <t>Beast Mode FIXED Aggregations (Beta)</t>
  </si>
  <si>
    <t>Cash Flow App</t>
  </si>
  <si>
    <t>Chart Type Template</t>
  </si>
  <si>
    <t>Configuring Domo Goals for Your Organization</t>
  </si>
  <si>
    <t>Coupon Tracking for Manual Course Enrollments</t>
  </si>
  <si>
    <t>COVID-19 Connector</t>
  </si>
  <si>
    <t>Creating Columns in Workbench 5.1 Using Calculations</t>
  </si>
  <si>
    <t>ED2304_KB-Zendesk FY23-Q1 04 New translation-JA_TO_Batch-2</t>
    <phoneticPr fontId="5"/>
  </si>
  <si>
    <t>ED2302-TO-KB-Support FY24 Q1 02-JA</t>
  </si>
  <si>
    <t>Data Fundamentals: Understanding Relational Data, Domo Architecture, and Data Pipeline Optimization</t>
  </si>
  <si>
    <t>ED2304_KB-Zendesk FY23-Q1 04 New translation-JA_TO_Batch-3</t>
    <phoneticPr fontId="5"/>
  </si>
  <si>
    <t>Databricks Connector</t>
  </si>
  <si>
    <t>DataFlows Disabled Due to Extended Inactivity</t>
  </si>
  <si>
    <t>DataFusion Performance Recommendations</t>
  </si>
  <si>
    <t>Date Difference for Business Days</t>
  </si>
  <si>
    <t>Diagnosing Issues in Customer Cards</t>
  </si>
  <si>
    <t>Dialpad Enterprise Connector</t>
  </si>
  <si>
    <t>Domo Campaigns App</t>
  </si>
  <si>
    <t>Domo Enterprise Toolkit</t>
  </si>
  <si>
    <t>Domo for Office Add-Ins (Beta)</t>
  </si>
  <si>
    <t>Domo Goals Command Center</t>
  </si>
  <si>
    <t>ED2304_KB-Zendesk FY23-Q1 04 New translation-JA_TO_Batch-4</t>
  </si>
  <si>
    <t>Domo Program Roles</t>
  </si>
  <si>
    <t>Domo University Programs</t>
  </si>
  <si>
    <t>Domo University Training Offerings</t>
  </si>
  <si>
    <t>Enhancing your Goals</t>
  </si>
  <si>
    <t>Entrata V2 Connector</t>
  </si>
  <si>
    <t>Excel to Domo Matrix (EDM)</t>
  </si>
  <si>
    <t>Filter Options for the Embedded View Experience</t>
  </si>
  <si>
    <t>Form Builder</t>
  </si>
  <si>
    <t>FreshService Connector</t>
  </si>
  <si>
    <t>ED2304_KB-Zendesk FY23-Q1 04 New translation-JA_TO_Batch-5</t>
  </si>
  <si>
    <t>Google Ads Connector Deprecation</t>
  </si>
  <si>
    <t>Google Analytics Dashboard App</t>
  </si>
  <si>
    <t>Google My Business Connector</t>
  </si>
  <si>
    <t>Governance Toolkit: DataSet Backup</t>
  </si>
  <si>
    <t>Governance Toolkit: DataSet Sharing</t>
  </si>
  <si>
    <t>Governance Toolkit: DataSet Tagging</t>
  </si>
  <si>
    <t>Governance Toolkit: Group Management</t>
  </si>
  <si>
    <t>Governance Toolkit: PDP Automation</t>
  </si>
  <si>
    <t>Group DataSet Ownership (beta)</t>
  </si>
  <si>
    <t>ED2304_KB-Zendesk FY23-Q1 04 New translation-JA_TO_Batch-6</t>
  </si>
  <si>
    <t>How to Create a Date or DateTime Format Tag in Campaigns</t>
  </si>
  <si>
    <t>Inline Editing App</t>
  </si>
  <si>
    <t>IntelliShift Connector</t>
  </si>
  <si>
    <t>Intercom Connector</t>
  </si>
  <si>
    <t>JavaScript vs iframe in Embed</t>
  </si>
  <si>
    <t>L1 Escalation Process</t>
  </si>
  <si>
    <t>Label Traxx Writeback Connector</t>
  </si>
  <si>
    <t>Magento2 Advanced Connector</t>
  </si>
  <si>
    <t>Magic ETL Scripting Tile Environments</t>
  </si>
  <si>
    <t>Mambu Connector</t>
  </si>
  <si>
    <t>ED2304_KB-Zendesk FY23-Q1 04 New translation-JA_TO_Batch-7</t>
  </si>
  <si>
    <t>Microsoft SQL SSH Connector</t>
  </si>
  <si>
    <t>Moving a Support Case to Product Feedback</t>
  </si>
  <si>
    <t>MYOB Connector</t>
  </si>
  <si>
    <t>MySQL Advanced Writeback Connector</t>
  </si>
  <si>
    <t>MySQL SSH MultiStatement Connector</t>
  </si>
  <si>
    <t>MySQL SSH Partition Connector</t>
  </si>
  <si>
    <t>OfficeRnD Connector</t>
  </si>
  <si>
    <t>Optimizing Data Performance</t>
  </si>
  <si>
    <t>PostgreSQL Advanced Connector</t>
  </si>
  <si>
    <t>ED2304_KB-Zendesk FY23-Q1 04 New translation-JA_TO_Batch-8</t>
  </si>
  <si>
    <t>QuickBooks Multi Account Connector</t>
  </si>
  <si>
    <t>Release Notes Staging</t>
  </si>
  <si>
    <t>Requesting Custom Environments</t>
  </si>
  <si>
    <t>Requesting Memory Upgrades</t>
  </si>
  <si>
    <t>Seismic Connector for Direct Sign-On</t>
  </si>
  <si>
    <t>Service Desk Plus Cloud Connector</t>
  </si>
  <si>
    <t>Setting a Custom Date Format on a Column in Workbench 5.1</t>
  </si>
  <si>
    <t>Simba Spark JDBC Connector</t>
  </si>
  <si>
    <t>Simpli.fi Connector</t>
  </si>
  <si>
    <t>SiteLink Reporting Connector</t>
  </si>
  <si>
    <t>FY23Q2-05</t>
  </si>
  <si>
    <t>ED2305-TO_KB-Zendesk FY23-Q2 05 New translation-JA_Batch-9</t>
  </si>
  <si>
    <t>tableau_connector.xml</t>
  </si>
  <si>
    <t>trainer_time_tracking.xml</t>
  </si>
  <si>
    <t>troubleshooting_scripting_tiles_memory_errors.xml</t>
  </si>
  <si>
    <t>understanding_subset_processing_in_magic_etl.xml</t>
  </si>
  <si>
    <t>using_the_federated_data_solution.xml</t>
  </si>
  <si>
    <t>vaultre_connector.xml</t>
  </si>
  <si>
    <t>what_constitutes_pii.xml</t>
  </si>
  <si>
    <t>zendesk_upsert_connector.xml</t>
  </si>
  <si>
    <t>ED2305-TO_KB-Zendesk FY23-Q2 05 New translation-JA_Batch-10</t>
    <phoneticPr fontId="5"/>
  </si>
  <si>
    <t>twilio_advanced_connector.xml</t>
  </si>
  <si>
    <t>000003399</t>
    <phoneticPr fontId="5"/>
  </si>
  <si>
    <t>twilio_advanced_connector</t>
  </si>
  <si>
    <t>Published</t>
    <phoneticPr fontId="5"/>
  </si>
  <si>
    <t xml:space="preserve">To be relocalized from SFDC: </t>
    <phoneticPr fontId="5"/>
  </si>
  <si>
    <t>ED2301-TO-KB-Zendesk-Q2-05 New B-10-JA SFDC Update-2</t>
  </si>
  <si>
    <t>ED2305-TO_KB-Zendesk FY23-Q2 05 New translation-JA_Batch-10</t>
  </si>
  <si>
    <t>updating_and_managing_your_goals.xml</t>
  </si>
  <si>
    <t>updating_and_managing_your_goals</t>
  </si>
  <si>
    <t>Not existing anymore</t>
    <phoneticPr fontId="5"/>
  </si>
  <si>
    <t>ED2301-TO-KB-Zendesk_Q2-05 New_B-10-JA SFDC Update</t>
  </si>
  <si>
    <t>using_card_interaction_tools_in_a_card_details_view.xml</t>
  </si>
  <si>
    <t>000004759</t>
  </si>
  <si>
    <t>using_card_interaction_tools_in_a_card_details_view</t>
  </si>
  <si>
    <t>To be relocalized from SFDC</t>
    <phoneticPr fontId="5"/>
  </si>
  <si>
    <t>ED2301-TO-KB-Zendesk-Q2-05 New B-10-JA SFDC Update-1</t>
  </si>
  <si>
    <t>using_goals_check-in.xml</t>
  </si>
  <si>
    <t>using_goals_check-in</t>
  </si>
  <si>
    <t>using_pfilters_to_apply_filters_from_url_query_parameters_to_embedded_dashboards.xml</t>
  </si>
  <si>
    <t>000004250</t>
  </si>
  <si>
    <t>using_pfilters_to_apply_filters_from_url_query_parameters_to_embedded_dashboards</t>
  </si>
  <si>
    <t>viewing_goals_and_reviewing_summary_progress.xml</t>
  </si>
  <si>
    <t>viewing_goals_and_reviewing_summary_progress</t>
  </si>
  <si>
    <t>xml_easy_connector.xml</t>
  </si>
  <si>
    <t>xml_easy_connector</t>
  </si>
  <si>
    <t>youtube_enterprise_advanced_connector.xml</t>
  </si>
  <si>
    <t>000003342</t>
  </si>
  <si>
    <t>youtube_enterprise_advanced_connector</t>
  </si>
  <si>
    <t>youtube_reporting_connector.xml</t>
  </si>
  <si>
    <t>000003336</t>
  </si>
  <si>
    <t>youtube_reporting_connector</t>
  </si>
  <si>
    <t>zabbix_connector.xml</t>
  </si>
  <si>
    <t>000003554</t>
  </si>
  <si>
    <t>zabbix_connector</t>
  </si>
  <si>
    <t>zoho_crm_connector.xml</t>
  </si>
  <si>
    <t>000003479</t>
  </si>
  <si>
    <t>zoho_crm_connector</t>
  </si>
  <si>
    <t>ED2305-MH_KB-Adding a Beast Mode Calculation to Your Chart-JA_Bugfix</t>
  </si>
  <si>
    <t>adding_a_beast_mode_calculation_to_your​_chart.xml</t>
  </si>
  <si>
    <t>ED2305-TO_KB-Bucketing Data Using Beast Mode-JA_Update</t>
  </si>
  <si>
    <t>bucketing_data_using_beast_mode.xml</t>
  </si>
  <si>
    <t>ED2305-TO_KB-Sample Beast Mode Calculations- Date Transforms-JA_Update</t>
  </si>
  <si>
    <t>sample_beast_mode_calculations_date_transforms.xml</t>
    <phoneticPr fontId="5"/>
  </si>
  <si>
    <t>ED2305-TO_KB-Domo for Office Add-Ins-JA</t>
    <phoneticPr fontId="5"/>
  </si>
  <si>
    <t>Domo for Office Add-Ins</t>
    <phoneticPr fontId="5"/>
  </si>
  <si>
    <t>ED2305-TO_KB-RFC-KB-JP Plugins for Sharing Domo Content-JA</t>
  </si>
  <si>
    <t>using_the_domo_excel_plugin.xml</t>
  </si>
  <si>
    <t>ED2305-TO_KB-RFC-KB-JP Plugins for Sharing Domo Content-JA</t>
    <phoneticPr fontId="5"/>
  </si>
  <si>
    <t>using_the_domo_powerpoint_plugin.xml</t>
  </si>
  <si>
    <t>using_the_domo_word_plugin.xml</t>
  </si>
  <si>
    <t>ED2305-TO_KB-RFC-KB-JP Sample Beast Mode Calculations- Card Element Transforms-JA</t>
  </si>
  <si>
    <t>sample_beast_mode_calculations_card_element​_transforms.xml</t>
    <phoneticPr fontId="5"/>
  </si>
  <si>
    <t>ED2305-TO_KB-RFC-KB-JP Table Chart-JA</t>
  </si>
  <si>
    <t>table_chart.xml</t>
    <phoneticPr fontId="5"/>
  </si>
  <si>
    <t>ED2305-MH_KB-Installing Workbench 5.1-JA</t>
  </si>
  <si>
    <t>installing_workbench_5.1.xml</t>
    <phoneticPr fontId="5"/>
  </si>
  <si>
    <t>ED2305-TO_KB-RFC-KB-JP Using Programmatic Filters with Domo Embed-JA</t>
    <phoneticPr fontId="5"/>
  </si>
  <si>
    <t xml:space="preserve">	using_programmatic_filters_with_domo​_embed.xml</t>
    <phoneticPr fontId="5"/>
  </si>
  <si>
    <t>domo_everywhere_launch_page.xml</t>
  </si>
  <si>
    <t>FY23Q2-06</t>
  </si>
  <si>
    <t>ED2306-TO_KB-Zendesk FY23-Q2 06 -JA_Update_Batch-1</t>
  </si>
  <si>
    <t>Adaptive Insights Connector</t>
  </si>
  <si>
    <t>adaptive_insights_connector</t>
  </si>
  <si>
    <t>Adding Other Dashboards to Business-in-a-Box</t>
  </si>
  <si>
    <t>adding_other_dashboards_to_business-in-a-box</t>
  </si>
  <si>
    <t>Adding Users to Domo</t>
  </si>
  <si>
    <t>adding_users_to_domo</t>
  </si>
  <si>
    <t>Admin Settings Layout</t>
  </si>
  <si>
    <t>admin_settings_layout</t>
  </si>
  <si>
    <t>Adobe Analytics 1.4 JWT Connector</t>
  </si>
  <si>
    <t>adobe_analytics_1.4_jwt_connector</t>
  </si>
  <si>
    <t>Adobe Analytics API v2 Connector with JWT authentication and Partition Support</t>
  </si>
  <si>
    <t>adobe_analytics_api_v2_connector_with_jwt_authentication_and_partition_support</t>
  </si>
  <si>
    <t>Adobe Analytics Connector</t>
  </si>
  <si>
    <t>adobe_analytics_connector</t>
  </si>
  <si>
    <t>Adobe Analytics Data Feed V2 Connector</t>
  </si>
  <si>
    <t>adobe_analytics_data_feed_v2_connector</t>
  </si>
  <si>
    <t>Adobe Analytics Realtime Connector</t>
  </si>
  <si>
    <t>adobe_analytics_realtime_connector</t>
  </si>
  <si>
    <t>Adobe Analytics v2 OAuth Partition Connector</t>
  </si>
  <si>
    <t>adobe_analytics_v2_oauth_partition_connector</t>
  </si>
  <si>
    <t>ED2306-TO_KB-Zendesk FY23-Q2 06 -JA_Update_Batch-1</t>
    <phoneticPr fontId="5"/>
  </si>
  <si>
    <t>Amazon Redshift SSH Connector</t>
  </si>
  <si>
    <t>amazon_redshift_ssh_connector</t>
  </si>
  <si>
    <t>Amazon Redshift SSH Writeback Connector</t>
  </si>
  <si>
    <t>amazon_redshift_ssh_writeback_connector</t>
  </si>
  <si>
    <t>Amazon S3 Writeback Connector</t>
  </si>
  <si>
    <t>amazon_s3_writeback_connector</t>
  </si>
  <si>
    <t>Apache Impala SSH Connector</t>
  </si>
  <si>
    <t>apache_impala_ssh_connector</t>
  </si>
  <si>
    <t>API Call Requests</t>
  </si>
  <si>
    <t>api_call_requests</t>
  </si>
  <si>
    <t>ED2306-TO_KB-Zendesk FY23-Q2 06 -JA_Update_Batch-2</t>
  </si>
  <si>
    <t>Applying Page-Level Filters with Filter Views</t>
  </si>
  <si>
    <t>applying_page-level_filters_with_filter_views</t>
  </si>
  <si>
    <t>Best Practices for Managing DataSets</t>
  </si>
  <si>
    <t>best_practices_for_managing_datasets</t>
  </si>
  <si>
    <t>Buzz Onboarding</t>
  </si>
  <si>
    <t>buzz_onboarding</t>
  </si>
  <si>
    <t>CallRail Connector</t>
  </si>
  <si>
    <t>callrail_connector</t>
  </si>
  <si>
    <t>Changing the Default Sentiment for Insights</t>
  </si>
  <si>
    <t>changing_the_default_sentiment_for_insights</t>
  </si>
  <si>
    <t>Concur Connector</t>
  </si>
  <si>
    <t>concur_connector</t>
  </si>
  <si>
    <t>Connecting to Adobe Analytics Data Warehouse</t>
  </si>
  <si>
    <t>connecting_to_adobe_analytics_data_warehouse</t>
  </si>
  <si>
    <t>Connector FAQs and Troubleshooting</t>
  </si>
  <si>
    <t>connector_faqs_and_troubleshooting</t>
  </si>
  <si>
    <t>Course Descriptions</t>
  </si>
  <si>
    <t>course_descriptions</t>
  </si>
  <si>
    <t>Creating Columns in Workbench 5 Using Calculations</t>
  </si>
  <si>
    <t>creating_columns_in_workbench_5_using_calculations</t>
  </si>
  <si>
    <t>CSV Advanced Connector</t>
  </si>
  <si>
    <t>csv_advanced_connector</t>
  </si>
  <si>
    <t>DataSet Update Methods</t>
  </si>
  <si>
    <t>dataset_update_methods</t>
  </si>
  <si>
    <t>DataSet via Email Connector</t>
  </si>
  <si>
    <t>dataset_via_email_connector</t>
  </si>
  <si>
    <t>date_selector_card</t>
  </si>
  <si>
    <t>Exporting Visualization Cards</t>
  </si>
  <si>
    <t>exporting_visualization_cards</t>
  </si>
  <si>
    <t>File Upload Connector</t>
  </si>
  <si>
    <t>file_upload_connector</t>
  </si>
  <si>
    <t>Formatting Values in Your Chart</t>
  </si>
  <si>
    <t>formatting_values_in_your_chart</t>
  </si>
  <si>
    <t>Google Analytics Advanced Connector</t>
  </si>
  <si>
    <t>google_analytics_advanced_connector</t>
  </si>
  <si>
    <t>Google BigQuery Unload V2 Connector</t>
  </si>
  <si>
    <t>google_bigquery_unload_v2_connector</t>
  </si>
  <si>
    <t>ED2306-TO_KB-Zendesk FY23-Q2 06 -JA_Update_Batch-2</t>
    <phoneticPr fontId="5"/>
  </si>
  <si>
    <t>Google Drive Service Connector</t>
  </si>
  <si>
    <t>google_drive_service_connector</t>
  </si>
  <si>
    <t>Google Search Console Connector</t>
  </si>
  <si>
    <t>google_search_console_connector</t>
  </si>
  <si>
    <t>HubSpot Connector</t>
  </si>
  <si>
    <t>hubspot_connector</t>
  </si>
  <si>
    <t>HubSpot Upsert Connector</t>
  </si>
  <si>
    <t>hubspot_upsert_connector</t>
  </si>
  <si>
    <t>IBM DB2 SSH Connector</t>
  </si>
  <si>
    <t>ibm_db2_ssh_connector</t>
  </si>
  <si>
    <t>IBM Informix SSH Connector</t>
  </si>
  <si>
    <t>ibm_informix_ssh_connector</t>
  </si>
  <si>
    <t>ED2306-TO_KB-Zendesk FY23-Q2 06 -JA_Update_Batch-3</t>
  </si>
  <si>
    <t>instagram_business_connector</t>
  </si>
  <si>
    <t>JIRA Rest API Connector</t>
  </si>
  <si>
    <t>jira_rest_api_connector</t>
  </si>
  <si>
    <t>JSON No Code Connector</t>
  </si>
  <si>
    <t>json_no_code_connector</t>
  </si>
  <si>
    <t>JSON No Code OAuth Connector</t>
  </si>
  <si>
    <t>json_no_code_oauth_connector</t>
  </si>
  <si>
    <t>JSON Webhook Connector</t>
  </si>
  <si>
    <t>json_webhook_connector</t>
  </si>
  <si>
    <t>Jupyter Workspaces (Beta)</t>
  </si>
  <si>
    <t>jupyter_workspaces_beta</t>
  </si>
  <si>
    <t>MailChimp Connector</t>
  </si>
  <si>
    <t>mailchimp_connector</t>
  </si>
  <si>
    <t>Marketo Bulk API Connector</t>
  </si>
  <si>
    <t>marketo_bulk_api_connector</t>
  </si>
  <si>
    <t>Microsoft Azure Data Lake Store Connector</t>
  </si>
  <si>
    <t>microsoft_azure_data_lake_store_connector</t>
  </si>
  <si>
    <t>Microsoft OneDrive Writeback Connector</t>
  </si>
  <si>
    <t>microsoft_onedrive_writeback_connector</t>
  </si>
  <si>
    <t>Microsoft Reports Connector</t>
  </si>
  <si>
    <t>microsoft_reports_connector</t>
  </si>
  <si>
    <t>Microsoft SharePoint Online SDK Writeback Connector</t>
  </si>
  <si>
    <t>microsoft_sharepoint_online_sdk_writeback_connector</t>
  </si>
  <si>
    <t>Microsoft SQL Writeback Connector</t>
  </si>
  <si>
    <t>microsoft_sql_writeback_connector</t>
  </si>
  <si>
    <t>Microsoft Teams Connector</t>
  </si>
  <si>
    <t>microsoft_teams_connector</t>
  </si>
  <si>
    <t>Mixpanel Connector</t>
  </si>
  <si>
    <t>mixpanel_connector</t>
  </si>
  <si>
    <t>MongoDB SSH Connector</t>
  </si>
  <si>
    <t>mongodb_ssh_connector</t>
  </si>
  <si>
    <t>MongoDB V2 Connector</t>
  </si>
  <si>
    <t>mongodb_v2_connector</t>
  </si>
  <si>
    <t>MongoDB Writeback Connector</t>
  </si>
  <si>
    <t>mongodb_writeback_connector</t>
  </si>
  <si>
    <t>Multi-Cloud</t>
  </si>
  <si>
    <t>multi-cloud_snowflake</t>
  </si>
  <si>
    <t>Multi-Cloud Snowflake</t>
  </si>
  <si>
    <t>multi-cloud</t>
  </si>
  <si>
    <t>MySQL SSH Connector</t>
  </si>
  <si>
    <t>mysql_ssh_connector</t>
  </si>
  <si>
    <t>MySQL SSH Writeback Connector</t>
  </si>
  <si>
    <t>mysql_ssh_writeback_connector</t>
  </si>
  <si>
    <t>MySQL Writeback Connector</t>
  </si>
  <si>
    <t>mysql_writeback_connector</t>
  </si>
  <si>
    <t>ED2306-TO_KB-Zendesk FY23-Q2 06 -JA_Update_Batch-4</t>
  </si>
  <si>
    <t>Oracle Autonomous Data Warehouse Cloud Connector</t>
  </si>
  <si>
    <t>oracle_autonomous_data_warehouse_cloud_connector</t>
  </si>
  <si>
    <t>Oracle Database SSH Connector</t>
  </si>
  <si>
    <t>oracle_database_ssh_connector</t>
  </si>
  <si>
    <t>pdp_policy_autocreation</t>
  </si>
  <si>
    <t>PostgreSQL SSH Connector</t>
  </si>
  <si>
    <t>postgresql_ssh_connector</t>
  </si>
  <si>
    <t>PostgreSQL Writeback Connector</t>
  </si>
  <si>
    <t>postgresql_writeback_connector</t>
  </si>
  <si>
    <t>Power BI Writeback Connector</t>
  </si>
  <si>
    <t>power_bi_writeback_connector</t>
  </si>
  <si>
    <t>Properties for Filter Chart Types</t>
  </si>
  <si>
    <t>properties_for_filter_chart_types</t>
  </si>
  <si>
    <t>Publish Data to an Edit Experience</t>
  </si>
  <si>
    <t>publish_data_to_an_edit_experience</t>
  </si>
  <si>
    <t>QuickBooks Online Reports Connector</t>
  </si>
  <si>
    <t>quickbooks_online_reports_connector</t>
  </si>
  <si>
    <t>SAP Adaptive Server Enterprise SSH Connector</t>
  </si>
  <si>
    <t>sap_adaptive_server_enterprise_ssh_connector</t>
  </si>
  <si>
    <t>Setting Color Rules for a Chart</t>
  </si>
  <si>
    <t>setting_color_rules_for_a_chart</t>
  </si>
  <si>
    <t>Setting Password Requirements</t>
  </si>
  <si>
    <t>setting_password_requirements</t>
  </si>
  <si>
    <t>sharepoint_online_writeback_connector</t>
  </si>
  <si>
    <t>Shopify Connector</t>
  </si>
  <si>
    <t>shopify_connector</t>
  </si>
  <si>
    <t>Slack Connector</t>
  </si>
  <si>
    <t>slack_connector</t>
  </si>
  <si>
    <t>Slicer, Checkbox, and Radio Button Cards</t>
  </si>
  <si>
    <t>slicer_checkbox_and_radio_button_cards</t>
  </si>
  <si>
    <t>Snowflake Federated Data Setup</t>
  </si>
  <si>
    <t>snowflake_federated_data_setup</t>
  </si>
  <si>
    <t>Snowflake OAuth Internal Unload V2 Connector</t>
  </si>
  <si>
    <t>snowflake_oauth_internal_unload_v2_connector</t>
  </si>
  <si>
    <t>Snowflake Using Key Pair Authentication Connector</t>
  </si>
  <si>
    <t>snowflake_using_key_pair_authentication_connector</t>
  </si>
  <si>
    <t>Snowflake Writeback Connector</t>
  </si>
  <si>
    <t>snowflake_writeback_connector</t>
  </si>
  <si>
    <t>Specifying Your Company Name and Logo</t>
  </si>
  <si>
    <t>specifying_your_company_name_and_logo</t>
  </si>
  <si>
    <t>ED2306-TO_KB-Zendesk FY23-Q2 06 -JA_Update_Batch-5</t>
  </si>
  <si>
    <t>SurveyMonkey Advanced Connector</t>
  </si>
  <si>
    <t>surveymonkey_advanced_connector</t>
  </si>
  <si>
    <t>Turning on Multi-Factor Authentication</t>
  </si>
  <si>
    <t>turning_on_multi-factor_authentication</t>
  </si>
  <si>
    <t>Understanding and Configuring Domo Single Sign-On Using SAML</t>
  </si>
  <si>
    <t>understanding_and_configuring_domo_single_sign-on_using_saml</t>
  </si>
  <si>
    <t>understanding_cards</t>
  </si>
  <si>
    <t>using_a_fiscal_calendar</t>
  </si>
  <si>
    <t>What is Domo?</t>
  </si>
  <si>
    <t>what_is_domo</t>
  </si>
  <si>
    <t>ED2306-TO_KB-Zendesk FY23-Q2 06 -JA_Update_Batch-5</t>
    <phoneticPr fontId="5"/>
  </si>
  <si>
    <t>Zendesk Connector</t>
  </si>
  <si>
    <t>zendesk_connector</t>
  </si>
  <si>
    <t>ED2306-TO_KB-Zendesk FY23-Q2 06 -JA_New_Batch-1</t>
  </si>
  <si>
    <t>Adding a Unique Key Column Using Magic ETL</t>
    <phoneticPr fontId="5"/>
  </si>
  <si>
    <t>adding_a_unique_key_column_using_magic_etl</t>
  </si>
  <si>
    <t>adding_pto_events_in_outlook</t>
  </si>
  <si>
    <t>amazon_athena_high_bandwidth_connector</t>
  </si>
  <si>
    <t>Asana Personal Access Token Connector</t>
  </si>
  <si>
    <t>asana_personal_access_token_connector</t>
  </si>
  <si>
    <t>available_custom_connectors</t>
  </si>
  <si>
    <t>Backing Up Workbench 5.1  Settings</t>
  </si>
  <si>
    <t>backing_up_workbench_5.1__settings</t>
  </si>
  <si>
    <t>Brainshark Connector</t>
  </si>
  <si>
    <t>brainshark_connector</t>
  </si>
  <si>
    <t>Brand Kit</t>
  </si>
  <si>
    <t>brand_kit</t>
  </si>
  <si>
    <t>bucketing_data_using_beast_mode</t>
  </si>
  <si>
    <t>Card Building Essentials</t>
  </si>
  <si>
    <t>card_building_essentials</t>
  </si>
  <si>
    <t>ED2306-TO_KB-Zendesk FY23-Q2 06 -JA_New_Batch-2</t>
  </si>
  <si>
    <t>Card Governance</t>
  </si>
  <si>
    <t>card_governance</t>
  </si>
  <si>
    <t>Certification Grading</t>
  </si>
  <si>
    <t>certification_grading</t>
  </si>
  <si>
    <t>Creating DomoU HUB Projects</t>
  </si>
  <si>
    <t>creating_domou_hub_projects</t>
  </si>
  <si>
    <t>Creating Forms and Templates</t>
  </si>
  <si>
    <t>creating_forms_and_templates</t>
  </si>
  <si>
    <t>Criteo Connector</t>
  </si>
  <si>
    <t>criteo_connector</t>
  </si>
  <si>
    <t>data.world Writeback Connector</t>
  </si>
  <si>
    <t>data.world_writeback_connector</t>
  </si>
  <si>
    <t>databricks_connector</t>
  </si>
  <si>
    <t>domo_sandbox</t>
  </si>
  <si>
    <t>ED2306-TO_KB-Zendesk FY23-Q2 06 -JA_New_Batch-3</t>
  </si>
  <si>
    <t>Entrata Connector</t>
  </si>
  <si>
    <t>entrata_connector</t>
  </si>
  <si>
    <t>form_builder</t>
  </si>
  <si>
    <t>Form Viewer</t>
  </si>
  <si>
    <t>form_viewer</t>
  </si>
  <si>
    <t>Getting Started With Goals</t>
  </si>
  <si>
    <t>getting_started_with_goals</t>
  </si>
  <si>
    <t>Google Ad Manager Connector</t>
  </si>
  <si>
    <t>google_ad_manager_connector</t>
  </si>
  <si>
    <t>Google Ads Connector</t>
  </si>
  <si>
    <t>google_ads_connector</t>
  </si>
  <si>
    <t>Google Analytics Enterprise Connector</t>
  </si>
  <si>
    <t>google_analytics_enterprise_connector</t>
  </si>
  <si>
    <t>governance_toolkit_dataset_tagging</t>
  </si>
  <si>
    <t>Governance Toolkit: User Management</t>
  </si>
  <si>
    <t>governance_toolkit_user_management</t>
  </si>
  <si>
    <t>ED2306-TO_KB-Zendesk FY23-Q2 06 -JA_New_Batch-4</t>
  </si>
  <si>
    <t>mysql_ssh_multistatement_connector</t>
  </si>
  <si>
    <t>New Magic ETL Tiles: Data Science</t>
  </si>
  <si>
    <t>new_magic_etl_tiles_data_science</t>
  </si>
  <si>
    <t>New Magic ETL Tiles: DataSets</t>
  </si>
  <si>
    <t>new_magic_etl_tiles_datasets</t>
  </si>
  <si>
    <t>New Magic ETL Tiles: Scripting</t>
  </si>
  <si>
    <t>new_magic_etl_tiles_scripting</t>
  </si>
  <si>
    <t>ED2306-TO_KB-Zendesk FY23-Q2 06 -JA_New_Batch-5</t>
  </si>
  <si>
    <t>Procore Connector</t>
  </si>
  <si>
    <t>procore_connector</t>
  </si>
  <si>
    <t>quickbooks_multi_account_connector</t>
  </si>
  <si>
    <t>SFTP Writeback Connector</t>
  </si>
  <si>
    <t>sftp_writeback_connector</t>
  </si>
  <si>
    <t>Silverpop Connector</t>
  </si>
  <si>
    <t>silverpop_connector</t>
  </si>
  <si>
    <t>Snapchat Publisher Connector</t>
  </si>
  <si>
    <t>snapchat_publisher_connector</t>
  </si>
  <si>
    <t>ED2306-TO_KB-Zendesk FY23-Q2 06 -JA_New_Batch-6</t>
  </si>
  <si>
    <t>splunk_writeback_connector</t>
  </si>
  <si>
    <t>Talkdesk Connector</t>
  </si>
  <si>
    <t>talkdesk_connector</t>
  </si>
  <si>
    <t>The Trade Desk Connector</t>
  </si>
  <si>
    <t>the_trade_desk_connector</t>
  </si>
  <si>
    <t>Tiktok Ads Connector</t>
  </si>
  <si>
    <t>tiktok_ads_connector</t>
  </si>
  <si>
    <t>Twitter Ads Connector</t>
  </si>
  <si>
    <t>twitter_ads_connector</t>
  </si>
  <si>
    <t>whitelisting_ip_addresses_for_connectors__federated_adapters</t>
  </si>
  <si>
    <t>ED2306-TO_KB-RFC-KB-JP Common Troubleshooting Practices for Custom Apps-JA_New</t>
    <phoneticPr fontId="5"/>
  </si>
  <si>
    <t>Common Troubleshooting Practices for Custom Apps</t>
    <phoneticPr fontId="5"/>
  </si>
  <si>
    <t>common_troubleshooting_practices_for_custom_apps</t>
  </si>
  <si>
    <t>ED2306-TO_KB-RFC-KB-JP Duplicating Dashboards ("Save As")-JA_New</t>
  </si>
  <si>
    <t>Duplicating Dashboards ("Save As")</t>
  </si>
  <si>
    <t>duplicating_dashboards_save_as</t>
  </si>
  <si>
    <t>ED2306-TO_Education-March 2022 Release Update-JA</t>
  </si>
  <si>
    <t>March 2022 Release Update-JA.docx</t>
    <phoneticPr fontId="5"/>
  </si>
  <si>
    <t>ED2306-MH_KB-RFC-KB-JP Using the Domo Excel Plugin-JA_Bugfix</t>
    <phoneticPr fontId="5"/>
  </si>
  <si>
    <t>using_the_domo_excel_plugin</t>
  </si>
  <si>
    <t>ED2306-TO_KB-RFC-KB-JP Managing User Accounts for Connectors-JA_Update</t>
  </si>
  <si>
    <t>Managing User Accounts for Connectors</t>
    <phoneticPr fontId="5"/>
  </si>
  <si>
    <t>ED2306-TO_KB-RFC-KB-JP HTML Table Connector-JA_Update</t>
  </si>
  <si>
    <t>HTML Table Connector</t>
    <phoneticPr fontId="5"/>
  </si>
  <si>
    <t>DataSet via Email Connector</t>
    <phoneticPr fontId="5"/>
  </si>
  <si>
    <t>ED2306-TO_KB-RFC-KB-JP Using a Fiscal Calendar-JA</t>
  </si>
  <si>
    <t>Sumo Editor Layout</t>
  </si>
  <si>
    <t>Adding Filters to Your Chart</t>
  </si>
  <si>
    <t>Using a Fiscal Calendar</t>
  </si>
  <si>
    <t>Movie</t>
    <phoneticPr fontId="5"/>
  </si>
  <si>
    <t>FY23Q2-07</t>
    <phoneticPr fontId="5"/>
  </si>
  <si>
    <t>ED2307-TO_Movie-Video tutorial - product feedback in Dojo-JA</t>
  </si>
  <si>
    <t>Delivered</t>
  </si>
  <si>
    <t>ED2307-TO_KB-FC-KB-JP Enabling SSO with Azure Active Directory-JA_Update</t>
  </si>
  <si>
    <t>Enabling SSO with Azure Active Directory</t>
  </si>
  <si>
    <t>ED2307-MH_KB-Plugins for Sharing Domo Content-JA</t>
  </si>
  <si>
    <t>ED2307-TO_KB-RFC-KB-JP Domo Governance Datasets Connector-JA_Update</t>
  </si>
  <si>
    <t>Domo Governance Datasets Connector</t>
  </si>
  <si>
    <t>ED2307-TO_KB-RFC-KB-JP Adding a Doc Card to Domo-JA_Update</t>
  </si>
  <si>
    <t>ED2307-TO_KB-RFC-KB-JP Instagram Business Connector-JA_Update</t>
    <phoneticPr fontId="5"/>
  </si>
  <si>
    <t>ED2307-TO_KB-Zendesk FY23-Q2 07-JA_New_Batch-1</t>
  </si>
  <si>
    <t>Intercom OAuth Connector</t>
  </si>
  <si>
    <t>New</t>
  </si>
  <si>
    <t>ED2307-TO_KB-Zendesk FY23-Q2 07-JA_New_Batch-2</t>
  </si>
  <si>
    <t>Agentbox Connector</t>
  </si>
  <si>
    <t>agentbox_connector</t>
  </si>
  <si>
    <t>Databricks AWS Writeback Connector</t>
  </si>
  <si>
    <t>databricks_aws_writeback_connector</t>
  </si>
  <si>
    <t xml:space="preserve">Domo Everywhere: Overview </t>
  </si>
  <si>
    <t>domo_everywhere_overview_</t>
  </si>
  <si>
    <t>Google Analytics V4 Connector</t>
  </si>
  <si>
    <t>google_analytics_v4_connector</t>
  </si>
  <si>
    <t>Governance Toolkit: Schema Management</t>
  </si>
  <si>
    <t>governance_toolkit_schema_management</t>
  </si>
  <si>
    <t>LINE MUSIC Analytics Connector</t>
  </si>
  <si>
    <t>line_music_analytics_connector</t>
  </si>
  <si>
    <t>Microsoft 365 Add-ins Enterprise Installation Guide</t>
  </si>
  <si>
    <t>microsoft_365_add-ins_enterprise_installation_guide</t>
  </si>
  <si>
    <t xml:space="preserve">Microsoft Office Add-ins Installation Guide </t>
  </si>
  <si>
    <t>microsoft_office_add-ins_installation_guide_</t>
  </si>
  <si>
    <t xml:space="preserve">Microsoft Office Add-ins User Guide </t>
  </si>
  <si>
    <t>microsoft_office_add-ins_user_guide_</t>
  </si>
  <si>
    <t>Mindbody Online REST Connector</t>
  </si>
  <si>
    <t>mindbody_online_rest_connector</t>
  </si>
  <si>
    <t>ED2307-TO_KB-Zendesk FY23-Q2 07-JA_New_Batch-3</t>
  </si>
  <si>
    <t>DataSet Copy Connector Access Token Only</t>
  </si>
  <si>
    <t>dataset_copy_connector_access_token_only</t>
  </si>
  <si>
    <t>Domo Everywhere: Customer Creation</t>
  </si>
  <si>
    <t>domo_everywhere_customer_creation</t>
  </si>
  <si>
    <t>Domo Everywhere: Deep Linking and Transformation</t>
  </si>
  <si>
    <t>domo_everywhere_deep_linking_and_transformation</t>
  </si>
  <si>
    <t>Not published properly</t>
    <phoneticPr fontId="5"/>
  </si>
  <si>
    <t>Domo Everywhere: Publish and  Validate</t>
  </si>
  <si>
    <t>domo_everywhere_publish_and__validate</t>
  </si>
  <si>
    <t>Domo Everywhere: Routing, Creation, and Mapping</t>
  </si>
  <si>
    <t>domo_everywhere_routing_creation_and_mapping</t>
  </si>
  <si>
    <t>Kafka SASL Connector</t>
  </si>
  <si>
    <t>kafka_sasl_connector</t>
  </si>
  <si>
    <t>ED2307-TO_KB-Zendesk FY23-Q2 07-JA_New_Batch-3</t>
    <phoneticPr fontId="5"/>
  </si>
  <si>
    <t>Splunk Writeback Connector</t>
  </si>
  <si>
    <t>ED2307-TO_KB-RFC-KB-JP Sharing a DataSet-JA_Update</t>
    <phoneticPr fontId="5"/>
  </si>
  <si>
    <t>JP Sharing a DataSet</t>
  </si>
  <si>
    <t>ED2307-TO_KB-RFC-KB-JP Yahoo! JAPAN Display Ad Network (YDN)-JA_New</t>
    <phoneticPr fontId="5"/>
  </si>
  <si>
    <t>Yahoo! JAPAN Display Ad Network (YDN)</t>
  </si>
  <si>
    <t>ED2307-MH_KB-RFC-KB-JP Jupyter Workspaces-JA_Update</t>
  </si>
  <si>
    <t>Jupyter Workspaces</t>
  </si>
  <si>
    <t>ED2307-TO_KB-Zendesk FY23-Q2 07-JA_New_Batch-4</t>
  </si>
  <si>
    <t>To be relocalized</t>
    <phoneticPr fontId="5"/>
  </si>
  <si>
    <t>magento2_advanced_connector</t>
  </si>
  <si>
    <t>requesting_custom_environments</t>
  </si>
  <si>
    <t>requesting_memory_upgrades</t>
  </si>
  <si>
    <t>ServiceDesk Plus Domo Connector</t>
  </si>
  <si>
    <t>servicedesk_plus_domo_connector</t>
  </si>
  <si>
    <t>ED2307-TO_KB-Zendesk FY23-Q2 07-JA_Update_Batch-1</t>
  </si>
  <si>
    <t>Connecting to QuickBooks Data in Workbench 5.1</t>
  </si>
  <si>
    <t>connecting_to_quickbooks_data_in_workbench_5.1</t>
  </si>
  <si>
    <t>Creating an Adrenaline DataFlow</t>
  </si>
  <si>
    <t>creating_an_adrenaline_dataflow</t>
  </si>
  <si>
    <t>Custom Login Screen</t>
  </si>
  <si>
    <t>custom_login_screen</t>
  </si>
  <si>
    <t>data_center_layout</t>
  </si>
  <si>
    <t>Domo University Knowledge Base Updates</t>
  </si>
  <si>
    <t>domo_university_knowledge_base_updates</t>
  </si>
  <si>
    <t>entrata_v2_connector</t>
  </si>
  <si>
    <t>Google BigQuery Enterprise OAuth Writeback Connector</t>
  </si>
  <si>
    <t>google_bigquery_enterprise_oauth_writeback_connector</t>
  </si>
  <si>
    <t>governance_toolkit_pdp_automation</t>
  </si>
  <si>
    <t>Microsoft Azure Data Lake Gen2 AAD Writeback Connector</t>
  </si>
  <si>
    <t>microsoft_azure_data_lake_gen2_aad_writeback_connector</t>
  </si>
  <si>
    <t>MongoDB Partition Connector</t>
  </si>
  <si>
    <t>mongodb_partition_connector</t>
  </si>
  <si>
    <t>Snowflake Key Pair Authentication Writeback Connector</t>
  </si>
  <si>
    <t>snowflake_key_pair_authentication_writeback_connector</t>
  </si>
  <si>
    <t>Snowflake OAuth Connector</t>
  </si>
  <si>
    <t>snowflake_oauth_connector</t>
  </si>
  <si>
    <t>Snowflake OAuth High Bandwidth With Advanced Partitions Connector</t>
  </si>
  <si>
    <t>snowflake_oauth_high_bandwidth_with_advanced_partitions_connector</t>
  </si>
  <si>
    <t>Snowflake OAuth Unload Connector</t>
  </si>
  <si>
    <t>snowflake_oauth_unload_connector</t>
  </si>
  <si>
    <t>Snowflake OAuth Writeback Connector</t>
  </si>
  <si>
    <t>snowflake_oauth_writeback_connector</t>
  </si>
  <si>
    <t>Webex Domo Connector</t>
  </si>
  <si>
    <t>webex_domo_connector</t>
  </si>
  <si>
    <t>ED2307-TO_KB-Zendesk FY23-Q2 07-JA_Update_Batch-2</t>
  </si>
  <si>
    <t>Adding User Licenses in Domo</t>
  </si>
  <si>
    <t>adding_user_licenses_in_domo</t>
  </si>
  <si>
    <t>creating_and_deleting_pdp_policies</t>
  </si>
  <si>
    <t>Default Security Role Reference</t>
  </si>
  <si>
    <t>default_security_role_reference</t>
  </si>
  <si>
    <t>Disabling Username Autocomplete in the Login Screen</t>
  </si>
  <si>
    <t>disabling_username_autocomplete_in_the_login_screen</t>
  </si>
  <si>
    <t>Managing Access Tokens</t>
  </si>
  <si>
    <t>managing_access_tokens</t>
  </si>
  <si>
    <t>Profile Page Layout</t>
  </si>
  <si>
    <t>profile_page_layout</t>
  </si>
  <si>
    <t>Publication Groups and You: The Not Quite Definitive Primer</t>
  </si>
  <si>
    <t>publication_groups_and_you_the_not_quite_definitive_primer</t>
  </si>
  <si>
    <t>setting_up_publication_groups</t>
  </si>
  <si>
    <t>Snowflake Federated Agent</t>
  </si>
  <si>
    <t>snowflake_federated_agent</t>
  </si>
  <si>
    <t>Specifying Authorized Domains for Invited Users</t>
  </si>
  <si>
    <t>specifying_authorized_domains_for_invited_users</t>
  </si>
  <si>
    <t>Understanding Business-in-a-Box</t>
  </si>
  <si>
    <t>understanding_business-in-a-box</t>
  </si>
  <si>
    <t>ED2307-MH_KB-RFC-KB-JP Adobe Analytics v2 OAuth Partition Connector-JA_Bugfix</t>
  </si>
  <si>
    <t>ED2307-TO_KB-Zendesk FY23-Q2 07-JA_Update_Batch-3</t>
  </si>
  <si>
    <t>Adding and Removing Accessible Content for a Group</t>
  </si>
  <si>
    <t>adding_and_removing_accessible_content_for_a_group</t>
  </si>
  <si>
    <t>Adobe Analytics Dashboard App</t>
  </si>
  <si>
    <t>adobe_analytics_dashboard_app</t>
  </si>
  <si>
    <t>Amazon S3 AssumeRole Connector</t>
  </si>
  <si>
    <t>amazon_s3_assumerole_connector</t>
  </si>
  <si>
    <t>BambooHR Dashboard App</t>
  </si>
  <si>
    <t>bamboohr_dashboard_app</t>
  </si>
  <si>
    <t>Changing User Information</t>
  </si>
  <si>
    <t>changing_user_information</t>
  </si>
  <si>
    <t>CNN Dashboard App</t>
  </si>
  <si>
    <t>cnn_dashboard_app</t>
  </si>
  <si>
    <t>CSV SFTP Pull Connector</t>
  </si>
  <si>
    <t>csv_sftp_pull_connector</t>
  </si>
  <si>
    <t>DataSet Copy Connector</t>
  </si>
  <si>
    <t>dataset_copy_connector</t>
  </si>
  <si>
    <t>Domo ODBC Data Driver</t>
  </si>
  <si>
    <t>domo_odbc_data_driver</t>
  </si>
  <si>
    <t>Google BigQuery Service Connector</t>
  </si>
  <si>
    <t>google_bigquery_service_connector</t>
  </si>
  <si>
    <t>Google Sheets Writeback Connector</t>
  </si>
  <si>
    <t>google_sheets_writeback_connector</t>
  </si>
  <si>
    <t>Inviting Others to Join Domo</t>
  </si>
  <si>
    <t>inviting_others_to_join_domo</t>
  </si>
  <si>
    <t>Marketo Dashboard App</t>
  </si>
  <si>
    <t>marketo_dashboard_app</t>
  </si>
  <si>
    <t>Microsoft OneDrive for Business Connector</t>
  </si>
  <si>
    <t>microsoft_onedrive_for_business_connector</t>
  </si>
  <si>
    <t>Microsoft Sharepoint Online REST Connector</t>
  </si>
  <si>
    <t>microsoft_sharepoint_online_rest_connector</t>
  </si>
  <si>
    <t>NetSuite Connector</t>
  </si>
  <si>
    <t>netsuite_connector</t>
  </si>
  <si>
    <t>Removing Users from Domo</t>
  </si>
  <si>
    <t>removing_users_from_domo</t>
  </si>
  <si>
    <t>SAP HANA Connector</t>
  </si>
  <si>
    <t>sap_hana_connector</t>
  </si>
  <si>
    <t>Sharing Content Using Slideshows</t>
  </si>
  <si>
    <t>sharing_content_using_slideshows</t>
  </si>
  <si>
    <t>Snowflake Connector</t>
  </si>
  <si>
    <t>snowflake_connector</t>
  </si>
  <si>
    <t>Snowflake Unload V2 Connector</t>
  </si>
  <si>
    <t>snowflake_unload_v2_connector</t>
  </si>
  <si>
    <t>Using the Domo Excel Plugin</t>
  </si>
  <si>
    <t>Webforms Connector</t>
  </si>
  <si>
    <t>webforms_connector</t>
  </si>
  <si>
    <t>Workbench 5 Overview</t>
  </si>
  <si>
    <t>workbench_5_overview</t>
  </si>
  <si>
    <t>FY23Q3-08</t>
    <phoneticPr fontId="5"/>
  </si>
  <si>
    <t>ED2308-TO_KB-Zendesk FY23-Q3 08-JA_Update_Batch-4</t>
  </si>
  <si>
    <t>Alchemer Connector</t>
  </si>
  <si>
    <t>alchemer_connector</t>
  </si>
  <si>
    <t>alert_center_layout</t>
  </si>
  <si>
    <t>Amazon Athena/Amazon Athena JDBC 2.0 Connector</t>
  </si>
  <si>
    <t>amazon_athenaamazon_athena_jdbc_2.0_connector</t>
  </si>
  <si>
    <t>Amazon MWS Connector</t>
  </si>
  <si>
    <t>amazon_mws_connector</t>
  </si>
  <si>
    <t>Amazon Redshift v1 Connector</t>
  </si>
  <si>
    <t>amazon_redshift_v1_connector</t>
  </si>
  <si>
    <t>Bing Ads Connector</t>
  </si>
  <si>
    <t>bing_ads_connector</t>
  </si>
  <si>
    <t>Certifying Cards and DataSets</t>
  </si>
  <si>
    <t>certifying_cards_and_datasets</t>
  </si>
  <si>
    <t>Constant Contact Connector</t>
  </si>
  <si>
    <t>constant_contact_connector</t>
  </si>
  <si>
    <t>Google BigQuery Connector</t>
  </si>
  <si>
    <t>google_bigquery_connector</t>
  </si>
  <si>
    <t>Google Cloud Storage Service Connector</t>
  </si>
  <si>
    <t>google_cloud_storage_service_connector</t>
  </si>
  <si>
    <t>IBM DB2 Connector</t>
  </si>
  <si>
    <t>ibm_db2_connector</t>
  </si>
  <si>
    <t>MongoDB Connector</t>
  </si>
  <si>
    <t>mongodb_connector</t>
  </si>
  <si>
    <t>MySQL Connector</t>
  </si>
  <si>
    <t>mysql_connector</t>
  </si>
  <si>
    <t>NetSuite App TBA Connector</t>
  </si>
  <si>
    <t>netsuite_app_tba_connector</t>
  </si>
  <si>
    <t>postgresql_connector</t>
  </si>
  <si>
    <t>Projects and Tasks Layout</t>
  </si>
  <si>
    <t>projects_and_tasks_layout</t>
  </si>
  <si>
    <t>Qualtrics Connector</t>
  </si>
  <si>
    <t>qualtrics_connector</t>
  </si>
  <si>
    <t>Salesforce Connector</t>
  </si>
  <si>
    <t>salesforce_connector</t>
  </si>
  <si>
    <t>Salesforce ExactTarget Connector</t>
  </si>
  <si>
    <t>salesforce_exacttarget_connector</t>
  </si>
  <si>
    <t>Salesforce Pardot Connector</t>
  </si>
  <si>
    <t>salesforce_pardot_connector</t>
  </si>
  <si>
    <t>Setting the Expected Update Frequency for a DataSet</t>
  </si>
  <si>
    <t>setting_the_expected_update_frequency_for_a_dataset</t>
  </si>
  <si>
    <t>Sprinklr Advanced Connector</t>
  </si>
  <si>
    <t>sprinklr_advanced_connector</t>
  </si>
  <si>
    <t>Square Connector</t>
  </si>
  <si>
    <t>square_connector</t>
  </si>
  <si>
    <t>Workfront Connector</t>
  </si>
  <si>
    <t>workfront_connector</t>
  </si>
  <si>
    <t>Yahoo! Japan Search Ads Connector</t>
  </si>
  <si>
    <t>yahoo_japan_search_ads_connector</t>
  </si>
  <si>
    <t>YouTube Reporting Enterprise Connector</t>
  </si>
  <si>
    <t>youtube_reporting_enterprise_connector</t>
  </si>
  <si>
    <t>Applying and Resetting Chart Properties</t>
  </si>
  <si>
    <t>applying_and_resetting_chart_properties</t>
  </si>
  <si>
    <t>Available Data Science Charts</t>
  </si>
  <si>
    <t>available_data_science_charts</t>
  </si>
  <si>
    <t>Available Gauges</t>
  </si>
  <si>
    <t>available_gauges</t>
  </si>
  <si>
    <t>Available Maps</t>
  </si>
  <si>
    <t>available_maps</t>
  </si>
  <si>
    <t>custom_charts</t>
  </si>
  <si>
    <t>Face Gauge</t>
  </si>
  <si>
    <t>face_gauge</t>
  </si>
  <si>
    <t>Filled Gauge</t>
  </si>
  <si>
    <t>filled_gauge</t>
  </si>
  <si>
    <t>Filtering Data in a Card Details View</t>
  </si>
  <si>
    <t>filtering_data_in_a_card_details_view</t>
  </si>
  <si>
    <t>Heat Map</t>
  </si>
  <si>
    <t>heat_map</t>
  </si>
  <si>
    <t>Latitude-Longitude Map</t>
  </si>
  <si>
    <t>latitude-longitude_map</t>
  </si>
  <si>
    <t>Line Chart</t>
  </si>
  <si>
    <t>line_chart</t>
  </si>
  <si>
    <t>pivot_table</t>
  </si>
  <si>
    <t>Powering a Visualization Card with Data</t>
  </si>
  <si>
    <t>powering_a_visualization_card_with_data</t>
  </si>
  <si>
    <t>Progress Bar Gauge</t>
  </si>
  <si>
    <t>progress_bar_gauge</t>
  </si>
  <si>
    <t>radial_gauge</t>
  </si>
  <si>
    <t>Scatter Plot Chart</t>
  </si>
  <si>
    <t>scatter_plot_chart</t>
  </si>
  <si>
    <t>U.S. County/U.S. State Map</t>
  </si>
  <si>
    <t>u.s._countyu.s._state_map</t>
  </si>
  <si>
    <t>Understanding Chart Data</t>
  </si>
  <si>
    <t>understanding_chart_data</t>
  </si>
  <si>
    <t>Word Cloud Chart</t>
  </si>
  <si>
    <t>word_cloud_chart</t>
  </si>
  <si>
    <t>World Map</t>
  </si>
  <si>
    <t>world_map</t>
  </si>
  <si>
    <t>ED2308-TO_KB-RFC-KB-JP Admin Settings Layout-JA_Update</t>
  </si>
  <si>
    <t>ED2308-TO_KB-RFC-KB-JP Governance Toolkit PDP Automation-JA_Update</t>
    <phoneticPr fontId="5"/>
  </si>
  <si>
    <t>ED2308-MH_KB-Beast Mode FIXED Functions-JA_Update</t>
  </si>
  <si>
    <t>beast_mode_fixed_functions</t>
  </si>
  <si>
    <t>ED2308-TO_KB-Edit the Mobile Layout -JA_Update</t>
    <phoneticPr fontId="5"/>
  </si>
  <si>
    <t>Edit the Mobile Layout</t>
  </si>
  <si>
    <t>edit_the_mobile_layout</t>
  </si>
  <si>
    <t>ED2308-MH_KB-RFC-KB-JP Magic ETL Tiles: Scripting-JA_Update</t>
  </si>
  <si>
    <t>Magic ETL Tiles: Scripting</t>
  </si>
  <si>
    <t>ED2308-MH_KB-Beast Mode FIXED Functions-JA_Update_2</t>
  </si>
  <si>
    <t>FY23Q3-10</t>
    <phoneticPr fontId="5"/>
  </si>
  <si>
    <t>ED2309-TO_KB-RFC-KB-JP Governance Toolkit User Management-JA_New</t>
    <phoneticPr fontId="5"/>
  </si>
  <si>
    <t>Governance Toolkit User Management</t>
  </si>
  <si>
    <t>ED2308-MH_KB-RFC-KB-JP Generating a List of Users-JA_New</t>
  </si>
  <si>
    <t>Generating a List of Users</t>
  </si>
  <si>
    <t>ED2309-TO_KB-RFC-KB-JP DataSet via Email Connector-JA_Update</t>
    <phoneticPr fontId="5"/>
  </si>
  <si>
    <t>FY23Q3-09</t>
    <phoneticPr fontId="5"/>
  </si>
  <si>
    <t>ED2309-MH_KB-KB Bugs reporeted by Hiro-JA_Bugfix</t>
  </si>
  <si>
    <t>Country Map</t>
  </si>
  <si>
    <t>ED2308-TO_KB-Zendesk FY23-Q3 08-JA_Update_Batch-6</t>
  </si>
  <si>
    <t>Drilling into Data</t>
  </si>
  <si>
    <t>Adding Chart Annotations</t>
  </si>
  <si>
    <t>Understanding Pages</t>
  </si>
  <si>
    <t>Bubble Chart (Deprecated)</t>
  </si>
  <si>
    <t>Domo Mobile Best Practices</t>
  </si>
  <si>
    <t>Calendar</t>
  </si>
  <si>
    <t>Scheduling DataFlows</t>
  </si>
  <si>
    <t>Viewing the Version History for a DataFlow</t>
  </si>
  <si>
    <t>Old Magic ETL Tiles: Scripting</t>
  </si>
  <si>
    <t>ED2308-TO_KB-Zendesk FY23-Q3 08-JA_Update_Batch-7</t>
  </si>
  <si>
    <t>Old Magic ETL Tiles: Data Science</t>
  </si>
  <si>
    <t>Old Magic ETL Tiles: Combine Data</t>
  </si>
  <si>
    <t>Old Magic ETL Tiles: DataSets</t>
  </si>
  <si>
    <t>Scheduling a Magic ETL DataFlow</t>
  </si>
  <si>
    <t>ED2308-TO_KB-Zendesk FY23-Q3 08-JA_Update_Batch-7</t>
    <phoneticPr fontId="5"/>
  </si>
  <si>
    <t>Old Magic ETL Tiles: Edit Data</t>
  </si>
  <si>
    <t>Old Magic ETL Tiles: Edit Columns</t>
  </si>
  <si>
    <t>FY23Q3-08</t>
  </si>
  <si>
    <t>Enhancing Your Goals</t>
  </si>
  <si>
    <t>DomoStats - Projects and Tasks</t>
  </si>
  <si>
    <t>ED2309-TO_KB-Zendesk FY23-Q3 08-JA_Update_Batch-8</t>
  </si>
  <si>
    <t>Sharing Cards and Dashboards Outside of Domo Using Domo Embed</t>
  </si>
  <si>
    <t>ED2309-TO_KB-Zendesk FY23-Q3 08-JA_Update_Batch-8</t>
    <phoneticPr fontId="5"/>
  </si>
  <si>
    <t>Understanding the Workbench 5 User Interface</t>
  </si>
  <si>
    <t>Creating a SQL DataFlow</t>
  </si>
  <si>
    <t>DomoStats - DataSets and DataFlows</t>
  </si>
  <si>
    <t>Assigning a Security Role to a User</t>
  </si>
  <si>
    <t>Removing an Installed App</t>
  </si>
  <si>
    <t>Workbench 5 FAQs</t>
  </si>
  <si>
    <t>Windowing Functions in Beast Mode</t>
  </si>
  <si>
    <t>Properties for Line Charts</t>
  </si>
  <si>
    <t>Viewing the Lineage of a DataSet in Analyzer</t>
  </si>
  <si>
    <t>ED2308-TO_KB-Zendesk FY23-Q3 08-JA_Update_Batch-9</t>
  </si>
  <si>
    <t>Specifying Worklog Settings</t>
  </si>
  <si>
    <t>Enabling SSO with Active Directory Federation Services</t>
  </si>
  <si>
    <t>Rating an Appstore App</t>
  </si>
  <si>
    <t>Creating and Assigning Project Tasks</t>
  </si>
  <si>
    <t>Deleting Cards from Domo</t>
  </si>
  <si>
    <t>Enabling SSO with Salesforce.com</t>
  </si>
  <si>
    <t>Workbench 5 Training Topics</t>
  </si>
  <si>
    <t>Creating an Alert for a DataSet</t>
  </si>
  <si>
    <t>Properties for Maps</t>
  </si>
  <si>
    <t>ED2308-TO_KB-Zendesk FY23-Q3 08-JA_Update_Batch-10</t>
  </si>
  <si>
    <t>Enabling SSO with OpenID Connect</t>
  </si>
  <si>
    <t>Installing Workbench 5</t>
  </si>
  <si>
    <t>Adding Company Pages</t>
  </si>
  <si>
    <t>Updating Your Workbench 5</t>
  </si>
  <si>
    <t>Creating a Map with Regions</t>
  </si>
  <si>
    <t>ED2308-TO_KB-Zendesk FY23-Q3 08-JA_Update_Batch-10</t>
    <phoneticPr fontId="5"/>
  </si>
  <si>
    <t>Setting Your Time Zone and Regional Formatting</t>
  </si>
  <si>
    <t>Enabling SSO with Google</t>
  </si>
  <si>
    <t>Rolling Back from Workbench 5 to Workbench 4 on ODBC Jobs with Connection Parameters</t>
  </si>
  <si>
    <t>ED2308-TO_KB-Zendesk FY23-Q3 08-JA_Update_Batch-11</t>
  </si>
  <si>
    <t>Troubleshooting</t>
  </si>
  <si>
    <t>Editing the Column Header Labels for Your Chart Table View</t>
  </si>
  <si>
    <t>Editing the Name or Description of a Visualization Card</t>
  </si>
  <si>
    <t>Setting Notifications in Workbench 5</t>
  </si>
  <si>
    <t>New Magic ETL Tiles: Performance</t>
  </si>
  <si>
    <t>ED2309-TO_KB-Zendesk FY23-Q3 08-JA_Update_Batch-12</t>
    <phoneticPr fontId="5"/>
  </si>
  <si>
    <t>Configuring Your Chart Summary Number</t>
  </si>
  <si>
    <t>ED2309-TO_KB-Zendesk FY23-Q3 08-JA_Update_Batch-12</t>
  </si>
  <si>
    <t>Changing a Card Owner</t>
  </si>
  <si>
    <t>Sample Beast Mode Calculations</t>
  </si>
  <si>
    <t>Projecting the Last Value in Your Chart</t>
  </si>
  <si>
    <t>Supported Functions in the Magic ETL</t>
  </si>
  <si>
    <t>Date Format Specifier Characters for Beast Mode</t>
  </si>
  <si>
    <t>Connecting to QuickBooks Data in Workbench 5</t>
  </si>
  <si>
    <t>Adding Scale Markers to Your Charts</t>
    <phoneticPr fontId="5"/>
  </si>
  <si>
    <t>Duplicating Cards ("Save As")</t>
  </si>
  <si>
    <t>Moving or Copying Cards to Other Pages</t>
  </si>
  <si>
    <t>Replacing a Column Value in Workbench 5</t>
  </si>
  <si>
    <t>Setting a Custom Date Format on a Column in Workbench 5</t>
  </si>
  <si>
    <t>ED2309-MH_KB-Using a Fiscal Calendar-JA_Bugfix</t>
  </si>
  <si>
    <t>ED2309-MH_KB-Country Map-JA_Bugfix</t>
  </si>
  <si>
    <t>ED2309-TO_KB-Community Built Connectors-JA_Update</t>
    <phoneticPr fontId="5"/>
  </si>
  <si>
    <t>Community Built Connectors</t>
  </si>
  <si>
    <t>ED2309-TO_KB-RFC-KB-JP Google Drive Service Connector-JA_Update</t>
    <phoneticPr fontId="5"/>
  </si>
  <si>
    <t>ED2309-TO_KB-RFC-KB-JP Table Chart-JA_Update</t>
    <phoneticPr fontId="5"/>
  </si>
  <si>
    <t>ED2309-TO_KB-RFC-KB-JP Available Table-Type Charts-JA_Update</t>
    <phoneticPr fontId="5"/>
  </si>
  <si>
    <t>Available Table-Type Charts</t>
  </si>
  <si>
    <t>ED2309-MH_KB-RFC-KB-JP Current Release Notes-JA_Update</t>
  </si>
  <si>
    <t>Current Release Notes</t>
  </si>
  <si>
    <t>ED2309-TO_KB-Behavior Changes and Feature Updates in Magic ETL-JA_Update</t>
    <phoneticPr fontId="5"/>
  </si>
  <si>
    <t>ED2309-TO_KB-Requesting Access to an App-JA_Update</t>
    <phoneticPr fontId="5"/>
  </si>
  <si>
    <t>ED2309-TO_KB-Adding a Doc Card to Domo-JA_Bugfix</t>
    <phoneticPr fontId="5"/>
  </si>
  <si>
    <r>
      <t xml:space="preserve">リンク先の誤り：For more information about resizing and moving Cards, see </t>
    </r>
    <r>
      <rPr>
        <sz val="11"/>
        <color rgb="FFFF0000"/>
        <rFont val="游ゴシック"/>
        <family val="3"/>
        <charset val="128"/>
        <scheme val="minor"/>
      </rPr>
      <t>Managing Cards and Pages. カードのサイズ変更や移動に関する詳細は、「ページ内でカードのサイズを変更する」を参照してください</t>
    </r>
    <rPh sb="3" eb="4">
      <t>サキ</t>
    </rPh>
    <rPh sb="5" eb="6">
      <t>アヤマ</t>
    </rPh>
    <phoneticPr fontId="5"/>
  </si>
  <si>
    <t>FY23Q3-09</t>
  </si>
  <si>
    <t>ED2309-TO_KB-Support-KCS RFC-KB-JP Scheduling Reports-JA</t>
    <phoneticPr fontId="5"/>
  </si>
  <si>
    <t>Scheduling Reports</t>
  </si>
  <si>
    <t>ED2309-TO_KB-Support-KCS RFC-KB-JP Creating and Managing User Groups-JA</t>
  </si>
  <si>
    <t>Creating and Managing User Groups</t>
  </si>
  <si>
    <t>ED2309-TO_KB-Support-KCS RFC-KB-JP Viewing DataFlow Details-JA</t>
  </si>
  <si>
    <t>Viewing DataFlow Details</t>
  </si>
  <si>
    <t>ED2309-TO_KB-Support-Pivot Table-JA</t>
  </si>
  <si>
    <t>Duplicate</t>
    <phoneticPr fontId="5"/>
  </si>
  <si>
    <t>ED2309-TO_KB-Support-Behavior Changes and Feature Updates in Magic ETL-JA</t>
    <phoneticPr fontId="5"/>
  </si>
  <si>
    <t>ED2309-MH_KB-Support-Supported Functions in Magic ETL-JA</t>
    <phoneticPr fontId="5"/>
  </si>
  <si>
    <t>ED2309-TO_KB-Support-Amazon S3 Connector-JA</t>
  </si>
  <si>
    <t>ED2309-TO_KB-Support-Formatting Data Label and Hover Text in Your Chart-JA</t>
    <phoneticPr fontId="5"/>
  </si>
  <si>
    <t>ED2309-MH_KB-Support-Adding an Account in Workbench 5.1-JA</t>
  </si>
  <si>
    <t>ICE match volume 0 - Issue reported by Support</t>
    <phoneticPr fontId="5"/>
  </si>
  <si>
    <t>ED2309-TO_KB-Zendesk FY23-Q3 09-JA_New_Batch-1</t>
  </si>
  <si>
    <t>Amazon Redshift Domo Managed Unload</t>
  </si>
  <si>
    <t>amazon_redshift_domo_managed_unload</t>
  </si>
  <si>
    <t>Amazon Vendor Partner Connector</t>
  </si>
  <si>
    <t>amazon_vendor_partner_connector</t>
  </si>
  <si>
    <t>appdb_admin_user_interface</t>
  </si>
  <si>
    <t>Aurora Connector</t>
  </si>
  <si>
    <t>aurora_connector</t>
  </si>
  <si>
    <t>Box</t>
  </si>
  <si>
    <t>box</t>
  </si>
  <si>
    <t>Box file Watch</t>
  </si>
  <si>
    <t>box_file_watch</t>
  </si>
  <si>
    <t>CDK Global Connector</t>
  </si>
  <si>
    <t>cdk_global_connector</t>
  </si>
  <si>
    <t>Coupa OAuth Connector</t>
  </si>
  <si>
    <t>coupa_oauth_connector</t>
  </si>
  <si>
    <t>Dataset Copy Advanced Connector</t>
  </si>
  <si>
    <t>dataset_copy_advanced_connector</t>
  </si>
  <si>
    <t>governance_toolkit_observability_metrics</t>
  </si>
  <si>
    <t>Handling Memory Limits with Python and R Scripting Tiles in Magic ETL v2</t>
  </si>
  <si>
    <t>handling_memory_limits_with_python_and_r_scripting_tiles_in_magic_etl_v2</t>
  </si>
  <si>
    <t>IBM DB2 Partition Connector</t>
  </si>
  <si>
    <t>ibm_db2_partition_connector</t>
  </si>
  <si>
    <t>QuickBooks Connector</t>
  </si>
  <si>
    <t>quickbooks_connector</t>
  </si>
  <si>
    <t>Webex REST Connector</t>
  </si>
  <si>
    <t>webex_rest_connector</t>
  </si>
  <si>
    <t>ED2309-TO_KB-Zendesk FY23-Q3 09-JA_New_Batch-2</t>
  </si>
  <si>
    <t>Amazon Selling Partner</t>
  </si>
  <si>
    <t>amazon_selling_partner</t>
  </si>
  <si>
    <t>Anaplan Audit Service Advanced Connector</t>
  </si>
  <si>
    <t>anaplan_audit_service_advanced_connector</t>
  </si>
  <si>
    <t>ApacheImpala Connector</t>
  </si>
  <si>
    <t>apacheimpala_connector</t>
  </si>
  <si>
    <t>AzureIotHub Connector</t>
  </si>
  <si>
    <t>azureiothub_connector</t>
  </si>
  <si>
    <t>Couchbase connector</t>
  </si>
  <si>
    <t>couchbase_connector</t>
  </si>
  <si>
    <t>CSV SFTP Traverse Connector</t>
  </si>
  <si>
    <t>csv_sftp_traverse_connector</t>
  </si>
  <si>
    <t>Databricks using Personal Access Token Authentication</t>
  </si>
  <si>
    <t>databricks_using_personal_access_token_authentication</t>
  </si>
  <si>
    <t>GitHub Enterprise</t>
  </si>
  <si>
    <t>github_enterprise_</t>
  </si>
  <si>
    <t>Managing Performance and Costs for Federated Adapters and Multi-Cloud</t>
  </si>
  <si>
    <t>managing_performance_and_costs_for_federated_adapters_and_multi-cloud</t>
  </si>
  <si>
    <t>variables_overview</t>
  </si>
  <si>
    <t>ED2309-TO_KB-Zendesk FY23-Q3 09-JA_New_Batch-3</t>
  </si>
  <si>
    <t>Amazon Kendra Connector</t>
  </si>
  <si>
    <t>amazon_kendra_connector</t>
  </si>
  <si>
    <t>Amazon public datasets Connector</t>
  </si>
  <si>
    <t>amazon_public_datasets_connector</t>
  </si>
  <si>
    <t>Amazon S3 Advanced Multipart Connector</t>
  </si>
  <si>
    <t>amazon_s3_advanced_multipart_connector</t>
  </si>
  <si>
    <t>Amazon S3 Analytics Assume Role Connector</t>
  </si>
  <si>
    <t>amazon_s3_analytics_assume_role_connector</t>
  </si>
  <si>
    <t>Amazon S3 Analytics Connector</t>
  </si>
  <si>
    <t>amazon_s3_analytics_connector</t>
  </si>
  <si>
    <t>freee third party connector</t>
  </si>
  <si>
    <t>freee_third_party_connector</t>
  </si>
  <si>
    <t>Google Analytics 4 connector</t>
  </si>
  <si>
    <t>google_analytics_4_connector</t>
  </si>
  <si>
    <t>Jupyter Workspace: Compute Tier Limits</t>
  </si>
  <si>
    <t>jupyter_workspace_compute_tier_limits</t>
  </si>
  <si>
    <t>Microsoft SQL Server Writeback connector</t>
  </si>
  <si>
    <t>microsoft_sql_server_writeback_connector</t>
  </si>
  <si>
    <t>URL Parameters for Embedded Content</t>
  </si>
  <si>
    <t>url_parameters_for_embedded_content</t>
  </si>
  <si>
    <t>ED2309-TO_KB-Zendesk FY23-Q3 09-JA_New_Batch-4</t>
  </si>
  <si>
    <t>Faceted Bar Chart</t>
  </si>
  <si>
    <t>faceted_bar_chart</t>
  </si>
  <si>
    <t>intercom_oauth_connector</t>
  </si>
  <si>
    <t>Migrating from Workbench 4 to Workbench 5: Troubleshooting Guide</t>
  </si>
  <si>
    <t>migrating_from_workbench_4_to_workbench_5_troubleshooting_guide</t>
  </si>
  <si>
    <t>Risk Heat Map</t>
  </si>
  <si>
    <t>risk_heat_map</t>
  </si>
  <si>
    <t>ED2309-TO_KB-Zendesk FY23-Q3 09-JA_New_Batch-5</t>
  </si>
  <si>
    <t>Domo Connector for Sansan</t>
  </si>
  <si>
    <t>domo_connector_for_sansan</t>
  </si>
  <si>
    <t>Weathernews Connector</t>
  </si>
  <si>
    <t>weathernews_connector</t>
  </si>
  <si>
    <t>ED2309-TO_KB-Zendesk FY23-Q3 09-JA_Update_Batch-1</t>
  </si>
  <si>
    <t>gBizINFO Connector</t>
  </si>
  <si>
    <t>gbizinfo_connector</t>
  </si>
  <si>
    <t>seismic_connector_for_direct_sign-on</t>
  </si>
  <si>
    <t>governance_toolkit_group_management</t>
  </si>
  <si>
    <t>magic_etl_scripting_tile_environments</t>
  </si>
  <si>
    <t>Multi Radial Progress Gauge</t>
  </si>
  <si>
    <t>multi_radial_progress_gauge</t>
  </si>
  <si>
    <t>mysql_advanced_writeback_connector</t>
  </si>
  <si>
    <t>officernd_connector</t>
  </si>
  <si>
    <t>Radial Progress Gauge</t>
  </si>
  <si>
    <t>radial_progress_gauge</t>
  </si>
  <si>
    <t>Troubleshooting Scripting Tiles Memory Errors</t>
  </si>
  <si>
    <t>troubleshooting_scripting_tiles_memory_errors</t>
  </si>
  <si>
    <t>Waffle Gauge</t>
  </si>
  <si>
    <t>waffle_gauge</t>
  </si>
  <si>
    <t>ED2310-TO_KB-Understanding Form Response Data-JA</t>
    <phoneticPr fontId="5"/>
  </si>
  <si>
    <t>ED2310-TO_KB-Zendesk FY23-Q3 10-JA_Batch-3</t>
  </si>
  <si>
    <t>adding a goal line to your chart</t>
  </si>
  <si>
    <t>adding_a_goal_line_to_your_chart</t>
  </si>
  <si>
    <t>adding a poll card to domo</t>
  </si>
  <si>
    <t>adding_a_poll_card_to_domo</t>
  </si>
  <si>
    <t>adding a task list to a project</t>
  </si>
  <si>
    <t>adding_a_task_list_to_a_project</t>
  </si>
  <si>
    <t>adding and designing pages in coursebuilder</t>
  </si>
  <si>
    <t>adding_and_designing_pages_in_coursebuilder</t>
  </si>
  <si>
    <t>adding or changing your profile picture</t>
  </si>
  <si>
    <t>adding_or_changing_your_profile_picture</t>
  </si>
  <si>
    <t>adding scale labels to your charts</t>
  </si>
  <si>
    <t>adding_scale_labels_to_your_charts</t>
  </si>
  <si>
    <t>TO</t>
    <phoneticPr fontId="5"/>
  </si>
  <si>
    <t>October 2022 Release Documentation - Japanese</t>
    <phoneticPr fontId="5"/>
  </si>
  <si>
    <t>appdb admin user interface</t>
  </si>
  <si>
    <t>domo sandbox</t>
  </si>
  <si>
    <t>duplicating a job in workbench 5.2</t>
  </si>
  <si>
    <t>duplicating_a_job_in_workbench_5.2</t>
  </si>
  <si>
    <t>form builder app</t>
  </si>
  <si>
    <t>form_builder_app</t>
  </si>
  <si>
    <t>governance toolkit observability metrics</t>
  </si>
  <si>
    <t>governance toolkit triggered reports</t>
  </si>
  <si>
    <t>governance_toolkit_triggered_reports</t>
  </si>
  <si>
    <t>jupyter workspaces</t>
  </si>
  <si>
    <t>jupyter_workspaces</t>
  </si>
  <si>
    <t>multi-cloud support in workbench 5.2</t>
  </si>
  <si>
    <t>multi-cloud_support_in_workbench_5.2</t>
  </si>
  <si>
    <t>publishing content to a subscriber organization</t>
  </si>
  <si>
    <t>publishing_content_to_a_subscriber_organization</t>
  </si>
  <si>
    <t>setting password requirements</t>
  </si>
  <si>
    <t>sharing content outside of domo with embed</t>
  </si>
  <si>
    <t>sharing_content_outside_of_domo_with_embed</t>
  </si>
  <si>
    <t>using story presentation mode</t>
  </si>
  <si>
    <t>using_story_presentation_mode</t>
  </si>
  <si>
    <t>variables overview</t>
  </si>
  <si>
    <t>October 2022 Release Notes - Japanese</t>
  </si>
  <si>
    <t>release_notes_staging</t>
  </si>
  <si>
    <t>ED2310-TO_KB-Zendesk FY23-Q3 10-JA_Batch-1</t>
  </si>
  <si>
    <t>adding cards as favorites</t>
  </si>
  <si>
    <t>Update</t>
    <phoneticPr fontId="10"/>
  </si>
  <si>
    <t>ED2310-TO_KB-Zendesk FY23-Q3 10-JA_Batch-2</t>
  </si>
  <si>
    <t>domo everywhere routing creation and mapping</t>
  </si>
  <si>
    <t>domostats connector</t>
  </si>
  <si>
    <t>magic etl tiles data science</t>
  </si>
  <si>
    <t>old magic etl tiles data science</t>
  </si>
  <si>
    <t>aws domo verizon iot pipeline</t>
  </si>
  <si>
    <t>ED2310-TO_KB-Zendesk FY23-Q3 10-JA_Batch-4</t>
    <phoneticPr fontId="5"/>
  </si>
  <si>
    <t>balance sheet assets app</t>
  </si>
  <si>
    <t>capex budgets and actuals app</t>
  </si>
  <si>
    <t>ED2310-TO_KB-Zendesk FY23-Q3 10-JA_Batch-4</t>
  </si>
  <si>
    <t>connecting to sage 300 data in domo</t>
  </si>
  <si>
    <t>days of inventory app</t>
  </si>
  <si>
    <t>deprecated chart properties</t>
  </si>
  <si>
    <t>domo architecture</t>
  </si>
  <si>
    <t>programmatic revenue</t>
  </si>
  <si>
    <t>sales leaderboard app</t>
  </si>
  <si>
    <t>talent pipeline implementation guide</t>
  </si>
  <si>
    <t>ED2310-TO_KB-Zendesk FY23-Q3 10-JA_Batch-5</t>
    <phoneticPr fontId="5"/>
  </si>
  <si>
    <t>Competitive Momentum Implementation Guide</t>
  </si>
  <si>
    <t>ED2310-TO_KB-Zendesk FY23-Q3 10-JA_Batch-5</t>
  </si>
  <si>
    <t>Digital Traffic App</t>
  </si>
  <si>
    <t>Filter Map App</t>
  </si>
  <si>
    <t>Google Analytics Insights App</t>
  </si>
  <si>
    <t>Google Analytics Revenue &amp; Goals App</t>
  </si>
  <si>
    <t>Google Maps Pinboard App</t>
  </si>
  <si>
    <t>Google Plus QuickStart App</t>
  </si>
  <si>
    <t>Hubspot QuickStart App</t>
  </si>
  <si>
    <t>Instagram QuickStart App</t>
  </si>
  <si>
    <t>Lead Engagement Lite App</t>
  </si>
  <si>
    <t>LinkedIn QuickStart App</t>
  </si>
  <si>
    <t>Marketing Attribution App</t>
  </si>
  <si>
    <t>Social Index App</t>
  </si>
  <si>
    <t>Social Performance</t>
  </si>
  <si>
    <t>Writing Amazon Kinesis Data to Domo</t>
  </si>
  <si>
    <t>ED2310-TO_KB-Zendesk FY23-Q3 10-JA_Batch-6</t>
  </si>
  <si>
    <t>Accounts Payable Trend App - SolutionStream</t>
  </si>
  <si>
    <t>Adding Missing Dates to Your Data</t>
  </si>
  <si>
    <t>AppStats for Mobile App</t>
  </si>
  <si>
    <t>Available Pie-Type Charts</t>
  </si>
  <si>
    <t>CA Agile Central QuickStart App</t>
  </si>
  <si>
    <t>Connecting to InContact Echo Data in Domo</t>
  </si>
  <si>
    <t>Forecast Variance App</t>
  </si>
  <si>
    <t>Foursquare QuickStart App</t>
  </si>
  <si>
    <t>Installing Drivers for Hyperion/Essbase</t>
  </si>
  <si>
    <t>Managing Plugins in Workbench 5</t>
  </si>
  <si>
    <t>Marketing Attribution Implementation Guide</t>
  </si>
  <si>
    <t>Marketing ROI Implementation Guide</t>
  </si>
  <si>
    <t>Opportunity Center Implementation Guide</t>
  </si>
  <si>
    <t>Pipedrive QuickStart App</t>
  </si>
  <si>
    <t>Sales Leaderboard Implementation Guide</t>
  </si>
  <si>
    <t>Salesforce Pardot QuickStart App</t>
  </si>
  <si>
    <t>Strava QuickStart App</t>
  </si>
  <si>
    <t>SurveyGizmo QuickStart App</t>
  </si>
  <si>
    <t>Talent Pipeline App</t>
  </si>
  <si>
    <t>Updating Scripts That Access Domo</t>
  </si>
  <si>
    <t>FY23Q4-11</t>
    <phoneticPr fontId="5"/>
  </si>
  <si>
    <t>ED2311-TO_App-October Release Update - Japanese-JA</t>
    <phoneticPr fontId="5"/>
  </si>
  <si>
    <t>October 2022 Release Update-CB</t>
  </si>
  <si>
    <t>ED2311-TO_App-October Release Update - Japanese-JA</t>
  </si>
  <si>
    <t>Sharing and presenting Domo Data-CB</t>
  </si>
  <si>
    <t>Admin Settings Overview-CB</t>
  </si>
  <si>
    <t>Creating Jobs in Workbench-CB</t>
  </si>
  <si>
    <t>Creating Simple Beast Mode Calculations-CB</t>
  </si>
  <si>
    <t>ED2310-MH_KB-Support-Data Center Layout-JA</t>
    <phoneticPr fontId="5"/>
  </si>
  <si>
    <t>ED2311-MH_KB-Nested Bar Chart-JA SFDC Update</t>
  </si>
  <si>
    <t>Closed</t>
    <phoneticPr fontId="5"/>
  </si>
  <si>
    <t>ED2311-TO_App-Practical Test-Creating Simple Beast Mode Calculations-CB-JA</t>
    <phoneticPr fontId="5"/>
  </si>
  <si>
    <t>ED2311-MH-KB-Microsoft Excel Connector-JA Update</t>
  </si>
  <si>
    <t>Microsoft Excel Connector</t>
  </si>
  <si>
    <t>ED2311-MH-KB-Editing a SQL DataFlow-JA Update</t>
    <phoneticPr fontId="5"/>
  </si>
  <si>
    <t>Editing a SQL DataFlow</t>
  </si>
  <si>
    <t>ED2311-MH-KB-Understanding Form Response Data-JA SFDC Update</t>
    <phoneticPr fontId="5"/>
  </si>
  <si>
    <t>Not published</t>
    <phoneticPr fontId="5"/>
  </si>
  <si>
    <t>ED2311-MH-KB-Google -JA Update</t>
  </si>
  <si>
    <t>ED2311-MH-KB-Governance Toolkit-JA Update</t>
    <phoneticPr fontId="5"/>
  </si>
  <si>
    <t>governance toolkit dataset backup</t>
  </si>
  <si>
    <t>Cloaed</t>
  </si>
  <si>
    <t>ED2311-MH-KB-Governance Toolkit-JA Update</t>
  </si>
  <si>
    <t>governance toolkit dataset sharing</t>
  </si>
  <si>
    <t>governance toolkit dataset tagging</t>
  </si>
  <si>
    <t>governance toolkit group management</t>
  </si>
  <si>
    <t>Clo ed</t>
  </si>
  <si>
    <t>ED2311-MH-KB-SFDC Migration-JA Update Batch-1</t>
  </si>
  <si>
    <t>troubleshooting scripting tiles memory​ errors</t>
  </si>
  <si>
    <t>tableau connector</t>
  </si>
  <si>
    <t>ED2311-MH-KB-SFDC Migration-JA Update Batch-2</t>
  </si>
  <si>
    <t>governance toolkit schema management</t>
  </si>
  <si>
    <t>Failed</t>
    <phoneticPr fontId="5"/>
  </si>
  <si>
    <t xml:space="preserve">domo everywhere overview </t>
  </si>
  <si>
    <t>EN broken</t>
    <phoneticPr fontId="5"/>
  </si>
  <si>
    <t>ED2311-MH-KB-SFDC Migration-JA Update Batch-3</t>
  </si>
  <si>
    <t>Not found anymore</t>
    <phoneticPr fontId="5"/>
  </si>
  <si>
    <t>FY23Q4-12</t>
    <phoneticPr fontId="5"/>
  </si>
  <si>
    <t>ED2311-MH-KB-SFDC Migration-JA Update Batch-4</t>
    <phoneticPr fontId="5"/>
  </si>
  <si>
    <t>microsoft 365 add-ins enterprise installation guide</t>
  </si>
  <si>
    <t>EN - Not published&gt;Archived</t>
    <phoneticPr fontId="5"/>
  </si>
  <si>
    <t>Failed because EN KB archived</t>
    <phoneticPr fontId="5"/>
  </si>
  <si>
    <t xml:space="preserve">microsoft office add-ins installation guide </t>
  </si>
  <si>
    <t xml:space="preserve">microsoft office add-ins user guide </t>
  </si>
  <si>
    <t>ED2312-MH-KB-Variables Overview-JA SFDC Update</t>
  </si>
  <si>
    <t>ED2312-MH-KB-Governance Toolkit-JA SFDC Update</t>
  </si>
  <si>
    <t>FY23Q4-01</t>
    <phoneticPr fontId="5"/>
  </si>
  <si>
    <t>ED2312-TO-KB-Card And Dashboard Management-JA SFDC Update -1</t>
    <phoneticPr fontId="5"/>
  </si>
  <si>
    <t>Adding an Existing Card to a Dashboard</t>
  </si>
  <si>
    <t>F</t>
    <phoneticPr fontId="5"/>
  </si>
  <si>
    <t>Aggregated Filters</t>
  </si>
  <si>
    <t>Changing the Size of Cards on a Dashboard</t>
  </si>
  <si>
    <t>ED2312-TO-KB-Card And Dashboard Management-JA SFDC Update -2</t>
    <phoneticPr fontId="5"/>
  </si>
  <si>
    <t>Creating and Managing Card Collections</t>
  </si>
  <si>
    <t>Completed</t>
    <phoneticPr fontId="5"/>
  </si>
  <si>
    <t>Drag-and-Drop Apps</t>
  </si>
  <si>
    <t>ED2312-TO-KB-Card And Dashboard Management-JA SFDC Update -3</t>
    <phoneticPr fontId="5"/>
  </si>
  <si>
    <t>Failed to Return Completed Translations</t>
  </si>
  <si>
    <t>ED2312-TO-KB-Card And Dashboard Management-JA SFDC Update -4</t>
    <phoneticPr fontId="5"/>
  </si>
  <si>
    <t>ED2312-TO-KB-Card And Dashboard Management-JA SFDC Update -5</t>
    <phoneticPr fontId="5"/>
  </si>
  <si>
    <t>Linking Related Cards</t>
  </si>
  <si>
    <t>Locking or Unlocking Page Content</t>
  </si>
  <si>
    <t>Rearranging Cards on a Page</t>
  </si>
  <si>
    <t>Removing Cards from a Page</t>
  </si>
  <si>
    <t>Restricting Edit Capability for a Card</t>
  </si>
  <si>
    <t>ED2319-TO-KB-Card And Dashboard Management-JA SFDC Update -6</t>
    <phoneticPr fontId="5"/>
  </si>
  <si>
    <t>ED2319-TO-KB-Card And Dashboard Management-JA SFDC Update -7</t>
  </si>
  <si>
    <t>ED2319-TO-KB-Card And Dashboard Management-JA SFDC Update -8</t>
    <phoneticPr fontId="5"/>
  </si>
  <si>
    <t>Using Smart Text</t>
  </si>
  <si>
    <t>ED2319-TO-KB-Card And Dashboard Management-JA SFDC Update -8</t>
  </si>
  <si>
    <t>ED2301-TO-KB-Zendesk-Q2-05 New B-10-JA SFDC Update-1</t>
    <phoneticPr fontId="5"/>
  </si>
  <si>
    <t>using card interaction tools in a card details view</t>
  </si>
  <si>
    <t>using pfilters to apply filters from url query parameters to embedded dashboards</t>
  </si>
  <si>
    <t>twilio advanced connector</t>
  </si>
  <si>
    <t>Twilio Connector</t>
  </si>
  <si>
    <t>youtube enterprise advanced connector</t>
  </si>
  <si>
    <t>youtube reporting connector</t>
  </si>
  <si>
    <t>zabbix connector</t>
  </si>
  <si>
    <t>zoho crm connector</t>
  </si>
  <si>
    <t>ED2312-TO-KB-Zendesk FY23-Q3 08-JA-Update-B-4 -JA SFDC Update-1</t>
    <phoneticPr fontId="5"/>
  </si>
  <si>
    <t>ED2312-TO-KB-ED2308-TO_KB-Zendesk FY23-Q3 08-JA_Update_Batch-4- SFDC Update</t>
  </si>
  <si>
    <t>ED2312-TO-KB-Zendesk FY23-Q3 08-JA-Update-B-4 -JA SFDC Update-2</t>
    <phoneticPr fontId="5"/>
  </si>
  <si>
    <t>ED2312-TO-KB-Zendesk FY23-Q3 08-JA-Update-B-4 -JA SFDC Update-3</t>
  </si>
  <si>
    <t>ED2312-TO-KB-Zendesk FY23-Q3 08-JA-Update-B-4 -JA SFDC Update-4</t>
  </si>
  <si>
    <t>To be relocalized</t>
  </si>
  <si>
    <t>ED2312-TO-KB-ED2308-TO_KB-Zendesk FY23-Q3 08-JA_Update_Batch-5- SFDC Update</t>
  </si>
  <si>
    <t>ED2312-TO-KB-Zendesk FY23-Q3 08-JA-Update-B-4 -JA SFDC Update-5</t>
  </si>
  <si>
    <t>ED2312-TO-KB-Zendesk FY23-Q3 08-JA-Update-B-4 -JA SFDC Update-6</t>
  </si>
  <si>
    <t>ED2301-TO-App-October Release Update - Japanese-JA Batch-2</t>
  </si>
  <si>
    <t>Relocalization for ED2311-TO_App-October Release Update - Japanese-JA</t>
    <phoneticPr fontId="5"/>
  </si>
  <si>
    <t>ED2301-TO-KB-Support-Properties for Pie-Type Charts-JA Reassigned to MH</t>
    <phoneticPr fontId="5"/>
  </si>
  <si>
    <t>Asking Juliana how to fix.</t>
    <phoneticPr fontId="5"/>
  </si>
  <si>
    <t>ED2301-TO-KB-Support-Localization requests-JA Batch-2</t>
  </si>
  <si>
    <t>英語版Draft：  Published＞現在翻訳中：ED2312-TO-KB-Card And Dashboard Management-JA SFDC Update -2</t>
    <rPh sb="0" eb="3">
      <t>エイゴバン</t>
    </rPh>
    <rPh sb="21" eb="23">
      <t>ゲンザイ</t>
    </rPh>
    <rPh sb="23" eb="26">
      <t>ホンヤクチュウ</t>
    </rPh>
    <phoneticPr fontId="5"/>
  </si>
  <si>
    <t>ED2407-TO-KB-Support-Urgent requests-JA</t>
  </si>
  <si>
    <t>Videoのリンク修正、現在翻訳中：ED2312-TO-KB-Zendesk FY23-Q3 08-JA-Update-B-4 -JA SFDC Update-4</t>
    <rPh sb="12" eb="17">
      <t>ゲンザイホンヤクチュウ</t>
    </rPh>
    <phoneticPr fontId="5"/>
  </si>
  <si>
    <t>現在翻訳中：ED2312-TO-KB-Zendesk FY23-Q3 08-JA-Update-B-4 -JA SFDC Update-4</t>
    <phoneticPr fontId="5"/>
  </si>
  <si>
    <t>ED2301-TO-KB-Support-Localization requests-JA Batch-1</t>
  </si>
  <si>
    <t>Properties for Miscellaneous Charts</t>
  </si>
  <si>
    <t>Videoのリンク修正</t>
    <phoneticPr fontId="5"/>
  </si>
  <si>
    <t>ED2301-TO-KB-Support-Amazon S3 Connector-JA</t>
  </si>
  <si>
    <t>ED2302-TO-KB-e-Stat Third Party Connector-JA</t>
  </si>
  <si>
    <t>Requested by Tasleema Lallmamode</t>
    <phoneticPr fontId="5"/>
  </si>
  <si>
    <t>ED2301-MH-KB-Support-Properties for Pie-Type Charts-JA Bugfix</t>
    <phoneticPr fontId="5"/>
  </si>
  <si>
    <t>ED2301-TO-KB-Support-Google Analytics 4 connector (Beta)-JA New</t>
    <phoneticPr fontId="5"/>
  </si>
  <si>
    <t>Google Analytics 4 connector (Beta)</t>
  </si>
  <si>
    <t>ED2301-MH-KB-Support-Custom Charts-JA Bugfix</t>
  </si>
  <si>
    <t>FY23Q4-01</t>
  </si>
  <si>
    <t>ED2301-TO-KB-Zendesk FY23-Q3 08-Update B-8-JA SFDC Update Batch1</t>
  </si>
  <si>
    <t>Assigned to MH</t>
    <phoneticPr fontId="5"/>
  </si>
  <si>
    <t>ED2301-TO-KB-Zendesk FY23-Q3 08-Update B-8-JA SFDC Update Batch1</t>
    <phoneticPr fontId="5"/>
  </si>
  <si>
    <t>ED2301-TO-KB-Zendesk FY23-Q3 08-Update B-8-JA SFDC Update Batch2</t>
    <phoneticPr fontId="5"/>
  </si>
  <si>
    <t>Understanding the Workbench 5.1 User Interface</t>
  </si>
  <si>
    <t>Failed</t>
  </si>
  <si>
    <t>ED2301-TO-KB-Zendesk FY23-Q3 08-Update B-8-JA SFDC Update Batch2</t>
  </si>
  <si>
    <t>EDIT</t>
    <phoneticPr fontId="5"/>
  </si>
  <si>
    <t>ED2301-TO-KB-Campaigns App-JA New</t>
  </si>
  <si>
    <t>Domo Campaign App</t>
  </si>
  <si>
    <t>000004212</t>
    <phoneticPr fontId="5"/>
  </si>
  <si>
    <t>Pending</t>
    <phoneticPr fontId="5"/>
  </si>
  <si>
    <t>Using the Domo Campaign Markup Language</t>
  </si>
  <si>
    <t>000004213</t>
    <phoneticPr fontId="5"/>
  </si>
  <si>
    <t>ED2301-TO-KB-Flex Map-JA New</t>
  </si>
  <si>
    <t>Flex Map v2 Implementation Guide</t>
  </si>
  <si>
    <t>Flex Map v2 User Guide</t>
  </si>
  <si>
    <t>Flex Table</t>
  </si>
  <si>
    <t>FY24Q2-05</t>
    <phoneticPr fontId="5"/>
  </si>
  <si>
    <t>ED2405-TO-KB-January Articles-JA New</t>
  </si>
  <si>
    <t>Form Viewer App</t>
  </si>
  <si>
    <t>000004206</t>
  </si>
  <si>
    <t xml:space="preserve">n </t>
    <phoneticPr fontId="5"/>
  </si>
  <si>
    <t>Updating and Switching Assets</t>
  </si>
  <si>
    <t>000005080</t>
  </si>
  <si>
    <t>ED2301-TO-KB-January Connector-JA New</t>
  </si>
  <si>
    <t>Base CRM Connector</t>
  </si>
  <si>
    <t>Neo4j Connector</t>
  </si>
  <si>
    <t>Not Published</t>
    <phoneticPr fontId="5"/>
  </si>
  <si>
    <t>OData Connector</t>
  </si>
  <si>
    <t>Sage Intacct Advanced connector</t>
  </si>
  <si>
    <t>ED2301-TO-KB-January Connector-JA New</t>
    <phoneticPr fontId="5"/>
  </si>
  <si>
    <t>Shopify Custom App Connector</t>
  </si>
  <si>
    <t>XML Advanced Connector</t>
  </si>
  <si>
    <t>XML Easy Connector</t>
  </si>
  <si>
    <t>FY24Q1-02</t>
  </si>
  <si>
    <t>ED2302-TO-KB-Sansan Third Party Connector-JA Update</t>
    <phoneticPr fontId="5"/>
  </si>
  <si>
    <t>Sansan Third Party Connector</t>
  </si>
  <si>
    <t>ED2302-TO-KB-Goals-JA</t>
  </si>
  <si>
    <t>Accessing Goals Data</t>
  </si>
  <si>
    <t>Canceled</t>
  </si>
  <si>
    <t>Configuring Goals Settings</t>
  </si>
  <si>
    <t>Domo Goals Solution Deployment Guide</t>
  </si>
  <si>
    <t>Archived</t>
    <phoneticPr fontId="5"/>
  </si>
  <si>
    <t>Managing Your Goals and Metrics</t>
  </si>
  <si>
    <t>ED2302-TO-KB-Goals-JA</t>
    <phoneticPr fontId="5"/>
  </si>
  <si>
    <t>Misaligned Business Goals and Metrics</t>
  </si>
  <si>
    <t>Internal?</t>
    <phoneticPr fontId="5"/>
  </si>
  <si>
    <t>ED2302-TO-KB-Spotify Third Party Connector-JA New</t>
    <phoneticPr fontId="5"/>
  </si>
  <si>
    <t>Spotify Third Party Connector</t>
  </si>
  <si>
    <t>000003057</t>
  </si>
  <si>
    <t>Need relocalization</t>
    <phoneticPr fontId="5"/>
  </si>
  <si>
    <t>000004476</t>
  </si>
  <si>
    <t>000005103</t>
  </si>
  <si>
    <t>000003018</t>
  </si>
  <si>
    <t>000005033</t>
  </si>
  <si>
    <t>000004635</t>
  </si>
  <si>
    <t>Adding Graphics, Links, and Images to Table Cards Using Beast Mode</t>
  </si>
  <si>
    <t>000004082</t>
  </si>
  <si>
    <t>ED2302-TO-KB-KB Localization project-JA</t>
  </si>
  <si>
    <t>100 Percent Stacked Bar Chart</t>
  </si>
  <si>
    <t>000004724</t>
  </si>
  <si>
    <t>000004076</t>
  </si>
  <si>
    <t>Adding a Bot to Buzz</t>
    <phoneticPr fontId="5"/>
  </si>
  <si>
    <t>000004315</t>
  </si>
  <si>
    <t>Adding a DataSet Using a Connector</t>
  </si>
  <si>
    <t>000003962</t>
  </si>
  <si>
    <r>
      <rPr>
        <sz val="9"/>
        <rFont val="ＭＳ Ｐゴシック"/>
        <family val="2"/>
        <charset val="128"/>
      </rPr>
      <t xml:space="preserve">リンク先の誤り： </t>
    </r>
    <r>
      <rPr>
        <sz val="9"/>
        <rFont val="Arial"/>
        <family val="2"/>
      </rPr>
      <t xml:space="preserve">For more information on Federated DataSets, see </t>
    </r>
    <r>
      <rPr>
        <sz val="9"/>
        <color rgb="FFFF0000"/>
        <rFont val="Arial"/>
        <family val="2"/>
      </rPr>
      <t>Connecting to Data Using Workbench 5</t>
    </r>
    <r>
      <rPr>
        <sz val="9"/>
        <rFont val="Arial"/>
        <family val="2"/>
      </rPr>
      <t xml:space="preserve">.               </t>
    </r>
    <r>
      <rPr>
        <sz val="9"/>
        <rFont val="ＭＳ Ｐゴシック"/>
        <family val="2"/>
        <charset val="128"/>
      </rPr>
      <t>実際のリンク先ページは「</t>
    </r>
    <r>
      <rPr>
        <sz val="9"/>
        <rFont val="Arial"/>
        <family val="2"/>
      </rPr>
      <t>Scheduling a Job in Workbench 5.1</t>
    </r>
    <r>
      <rPr>
        <sz val="9"/>
        <rFont val="ＭＳ Ｐゴシック"/>
        <family val="2"/>
        <charset val="128"/>
      </rPr>
      <t>」で日本語版は「</t>
    </r>
    <r>
      <rPr>
        <sz val="9"/>
        <rFont val="Arial"/>
        <family val="2"/>
      </rPr>
      <t>Workbench 5.1</t>
    </r>
    <r>
      <rPr>
        <sz val="9"/>
        <rFont val="ＭＳ Ｐゴシック"/>
        <family val="2"/>
        <charset val="128"/>
      </rPr>
      <t>でジョブをスケジューリングする」です。ソーステキスト通りに訳出していますが、よろしいでしょうか？</t>
    </r>
    <phoneticPr fontId="5"/>
  </si>
  <si>
    <t>000004105</t>
  </si>
  <si>
    <t>リンク先の誤り：For more information about resizing and moving Cards, see Managing Cards and Pages. カードのサイズ変更や移動に関する詳細は、「ページ内でカードのサイズを変更する」を参照してください</t>
    <phoneticPr fontId="5"/>
  </si>
  <si>
    <t>Adding a Notebook Card</t>
  </si>
  <si>
    <t>000004106</t>
  </si>
  <si>
    <t>リンク先の誤り： For more information about PDP, see Personalized Data Permissions (PDP).     実際のリンク先ページは「Creating and Deleting PDP Policies」（PDPポリシーの作成と削除）です。複数箇所に出てきます。ソーステキスト通りに訳出していますが、よろしいでしょうか？</t>
    <phoneticPr fontId="5"/>
  </si>
  <si>
    <t>Admin: Governance</t>
  </si>
  <si>
    <t>000003009</t>
  </si>
  <si>
    <t>Article has been archived. Not anymore available.</t>
    <phoneticPr fontId="5"/>
  </si>
  <si>
    <t>Applying CSS to Domo Card Images in the Campaigns App</t>
  </si>
  <si>
    <t>000005091</t>
  </si>
  <si>
    <t>Assigning Users to Power Up Template Visualization Cards</t>
  </si>
  <si>
    <t>000004754</t>
  </si>
  <si>
    <t>000003007</t>
  </si>
  <si>
    <t>Changing the Owner of a DataFlow</t>
  </si>
  <si>
    <t>000004564</t>
  </si>
  <si>
    <t>Changing the Owner of a DataSet</t>
  </si>
  <si>
    <t>000004905</t>
  </si>
  <si>
    <t>ED2302-TO-KB-KB Localization project-JA Batch-2</t>
  </si>
  <si>
    <t>Combining DataSets Using DataFusion</t>
  </si>
  <si>
    <t>000004562</t>
  </si>
  <si>
    <t>Continental and Regional Maps</t>
  </si>
  <si>
    <t>000004725</t>
  </si>
  <si>
    <t>000004913</t>
  </si>
  <si>
    <t>000004906</t>
  </si>
  <si>
    <t>Creating County and Zip Code Drilldown in a U.S. Map</t>
  </si>
  <si>
    <t>000004633</t>
  </si>
  <si>
    <t>000004722</t>
  </si>
  <si>
    <t>Deleting DataSets</t>
  </si>
  <si>
    <t>000004903</t>
  </si>
  <si>
    <t>Disabling or Deleting a DataFlow</t>
  </si>
  <si>
    <t>000004243</t>
  </si>
  <si>
    <t>000004240</t>
  </si>
  <si>
    <t>ED2302-TO-KB-KB Localization project-JA Batch-2</t>
    <phoneticPr fontId="5"/>
  </si>
  <si>
    <t>Domo Sandbox: Linked Repositories</t>
  </si>
  <si>
    <t>000005059</t>
  </si>
  <si>
    <t>FY24Q1-03</t>
    <phoneticPr fontId="5"/>
  </si>
  <si>
    <t>ED2302-TO-KB-JIRA-Backlog Third Party Connector-JA New</t>
    <phoneticPr fontId="5"/>
  </si>
  <si>
    <t>Backlog Third Party Connector</t>
    <phoneticPr fontId="5"/>
  </si>
  <si>
    <t>000005131</t>
    <phoneticPr fontId="5"/>
  </si>
  <si>
    <t>FY24Q1-02</t>
    <phoneticPr fontId="5"/>
  </si>
  <si>
    <t>ED2302-TO-KB-Support FY24 Q1 02-JA Batch-2</t>
  </si>
  <si>
    <t>000004375</t>
  </si>
  <si>
    <t>Box Advanced Connector</t>
  </si>
  <si>
    <t>000003955</t>
  </si>
  <si>
    <t>ED2302-TO-KB-Support FY24 Q1 02-JA Batch-3</t>
  </si>
  <si>
    <t>Common Troubleshooting Practices for Custom Apps</t>
  </si>
  <si>
    <t>000005014</t>
  </si>
  <si>
    <t>DDX Bricks</t>
  </si>
  <si>
    <t>000005012</t>
  </si>
  <si>
    <t>FY24Q1-03</t>
  </si>
  <si>
    <t>ED2303-TO-KB-KB Localization project-JA Batch-3</t>
  </si>
  <si>
    <t>000004632</t>
  </si>
  <si>
    <t>000004593</t>
  </si>
  <si>
    <t>000004757</t>
  </si>
  <si>
    <t>Dynamic Textbox</t>
  </si>
  <si>
    <t>000004719</t>
  </si>
  <si>
    <t>Enterprise Stacker</t>
  </si>
  <si>
    <t>000004570</t>
  </si>
  <si>
    <t>Executing DataSets</t>
  </si>
  <si>
    <t>000004899</t>
  </si>
  <si>
    <t>ED2303-MH-Learn Domo-Docebo Course translation 202303-JA</t>
    <phoneticPr fontId="5"/>
  </si>
  <si>
    <t>Docebo Course translation 202303.xlsx</t>
    <phoneticPr fontId="5"/>
  </si>
  <si>
    <t>ED2303-TO-KB-KB Localization project-JA Batch-4</t>
    <phoneticPr fontId="5"/>
  </si>
  <si>
    <t>Geocoder User Guide</t>
  </si>
  <si>
    <t>000005121</t>
  </si>
  <si>
    <t>ED2303-TO-KB-KB Localization project-JA Batch-4</t>
  </si>
  <si>
    <t>Glossary — Data Literacy</t>
  </si>
  <si>
    <t>000005128</t>
  </si>
  <si>
    <t>Governance Toolkit: DataSet Watchdog</t>
  </si>
  <si>
    <t>000005105</t>
  </si>
  <si>
    <t>000003032</t>
  </si>
  <si>
    <t>000003034</t>
  </si>
  <si>
    <t>Inline Editing Implementation Guide</t>
  </si>
  <si>
    <t>000004131</t>
  </si>
  <si>
    <t>Inline Editing User Guide</t>
  </si>
  <si>
    <t>000004198</t>
  </si>
  <si>
    <t>Magic ETL Tiles: Aggregate</t>
  </si>
  <si>
    <t>000002989</t>
  </si>
  <si>
    <t>Magic ETL Tiles: Combine Data</t>
  </si>
  <si>
    <t>000002998</t>
  </si>
  <si>
    <t>000002997</t>
  </si>
  <si>
    <t>Magic ETL Tiles: DataSets</t>
  </si>
  <si>
    <t>000003001</t>
  </si>
  <si>
    <t>Magic ETL Tiles: Dates and Numbers</t>
  </si>
  <si>
    <t>000003003</t>
  </si>
  <si>
    <t>ED2303-TO-KB-KB Localization project-JA Batch-5</t>
  </si>
  <si>
    <t>000003002</t>
  </si>
  <si>
    <t>Magic ETL Tiles: Performance</t>
  </si>
  <si>
    <t>000003000</t>
  </si>
  <si>
    <t>Magic ETL Tiles: Pivot</t>
  </si>
  <si>
    <t>000002999</t>
  </si>
  <si>
    <t>000003004</t>
  </si>
  <si>
    <t>Magic ETL Tiles: Text</t>
  </si>
  <si>
    <t>000003005</t>
  </si>
  <si>
    <t>Magic ETL Tiles: Utility</t>
  </si>
  <si>
    <t>000003006</t>
  </si>
  <si>
    <t>000003147</t>
  </si>
  <si>
    <t>000002995</t>
  </si>
  <si>
    <t>000002991</t>
  </si>
  <si>
    <t>000002994</t>
  </si>
  <si>
    <t>000002996</t>
  </si>
  <si>
    <t>000002992</t>
  </si>
  <si>
    <t>Old Magic ETL Tiles: Performance</t>
  </si>
  <si>
    <t>000002988</t>
  </si>
  <si>
    <t>FY24Q1-04</t>
  </si>
  <si>
    <t>ED2303-TO-KB-Support FY24 Q1 03 Workbench 5.2 Overview-JA</t>
  </si>
  <si>
    <t>Workbench 5.2 Overview</t>
    <phoneticPr fontId="5"/>
  </si>
  <si>
    <t xml:space="preserve">	000005138</t>
    <phoneticPr fontId="5"/>
  </si>
  <si>
    <t>ED2303-TO-KB-Support FY24 Q1 03-JA</t>
  </si>
  <si>
    <t>000004638</t>
    <phoneticPr fontId="5"/>
  </si>
  <si>
    <t>000005024</t>
    <phoneticPr fontId="5"/>
  </si>
  <si>
    <t>ED2303-TO-KB-Support FY24 Q1 03 Workbench 5.1 FAQs-JA</t>
  </si>
  <si>
    <t>Workbench 5.1 FAQs</t>
    <phoneticPr fontId="5"/>
  </si>
  <si>
    <t>000004839</t>
    <phoneticPr fontId="5"/>
  </si>
  <si>
    <t>ED2303-TO-KB-KB Localization project-JA Batch-6</t>
  </si>
  <si>
    <t>000005116</t>
  </si>
  <si>
    <t>000004658</t>
  </si>
  <si>
    <t>Running a DataFlow</t>
  </si>
  <si>
    <t>000004559</t>
  </si>
  <si>
    <t>Scheduling a Job in Workbench 4</t>
  </si>
  <si>
    <t>000004782</t>
  </si>
  <si>
    <t>Scheduling a Job in Workbench 5</t>
  </si>
  <si>
    <t>000004804</t>
  </si>
  <si>
    <t>000003815</t>
  </si>
  <si>
    <t>Sharing a DataSet</t>
  </si>
  <si>
    <t>000004911</t>
  </si>
  <si>
    <t>ED2303-TO-KB-KB Localization project-JA Batch-7</t>
  </si>
  <si>
    <t>000004618</t>
  </si>
  <si>
    <t>Using the Data Warehouse to Manage Data</t>
  </si>
  <si>
    <t>000004908</t>
  </si>
  <si>
    <t>000004213</t>
  </si>
  <si>
    <t>000004978</t>
  </si>
  <si>
    <t>ED2303-TO-KB-KB Localization project-JA Batch-7</t>
    <phoneticPr fontId="5"/>
  </si>
  <si>
    <t>000004558</t>
  </si>
  <si>
    <t>Writeback Connectors List</t>
  </si>
  <si>
    <t>000005122</t>
  </si>
  <si>
    <t>ED2303-TO-KB-Release Notes Staging-JA</t>
    <phoneticPr fontId="5"/>
  </si>
  <si>
    <t>000005151</t>
    <phoneticPr fontId="5"/>
  </si>
  <si>
    <t>ED2303-TO-KB-Release Notes Staging-JA Update</t>
  </si>
  <si>
    <t>ED2303-MH-KB-Release Notes Staging-JA Update</t>
  </si>
  <si>
    <t>ED2303-TO-KB-October 2022 Release Notes-JA Update</t>
  </si>
  <si>
    <t>000005174</t>
    <phoneticPr fontId="5"/>
  </si>
  <si>
    <t>ED2304-TO-KB-Available Bar Charts-JA Update</t>
  </si>
  <si>
    <t>000004739</t>
  </si>
  <si>
    <t>ED2304-TO-KB-Table Chart-JA Update</t>
  </si>
  <si>
    <t>000004669</t>
  </si>
  <si>
    <t>Pending. US</t>
    <phoneticPr fontId="5"/>
  </si>
  <si>
    <t>ED2304-TO-KB-Setting the Minimum or Maximum Value for Your Chart-JA Update</t>
  </si>
  <si>
    <t>000005033</t>
    <phoneticPr fontId="5"/>
  </si>
  <si>
    <t>ED2302-TO-KB-Support FY24 Q1 02-JA/ED2405-TO-KB-Support-Upgrading Workbench 5.2-JA</t>
    <phoneticPr fontId="5"/>
  </si>
  <si>
    <t>ED2304-TO-KB-Dashboard Optimization Best Practices-JA Update</t>
  </si>
  <si>
    <t>000004476</t>
    <phoneticPr fontId="5"/>
  </si>
  <si>
    <t>ED2302-TO-KB-Support FY24 Q1 02-JA/ED2405-TO-KB-Dashboard Optimization Best Practices-JA Update</t>
    <phoneticPr fontId="5"/>
  </si>
  <si>
    <t>ED2304-TO-KB-Using the Domo PowerPoint Plugin-JA Update</t>
  </si>
  <si>
    <t>000004255</t>
    <phoneticPr fontId="5"/>
  </si>
  <si>
    <t>ED2304-TO-KB-Bar Chart-JA Update</t>
    <phoneticPr fontId="5"/>
  </si>
  <si>
    <t>000004743</t>
    <phoneticPr fontId="5"/>
  </si>
  <si>
    <t>Assigned to MH:チャートをグラフに変更</t>
    <rPh sb="24" eb="26">
      <t>ヘンコウ</t>
    </rPh>
    <phoneticPr fontId="5"/>
  </si>
  <si>
    <t>ED2304-TO-App-March 2023 Release Update-Coursebuilder-JA</t>
  </si>
  <si>
    <t>March 2023 Release Update-Coursebuilder</t>
  </si>
  <si>
    <t>ED2304-TO-App-March 2023 Release related Apps-JA</t>
  </si>
  <si>
    <t>Understanding the Domo Appstore-Coursebuilder</t>
  </si>
  <si>
    <t>Choosing Chart Types-Coursebuilder</t>
  </si>
  <si>
    <t>Getting to know Domo-Coursebuilder</t>
  </si>
  <si>
    <t>Governing Your User Ecosystem-Coursebuilder</t>
  </si>
  <si>
    <t>The Domo Interface-Coursebuilder</t>
  </si>
  <si>
    <t>ED2304-TO-KB-Editing the Name or Description of a Visualization Card-JA Update</t>
    <phoneticPr fontId="5"/>
  </si>
  <si>
    <t>000004636</t>
    <phoneticPr fontId="5"/>
  </si>
  <si>
    <t>Published</t>
  </si>
  <si>
    <t>ED2304-TO-KB-ED2308-ZDK FY23-Q3 08-B-11-JA Update</t>
    <phoneticPr fontId="5"/>
  </si>
  <si>
    <t>Troubleshooting Domo</t>
    <phoneticPr fontId="5"/>
  </si>
  <si>
    <t>000004377</t>
    <phoneticPr fontId="5"/>
  </si>
  <si>
    <t>Old title: "Troubleshooting"</t>
    <phoneticPr fontId="5"/>
  </si>
  <si>
    <t>Editing the Column Header Labels for Your Chart Table View</t>
    <phoneticPr fontId="5"/>
  </si>
  <si>
    <t>000004637</t>
    <phoneticPr fontId="5"/>
  </si>
  <si>
    <t>000004819</t>
    <phoneticPr fontId="5"/>
  </si>
  <si>
    <t>ED2304-TO-KB-Visualization Card - Update-JA Update</t>
    <phoneticPr fontId="5"/>
  </si>
  <si>
    <t>Analyzer Card Basics</t>
  </si>
  <si>
    <t>000004512</t>
    <phoneticPr fontId="5"/>
  </si>
  <si>
    <t>ED2304-TO-KB-Visualization Card - Update-JA Update</t>
  </si>
  <si>
    <t>Best Practices for Creating Visualization Cards</t>
  </si>
  <si>
    <t>000004485</t>
  </si>
  <si>
    <t>Best Practices for Standardizing Visualization Cards</t>
  </si>
  <si>
    <t>000004481</t>
  </si>
  <si>
    <t>Creating an Alert for a Visualization Card</t>
  </si>
  <si>
    <t>000004352</t>
  </si>
  <si>
    <t>EN Draft</t>
    <phoneticPr fontId="5"/>
  </si>
  <si>
    <t>Emailing a Visualization Card</t>
  </si>
  <si>
    <t>000004048</t>
  </si>
  <si>
    <t>000004053</t>
  </si>
  <si>
    <t>Printing a Visualization Card</t>
    <phoneticPr fontId="5"/>
  </si>
  <si>
    <t>000004046</t>
  </si>
  <si>
    <t>Updating or Refreshing the DataSet for a Visualization Card</t>
  </si>
  <si>
    <t>000004756</t>
  </si>
  <si>
    <t>Viewing a Visualization Card with a Triggered Alert</t>
  </si>
  <si>
    <t>000004356</t>
  </si>
  <si>
    <t>ED2304-MH-KB-Table Chart-JA Bugfix</t>
    <phoneticPr fontId="5"/>
  </si>
  <si>
    <t xml:space="preserve">	000004669</t>
    <phoneticPr fontId="5"/>
  </si>
  <si>
    <t>ED2304-MH-KB-Format Fix-JA SFDC Update</t>
  </si>
  <si>
    <t>Setting the Expected Update Frequency for a DataSet</t>
    <phoneticPr fontId="5"/>
  </si>
  <si>
    <t>000004897</t>
  </si>
  <si>
    <t>U.S. State and County Maps</t>
  </si>
  <si>
    <t>000004666</t>
  </si>
  <si>
    <t>Understanding Chart Data</t>
    <phoneticPr fontId="5"/>
  </si>
  <si>
    <t>000004620</t>
  </si>
  <si>
    <t>000004664</t>
  </si>
  <si>
    <t>000004914</t>
  </si>
  <si>
    <t>ED2304-MH-KB-Format Fix-JA SFDC Update 2</t>
  </si>
  <si>
    <t>000004682</t>
  </si>
  <si>
    <t>000004357</t>
  </si>
  <si>
    <t>ED2304-TO-KB-Domo Add-ins for Microsoft 365-JA New</t>
  </si>
  <si>
    <t>Domo Add-ins for Microsoft 365 Desktop Apps User Guide</t>
  </si>
  <si>
    <t>000005143</t>
  </si>
  <si>
    <t>Domo Add-ins for Microsoft 365 Enterprise Installation Guide</t>
  </si>
  <si>
    <t>000005145</t>
  </si>
  <si>
    <t>Domo Add-ins for Microsoft 365 Installation Guide</t>
  </si>
  <si>
    <t>000005146</t>
  </si>
  <si>
    <t>ED2304-MH-KB-Signing into Domo-JA Update</t>
  </si>
  <si>
    <t>Signing into Domo</t>
    <phoneticPr fontId="5"/>
  </si>
  <si>
    <t>ED2304-TO-KB-User Information-JA Update</t>
  </si>
  <si>
    <t>Changing Your Password</t>
    <phoneticPr fontId="5"/>
  </si>
  <si>
    <t>Changing Your Profile Background Image</t>
  </si>
  <si>
    <t>ED2304-TO-KB-2023 March Release related-JA Batch-1</t>
  </si>
  <si>
    <t>Queues</t>
  </si>
  <si>
    <t>To be updated</t>
    <phoneticPr fontId="5"/>
  </si>
  <si>
    <t>ED2304-TO-KB-2023 March Release related-JA Batch-2</t>
  </si>
  <si>
    <t>Workflows Overview</t>
  </si>
  <si>
    <t>Not published</t>
  </si>
  <si>
    <t>EN Draft- JA old version not published</t>
    <phoneticPr fontId="5"/>
  </si>
  <si>
    <t>Subset Processing in Magic ETL</t>
  </si>
  <si>
    <t>Attributes</t>
  </si>
  <si>
    <t>ED2304-TO-KB-2023 March Release related-JA Batch-3</t>
  </si>
  <si>
    <t>Circular Sankey Chart</t>
  </si>
  <si>
    <t>Slope Chart</t>
  </si>
  <si>
    <t>Variance Chart</t>
  </si>
  <si>
    <t>FY24Q2-05</t>
  </si>
  <si>
    <t>ED2304-TO-KB-2023 March Release related-JA Batch-4</t>
  </si>
  <si>
    <t>Register Snowflake with Cloud Amplifier</t>
  </si>
  <si>
    <t>Register Dremio with Cloud Amplifier</t>
  </si>
  <si>
    <t>ED2304-TO-KB-Cloud Amplifier Overview-JA Update</t>
  </si>
  <si>
    <t>英語版DRAFT</t>
    <rPh sb="0" eb="3">
      <t>エイゴバン</t>
    </rPh>
    <phoneticPr fontId="5"/>
  </si>
  <si>
    <t>ED2405-MH-KB-Support-Supported Functions in Magic ETL-JA</t>
  </si>
  <si>
    <t>Supported Functions in Magic ETL</t>
    <phoneticPr fontId="5"/>
  </si>
  <si>
    <t>4583</t>
    <phoneticPr fontId="5"/>
  </si>
  <si>
    <t>マイグレーションされていなかったため再翻訳。</t>
    <rPh sb="18" eb="21">
      <t>サイホンヤク</t>
    </rPh>
    <phoneticPr fontId="5"/>
  </si>
  <si>
    <t>FY24Q2-06</t>
  </si>
  <si>
    <t>ED2406-MH-KB-Republishing and Fix-JA Batch-1</t>
  </si>
  <si>
    <t>000004641</t>
  </si>
  <si>
    <t>000004095</t>
  </si>
  <si>
    <t>000004087</t>
    <phoneticPr fontId="5"/>
  </si>
  <si>
    <t>000004583</t>
  </si>
  <si>
    <t>000004088</t>
  </si>
  <si>
    <t>ED2406-MH-KB-Republishing and Fix-JA Batch-2</t>
  </si>
  <si>
    <t>000004826</t>
    <phoneticPr fontId="5"/>
  </si>
  <si>
    <t>Adding Scale Markers to Your Charts</t>
  </si>
  <si>
    <t>000005034</t>
    <phoneticPr fontId="5"/>
  </si>
  <si>
    <t>000004111</t>
    <phoneticPr fontId="5"/>
  </si>
  <si>
    <t>マイグレーションされていなかったため再翻訳。:ED2405-TO-KB-Support-FY24-05 Requests-JA Batch-5</t>
    <rPh sb="18" eb="21">
      <t>サイホンヤク</t>
    </rPh>
    <phoneticPr fontId="5"/>
  </si>
  <si>
    <t>000004835</t>
    <phoneticPr fontId="5"/>
  </si>
  <si>
    <t>000004831</t>
    <phoneticPr fontId="5"/>
  </si>
  <si>
    <t>ED2406-MH-KB-Republishing and Fix-JA Batch-3</t>
  </si>
  <si>
    <t>000005031</t>
    <phoneticPr fontId="5"/>
  </si>
  <si>
    <t>000005022</t>
  </si>
  <si>
    <t>000004755</t>
  </si>
  <si>
    <t>000004350</t>
    <phoneticPr fontId="5"/>
  </si>
  <si>
    <t>000003947</t>
  </si>
  <si>
    <t>ED2405-TO-KB-Setting the Minimum or Maximum Value for Your Chart-JA Update</t>
  </si>
  <si>
    <t>ED2406-MH-KB-Republishing and Fix-JA Batch-4</t>
    <phoneticPr fontId="5"/>
  </si>
  <si>
    <t>ED2405-TO-KB-Support-Upgrading Workbench 5.2-JA</t>
    <phoneticPr fontId="5"/>
  </si>
  <si>
    <t>000005103</t>
    <phoneticPr fontId="5"/>
  </si>
  <si>
    <t>Troubleshooting for Custom Apps</t>
    <phoneticPr fontId="5"/>
  </si>
  <si>
    <t>000005014</t>
    <phoneticPr fontId="5"/>
  </si>
  <si>
    <t>ED2405-MH-KB-Support-Domo Bricks-JA</t>
  </si>
  <si>
    <t>Domo Bricks</t>
    <phoneticPr fontId="5"/>
  </si>
  <si>
    <t>Assigned to MH-</t>
    <phoneticPr fontId="5"/>
  </si>
  <si>
    <t>ED2405-MH-KB-Support-Submitting Domo Product Feedback-JA</t>
  </si>
  <si>
    <t>Submitting Domo Product Feedback</t>
    <phoneticPr fontId="5"/>
  </si>
  <si>
    <t>000004375</t>
    <phoneticPr fontId="5"/>
  </si>
  <si>
    <t>要Link修正</t>
    <rPh sb="0" eb="1">
      <t>ヨウ</t>
    </rPh>
    <rPh sb="5" eb="7">
      <t>シュウセイ</t>
    </rPh>
    <phoneticPr fontId="5"/>
  </si>
  <si>
    <t>ED2405-TO-KB-Inline Editing-JA</t>
  </si>
  <si>
    <t>ED2405-TO-KB-Support-FY24-05 Requests-JA Batch-1</t>
  </si>
  <si>
    <t>000005028</t>
  </si>
  <si>
    <t>ED2405-TO-KB-Support-FY24-05 Requests-JA Batch-1</t>
    <phoneticPr fontId="5"/>
  </si>
  <si>
    <t>Command Line Interface (CLI) Tool</t>
  </si>
  <si>
    <t>000003160</t>
  </si>
  <si>
    <t>ED2405-TO-KB-Support-FY24-05 Requests-JA Batch-2</t>
  </si>
  <si>
    <t>Scheduling DataFlows</t>
    <phoneticPr fontId="5"/>
  </si>
  <si>
    <t>000004555</t>
  </si>
  <si>
    <t>Google Sheets Add-On</t>
  </si>
  <si>
    <t>000004258</t>
  </si>
  <si>
    <t>Google Ads Connector (for Manager Account)</t>
  </si>
  <si>
    <t>000003232</t>
  </si>
  <si>
    <t>Changing the Date Format in Your Chart</t>
  </si>
  <si>
    <t>000005038</t>
  </si>
  <si>
    <t>ED2405-TO-KB-Support-FY24-05 Requests-JA Batch-3</t>
  </si>
  <si>
    <t>Appstore Overview</t>
  </si>
  <si>
    <t>000004119</t>
    <phoneticPr fontId="5"/>
  </si>
  <si>
    <t>000004058</t>
    <phoneticPr fontId="5"/>
  </si>
  <si>
    <t>000004090</t>
    <phoneticPr fontId="5"/>
  </si>
  <si>
    <t>ED2405-TO-KB-Support-FY24-05 Requests-JA Batch-4</t>
  </si>
  <si>
    <t>Box Writeback Connector</t>
    <phoneticPr fontId="5"/>
  </si>
  <si>
    <t>000004051</t>
    <phoneticPr fontId="5"/>
  </si>
  <si>
    <t>Properties for Tables</t>
    <phoneticPr fontId="5"/>
  </si>
  <si>
    <t>000005023</t>
  </si>
  <si>
    <t>ED2406-MH-KB-ED2309-TO-KB-Support-KCS RFC-KB-JP Creating and Managing User Groups- Bugfix</t>
  </si>
  <si>
    <t>000004065</t>
  </si>
  <si>
    <t>ED2311-MH-KB-Understanding Form Response Data-JA SFDC Update</t>
  </si>
  <si>
    <t>ED2405-TO-KB-Support-FY24-05 Requests-JA Batch-5</t>
  </si>
  <si>
    <t>000005164</t>
  </si>
  <si>
    <t>Assigned to MH-</t>
  </si>
  <si>
    <t>ED2304-TO-KB-2023 March Release related-JA Batch-2</t>
    <phoneticPr fontId="5"/>
  </si>
  <si>
    <t>ED2405-TO-KB-Support-FY24-05 Requests-JA Batch-5</t>
    <phoneticPr fontId="5"/>
  </si>
  <si>
    <t>000004111</t>
  </si>
  <si>
    <t>ED2312-TO-KB-Card And Dashboard Management-JA SFDC Update -5</t>
  </si>
  <si>
    <t>000004101</t>
  </si>
  <si>
    <t>000004107</t>
  </si>
  <si>
    <t>ED2312-TO-KB-Card And Dashboard Management-JA SFDC Update -4</t>
  </si>
  <si>
    <t>ED2405-MH-KB-Support-FY24-05 Requests-JA Batch-5</t>
  </si>
  <si>
    <t>000004109</t>
    <phoneticPr fontId="5"/>
  </si>
  <si>
    <t>ED2405-MH-KB-Support-Table Chart-JA Bugfix-2</t>
  </si>
  <si>
    <t>000004669</t>
    <phoneticPr fontId="5"/>
  </si>
  <si>
    <t>Assigned to MH-バグ JA Draft</t>
    <phoneticPr fontId="5"/>
  </si>
  <si>
    <t>ED2405-TO-KB-Tableau Connector-JA Update</t>
  </si>
  <si>
    <t>000003196</t>
  </si>
  <si>
    <t>Failed to Return Completed Translations</t>
    <phoneticPr fontId="5"/>
  </si>
  <si>
    <t>Requested by Sanjoy: JIRA: DOMO-378244 -</t>
    <phoneticPr fontId="5"/>
  </si>
  <si>
    <t>ED2405-TO-KB-FY24-05 Requests-JA</t>
  </si>
  <si>
    <t>Relocalized</t>
    <phoneticPr fontId="5"/>
  </si>
  <si>
    <t>New title:Domo Time Zone Formatting</t>
    <phoneticPr fontId="5"/>
  </si>
  <si>
    <t>画像リンク切れ</t>
    <rPh sb="0" eb="2">
      <t>ガゾウ</t>
    </rPh>
    <rPh sb="5" eb="6">
      <t>ギ</t>
    </rPh>
    <phoneticPr fontId="5"/>
  </si>
  <si>
    <t>old</t>
  </si>
  <si>
    <t>ED2405-TO-KB-FY24-05 Requests-JA Batch-2</t>
  </si>
  <si>
    <t>ED2405-TO-KB-FY24-05 Requests-JA Batch-2</t>
    <phoneticPr fontId="5"/>
  </si>
  <si>
    <t>Group Scheduling for Workbench 5 Jobs</t>
  </si>
  <si>
    <t>000004806</t>
    <phoneticPr fontId="5"/>
  </si>
  <si>
    <t>i</t>
    <phoneticPr fontId="5"/>
  </si>
  <si>
    <t>Cloud Amplifier Support in Workbench 5.2</t>
  </si>
  <si>
    <t>000004972</t>
  </si>
  <si>
    <t>Draft誤公開</t>
    <rPh sb="5" eb="8">
      <t>ゴコウカイ</t>
    </rPh>
    <phoneticPr fontId="5"/>
  </si>
  <si>
    <t>ED2405-TO-KB-Publishing DataSet Views-JA Bugfix</t>
    <phoneticPr fontId="5"/>
  </si>
  <si>
    <t>000004251</t>
  </si>
  <si>
    <t>ED2405-TO-KB-FY24-05 Requests-JA Batch-3</t>
  </si>
  <si>
    <t>&gt; Workflows Overview</t>
  </si>
  <si>
    <t>Draft deleted</t>
    <phoneticPr fontId="5"/>
  </si>
  <si>
    <t>ADLS Gen 2 OAuth Writeback Connector</t>
  </si>
  <si>
    <t>Admin Settings: Company Settings</t>
  </si>
  <si>
    <t>Admin Settings: Content</t>
  </si>
  <si>
    <t>Admin Settings: Governance</t>
  </si>
  <si>
    <t>ED2405-TO-KB-FY24-05 Requests-JA Batch-4</t>
  </si>
  <si>
    <t>Azure Storage Blob SAS Token Connector</t>
  </si>
  <si>
    <t>000005140</t>
  </si>
  <si>
    <t>BigQuery Workload Identity Federation Connector</t>
  </si>
  <si>
    <t>000005176</t>
  </si>
  <si>
    <t>Buy a Listing on the Appstore</t>
  </si>
  <si>
    <t>000005190</t>
  </si>
  <si>
    <t>ED2406-TO-KB-FY24-06 Requests-JA Batch-1</t>
  </si>
  <si>
    <t>Connect Domo to Stripe</t>
  </si>
  <si>
    <t>000005177</t>
  </si>
  <si>
    <t>Governance Toolkit: Enterprise Data Copy</t>
  </si>
  <si>
    <t>000005197</t>
  </si>
  <si>
    <t>List on the Appstore</t>
  </si>
  <si>
    <t>000005184</t>
  </si>
  <si>
    <t>Magic ETL v2 Scripting Tile Environments</t>
  </si>
  <si>
    <t>000005117</t>
  </si>
  <si>
    <t>Manage Subscriptions to Appstore Listings</t>
  </si>
  <si>
    <t>000005183</t>
  </si>
  <si>
    <t>ED2406-TO-KB-FY24-06 Requests-JA Batch-2</t>
  </si>
  <si>
    <t>Microsoft Azure Blob Storage SAS Token Connector</t>
  </si>
  <si>
    <t>000005152</t>
  </si>
  <si>
    <t>Microsoft Azure Data Lake Gen2 OAuth Connector</t>
  </si>
  <si>
    <t>000005162</t>
  </si>
  <si>
    <t>Sample Beast Mode Calculations: Basic Transforms</t>
    <phoneticPr fontId="5"/>
  </si>
  <si>
    <t>000004079</t>
  </si>
  <si>
    <t>Sample Beast Mode Calculations: Card Element Transforms</t>
    <phoneticPr fontId="5"/>
  </si>
  <si>
    <t>000004074</t>
  </si>
  <si>
    <t>Sample Beast Mode Calculations: Date Transforms</t>
  </si>
  <si>
    <t>000004073</t>
  </si>
  <si>
    <t>ED2406-TO-KB-FY24-06 Requests-JA Batch-3</t>
  </si>
  <si>
    <t>Sample Beast Mode Calculations: Mathematical Transforms</t>
  </si>
  <si>
    <t>000004078</t>
  </si>
  <si>
    <t>Sample Beast Mode Calculations: Miscellaneous Transforms</t>
  </si>
  <si>
    <t>000004080</t>
  </si>
  <si>
    <t>Sample Beast Mode Calculations: Period-over-Period Transforms</t>
  </si>
  <si>
    <t>000004075</t>
  </si>
  <si>
    <t>000004859</t>
    <phoneticPr fontId="5"/>
  </si>
  <si>
    <t>Replacing a Column Value in Workbench 5.1</t>
  </si>
  <si>
    <t>000004846</t>
  </si>
  <si>
    <t>ED2406-TO-KB-FY24-06 Requests-JA Batch-4</t>
  </si>
  <si>
    <t>000004850</t>
  </si>
  <si>
    <t>Create an Alert for a Visualization Card</t>
  </si>
  <si>
    <t>000004352</t>
    <phoneticPr fontId="5"/>
  </si>
  <si>
    <t>Changing the Default Colors in Your Chart</t>
  </si>
  <si>
    <t>000005035</t>
    <phoneticPr fontId="5"/>
  </si>
  <si>
    <t>FY24Q3-10</t>
  </si>
  <si>
    <t>ED2406-MH-KB-FY24-06-JA Bugfix</t>
    <phoneticPr fontId="5"/>
  </si>
  <si>
    <t>000003721</t>
  </si>
  <si>
    <t>Link not work: For more information, see Salesforce Pardot to Salesforce Pardot SSO Connector Migration.</t>
    <phoneticPr fontId="5"/>
  </si>
  <si>
    <t>FY24Q4-01</t>
  </si>
  <si>
    <t xml:space="preserve">	Salesforce ExactTarget Connector</t>
    <phoneticPr fontId="5"/>
  </si>
  <si>
    <t>000003723</t>
    <phoneticPr fontId="5"/>
  </si>
  <si>
    <t>Salesforce Connector</t>
    <phoneticPr fontId="5"/>
  </si>
  <si>
    <t>000003667</t>
    <phoneticPr fontId="5"/>
  </si>
  <si>
    <t>ED2406-MH-KB-FY24-06-JA Bugfix-2</t>
  </si>
  <si>
    <t>000004678</t>
  </si>
  <si>
    <t>Link not work: For more information about aggregating data, see Aggregating your data.</t>
    <phoneticPr fontId="5"/>
  </si>
  <si>
    <t>ED2406-TO-KB-SFDC-JA Batch-1</t>
  </si>
  <si>
    <t>Salesforce Advanced Connector</t>
  </si>
  <si>
    <t>000003668</t>
  </si>
  <si>
    <t>Salesforce Chatter Connector</t>
  </si>
  <si>
    <t>000003243</t>
  </si>
  <si>
    <t>Salesforce Dashboard App</t>
  </si>
  <si>
    <t>000004169</t>
  </si>
  <si>
    <t>Salesforce Desk Connector</t>
  </si>
  <si>
    <t>000003488</t>
  </si>
  <si>
    <t>Salesforce Desk Dashboard App</t>
  </si>
  <si>
    <t>000004175</t>
  </si>
  <si>
    <t>000003723</t>
  </si>
  <si>
    <t>JosefK</t>
    <phoneticPr fontId="5"/>
  </si>
  <si>
    <t>000003667</t>
  </si>
  <si>
    <t>ED2406-TO-KB-SFDC-JA Batch-2</t>
    <phoneticPr fontId="5"/>
  </si>
  <si>
    <t>Salesforce ExactTarget Dashboard App</t>
  </si>
  <si>
    <t>000004168</t>
  </si>
  <si>
    <t>ED2406-TO-KB-SFDC-JA Batch-2</t>
  </si>
  <si>
    <t>Salesforce Marketing Cloud Rest Connector</t>
    <phoneticPr fontId="5"/>
  </si>
  <si>
    <t>000003251</t>
  </si>
  <si>
    <t>Salesforce Pardot Connector with Single Sign-On support</t>
  </si>
  <si>
    <t>000003246</t>
  </si>
  <si>
    <t>000004172</t>
  </si>
  <si>
    <t>Salesforce Pardot to Salesforce Pardot SSO Connector Migration</t>
  </si>
  <si>
    <t>000003254</t>
  </si>
  <si>
    <t>ED2406-TO-KB-SFDC-JA Batch-3</t>
  </si>
  <si>
    <t>Salesforce Radian6 Advanced Connector</t>
  </si>
  <si>
    <t>000003726</t>
  </si>
  <si>
    <t>Salesforce Radian6 Connector</t>
  </si>
  <si>
    <t>000003719</t>
  </si>
  <si>
    <t>Salesforce with Upsert Connector</t>
  </si>
  <si>
    <t>000003244</t>
  </si>
  <si>
    <t>Salesforce Writeback Connector</t>
  </si>
  <si>
    <t>000004026</t>
  </si>
  <si>
    <t>ED2406-TO-KB-Nested Bar Chart-JA</t>
  </si>
  <si>
    <t>000004686</t>
    <phoneticPr fontId="5"/>
  </si>
  <si>
    <t>Nested Bar with Line Chart</t>
  </si>
  <si>
    <t>000004687</t>
    <phoneticPr fontId="5"/>
  </si>
  <si>
    <t>ED2406-MH-KB-Card And Dashboard Management-JA Update</t>
  </si>
  <si>
    <t>000004094</t>
  </si>
  <si>
    <t>000004091</t>
  </si>
  <si>
    <t>000004979</t>
  </si>
  <si>
    <t>000004100</t>
  </si>
  <si>
    <t>ED2406-TO-KB-Tableau Connector-JA Update</t>
    <phoneticPr fontId="5"/>
  </si>
  <si>
    <t>Tableau Connector</t>
    <phoneticPr fontId="5"/>
  </si>
  <si>
    <t>ED2406-TO-PPT-Draft Japan University Bootcamp.pptx-JA</t>
  </si>
  <si>
    <t>Draft Japan University Bootcamp.pptx</t>
    <phoneticPr fontId="5"/>
  </si>
  <si>
    <t>ED2406-MH-KB-Republishing and Fix-JA Batch-1-Update</t>
  </si>
  <si>
    <t>000004087</t>
  </si>
  <si>
    <t>CS2406-MH-indd-BI+Comparison+Brief_+Domo+vs+Tableau.PDF-JA</t>
    <phoneticPr fontId="5"/>
  </si>
  <si>
    <t>ED2406-TO-KB-Box-JA Batch-1</t>
  </si>
  <si>
    <t>000003828</t>
  </si>
  <si>
    <t>Box Analytics Advanced Connector</t>
  </si>
  <si>
    <t>000003541</t>
  </si>
  <si>
    <t>Box Analytics Connector</t>
  </si>
  <si>
    <t>000003543</t>
  </si>
  <si>
    <t>Box Connector</t>
    <phoneticPr fontId="5"/>
  </si>
  <si>
    <t>000003948</t>
  </si>
  <si>
    <t>Sanjoy</t>
    <phoneticPr fontId="5"/>
  </si>
  <si>
    <t>ED2406-TO-KB-Box-JA Batch-2</t>
  </si>
  <si>
    <t>000003829</t>
  </si>
  <si>
    <t>Box Governance Connector</t>
  </si>
  <si>
    <t>000003442</t>
  </si>
  <si>
    <t>Box Plot Chart</t>
  </si>
  <si>
    <t>000004745</t>
  </si>
  <si>
    <t>ED2406-TO-KB-AWS-JA</t>
  </si>
  <si>
    <t>AWS Cost and Usage Dashboard</t>
  </si>
  <si>
    <t>000003284</t>
  </si>
  <si>
    <t>AWS Data Exchange Connector</t>
  </si>
  <si>
    <t>000003913</t>
  </si>
  <si>
    <t>FY24Q2-07</t>
  </si>
  <si>
    <t>AWS Data Exchange for Burbio Connector</t>
  </si>
  <si>
    <t>000003904</t>
  </si>
  <si>
    <t>AWS Data Exchange V2 Connector</t>
  </si>
  <si>
    <t>000003910</t>
  </si>
  <si>
    <t>AWS Domo Verizon IoT Pipeline</t>
  </si>
  <si>
    <t>000003150</t>
  </si>
  <si>
    <t>ED2406-TO-KB-Azure-JA</t>
    <phoneticPr fontId="5"/>
  </si>
  <si>
    <t>Azure Data Lake Storage Gen2 Using AAD Connector</t>
  </si>
  <si>
    <t>000003909</t>
  </si>
  <si>
    <t>Azure DevOps Connector</t>
  </si>
  <si>
    <t>000003245</t>
  </si>
  <si>
    <t>Azure SQL Data Warehouse Connector</t>
  </si>
  <si>
    <t>000003868</t>
  </si>
  <si>
    <t>Azure Synapse SQL Connector</t>
  </si>
  <si>
    <t>000003897</t>
  </si>
  <si>
    <t>000003844</t>
  </si>
  <si>
    <t>ED2406-TO-KB-Connectors-JA</t>
  </si>
  <si>
    <t>Microsoft SQL Server Writeback connector</t>
    <phoneticPr fontId="5"/>
  </si>
  <si>
    <t>000003986</t>
  </si>
  <si>
    <t>000003184</t>
  </si>
  <si>
    <t>ED2406-TO-KB-FY24-06 Requests-JA Batch-7</t>
  </si>
  <si>
    <t>Use Jupyter Workspaces with GitHub</t>
  </si>
  <si>
    <t>000005166</t>
  </si>
  <si>
    <t>Workflows Tracking</t>
  </si>
  <si>
    <t>000005179</t>
  </si>
  <si>
    <t>Admin Settings Overview</t>
    <phoneticPr fontId="5"/>
  </si>
  <si>
    <t>000003010</t>
  </si>
  <si>
    <t>Bing Ads Analytics App</t>
  </si>
  <si>
    <t>000004995</t>
  </si>
  <si>
    <t>ED2406-TO-KB-Cloud Amplifier Overview-JA</t>
    <phoneticPr fontId="5"/>
  </si>
  <si>
    <t>000003147</t>
    <phoneticPr fontId="5"/>
  </si>
  <si>
    <t>ED2406-TO-KB-Changes in Account Configuration Requirements for Connectors-JA</t>
    <phoneticPr fontId="5"/>
  </si>
  <si>
    <t>000005214</t>
    <phoneticPr fontId="5"/>
  </si>
  <si>
    <t>ED2407-MH-KB-Support-Update and Switch Card Assets-JANo-XTM</t>
  </si>
  <si>
    <t>Bug fix</t>
    <phoneticPr fontId="5"/>
  </si>
  <si>
    <t>ED2407-TO-KB-FY24-07 Requests-JA Batch-1</t>
  </si>
  <si>
    <t>Code Block Apps</t>
    <phoneticPr fontId="5"/>
  </si>
  <si>
    <t>000004139</t>
  </si>
  <si>
    <t>Setting Options for Gauges</t>
  </si>
  <si>
    <t>000005027</t>
  </si>
  <si>
    <t>Shape Gauge</t>
  </si>
  <si>
    <t>000004699</t>
  </si>
  <si>
    <t>ED2407-TO-KB-Jupyter-JA</t>
  </si>
  <si>
    <t>Jupyter Troubleshooting Guide</t>
    <phoneticPr fontId="5"/>
  </si>
  <si>
    <t>000003146</t>
  </si>
  <si>
    <t>000003145</t>
  </si>
  <si>
    <t>Jupyter Workspaces User Guide</t>
  </si>
  <si>
    <t>000004975</t>
  </si>
  <si>
    <t>ED2407-TO-KB-FY24-07 Requests-JA Batch-2</t>
  </si>
  <si>
    <t>Asset Manager</t>
  </si>
  <si>
    <t>000005000</t>
  </si>
  <si>
    <t>Asset Viewer</t>
  </si>
  <si>
    <t>000005003</t>
  </si>
  <si>
    <t>Domo APIs</t>
  </si>
  <si>
    <t>000004624</t>
  </si>
  <si>
    <t>Domo Architecture</t>
  </si>
  <si>
    <t>000004334</t>
  </si>
  <si>
    <t>000004347</t>
    <phoneticPr fontId="5"/>
  </si>
  <si>
    <t>ED2407-TO-KB-FY24-07 Requests-JA Batch-3</t>
  </si>
  <si>
    <t>Triggered Reports</t>
  </si>
  <si>
    <t>000005046</t>
  </si>
  <si>
    <t>Triggering a Campaign from a Domo DataSet Alert</t>
  </si>
  <si>
    <t>000004128</t>
  </si>
  <si>
    <t>Troubleshoot Single Sign-On Using SAML</t>
  </si>
  <si>
    <t>000003045</t>
  </si>
  <si>
    <t>ED2407-TO-KB-FY24-07 Requests-JA Batch-4</t>
  </si>
  <si>
    <t>000003983</t>
  </si>
  <si>
    <t>Accellion Connector</t>
  </si>
  <si>
    <t>000003280</t>
  </si>
  <si>
    <t>Accessing Business-in-a-Box Dashboards</t>
  </si>
  <si>
    <t>000004310</t>
  </si>
  <si>
    <t>000005009</t>
  </si>
  <si>
    <t>Act-On Connector</t>
  </si>
  <si>
    <t>000003810</t>
  </si>
  <si>
    <t>ED2407-TO-KB-Support-Urgent requests-JA Batch-1</t>
  </si>
  <si>
    <t>Videoのリンク修正</t>
  </si>
  <si>
    <t>000004350</t>
  </si>
  <si>
    <t>Upgrade to Workbench 5.2</t>
  </si>
  <si>
    <t>Enable Multi-factor Authentication</t>
    <phoneticPr fontId="5"/>
  </si>
  <si>
    <t>Changes in Account Configuration Requirements for Connectors</t>
  </si>
  <si>
    <t>000005214</t>
  </si>
  <si>
    <t>Kintone Connector</t>
  </si>
  <si>
    <t>000003418</t>
  </si>
  <si>
    <t>ED2407-TO-KB-Request-RMS Third Party Connector-JA</t>
  </si>
  <si>
    <t>000005249</t>
    <phoneticPr fontId="5"/>
  </si>
  <si>
    <t>ED2407-TO-KB-FY24-07 Requests-JA Batch-5</t>
  </si>
  <si>
    <t>Enterprise Data Copy</t>
  </si>
  <si>
    <t>000003031</t>
    <phoneticPr fontId="5"/>
  </si>
  <si>
    <t>Google BigQuery Enterprise Data Connector</t>
    <phoneticPr fontId="5"/>
  </si>
  <si>
    <t>000003864</t>
    <phoneticPr fontId="5"/>
  </si>
  <si>
    <t>000003941</t>
  </si>
  <si>
    <t>000003185</t>
  </si>
  <si>
    <t>ED2407-TO-KB-FY24-07 Requests-JA Batch-6</t>
  </si>
  <si>
    <t>DataSet Copy Unload Connector</t>
  </si>
  <si>
    <t>000004000</t>
  </si>
  <si>
    <t>Setting Up Direct Upload in Workbench 5.1</t>
    <phoneticPr fontId="5"/>
  </si>
  <si>
    <t>000004854</t>
  </si>
  <si>
    <t>adding chart annotations</t>
  </si>
  <si>
    <t>000004768</t>
  </si>
  <si>
    <t>英語KBにある、ビデオ動画の追加をお願いします。 ED2308-TO_KB-Zendesk FY23-Q3 08-JA_Update_Batch-6</t>
    <phoneticPr fontId="5"/>
  </si>
  <si>
    <t xml:space="preserve">Bubble Chart </t>
    <phoneticPr fontId="5"/>
  </si>
  <si>
    <t>000004744</t>
  </si>
  <si>
    <t>現在日本語版はDraftだがソースのBubble Chart (Deprecated) は廃止、用再翻訳</t>
    <rPh sb="0" eb="2">
      <t>ゲンザイ</t>
    </rPh>
    <rPh sb="2" eb="6">
      <t>ニホンゴバン</t>
    </rPh>
    <rPh sb="48" eb="49">
      <t>ヨウ</t>
    </rPh>
    <rPh sb="49" eb="50">
      <t>サイ</t>
    </rPh>
    <rPh sb="50" eb="52">
      <t>ホンヤク</t>
    </rPh>
    <phoneticPr fontId="5"/>
  </si>
  <si>
    <t>000004630</t>
  </si>
  <si>
    <t>ED2407-TO-KB-FY24-07 Requests-JA Batch-7</t>
  </si>
  <si>
    <t>domo mobile best practices</t>
  </si>
  <si>
    <t>000004326</t>
  </si>
  <si>
    <t>000002990</t>
  </si>
  <si>
    <t>understanding pages</t>
  </si>
  <si>
    <t>000004054</t>
  </si>
  <si>
    <t>viewing the version history for a dataflow</t>
  </si>
  <si>
    <t>000004556</t>
  </si>
  <si>
    <t>ED2407-TO-KB-FY24-07 Requests-JA Batch-8</t>
  </si>
  <si>
    <t>000003061</t>
  </si>
  <si>
    <t>000003048</t>
  </si>
  <si>
    <t>000004359</t>
  </si>
  <si>
    <t>000004653</t>
  </si>
  <si>
    <t>FY24Q3-08</t>
  </si>
  <si>
    <t>ED2407-TO-KB-FY24-07 Requests-JA Batch-9</t>
  </si>
  <si>
    <t>000003046</t>
  </si>
  <si>
    <t>000004810</t>
  </si>
  <si>
    <t>000004353</t>
  </si>
  <si>
    <t>000004654</t>
  </si>
  <si>
    <t>FY24Q3-09</t>
  </si>
  <si>
    <t>ED2409-MH-KB-Creating and Managing User Groups-JA Update</t>
  </si>
  <si>
    <t>Support</t>
  </si>
  <si>
    <t>ED2408-MH-KB-Support-Using the Domo PowerPoint Plugin-JA</t>
  </si>
  <si>
    <t>ムービー、画像のリンク切れ</t>
    <rPh sb="5" eb="7">
      <t>ガゾウ</t>
    </rPh>
    <rPh sb="11" eb="12">
      <t>ギ</t>
    </rPh>
    <phoneticPr fontId="5"/>
  </si>
  <si>
    <t>ED2408-TO-KB-Support-August -JA Batch-1</t>
  </si>
  <si>
    <t>000004691</t>
  </si>
  <si>
    <t>ベータの削除およびPNGファイルの大きさ修正</t>
    <phoneticPr fontId="5"/>
  </si>
  <si>
    <t>Zoho CRM Connector</t>
  </si>
  <si>
    <t>英語KBの「FAQ」の追加および「Intro」前の削除更新をしました。</t>
  </si>
  <si>
    <t>英語KBの「Getting this Feature」の追加をしました。上記のみの修正　or 最新版へのアップデートをお願いします。</t>
    <phoneticPr fontId="5"/>
  </si>
  <si>
    <t>ED2408-TO-KB-Support-August -JA Batch-2</t>
  </si>
  <si>
    <t>000003835</t>
  </si>
  <si>
    <t>relocalized</t>
    <phoneticPr fontId="5"/>
  </si>
  <si>
    <t>Simplified Server Migration in Workbench 5.1</t>
  </si>
  <si>
    <t>000004851</t>
  </si>
  <si>
    <t>Sprinklr Connector</t>
  </si>
  <si>
    <t>000003700</t>
  </si>
  <si>
    <t>Top 10 Dashboard Design Best Practices</t>
  </si>
  <si>
    <t>000004463</t>
  </si>
  <si>
    <t>ED2408-TO-KB-Support-August -JA Batch-3</t>
  </si>
  <si>
    <t>ED2407-TO-KB-Support-Asset Library-JA</t>
  </si>
  <si>
    <t>000005016</t>
  </si>
  <si>
    <t>Support request: Building Apps</t>
    <phoneticPr fontId="5"/>
  </si>
  <si>
    <t>Creating a Card from Your CourseBuilder App in the Asset Library</t>
    <phoneticPr fontId="5"/>
  </si>
  <si>
    <t>000004506</t>
    <phoneticPr fontId="5"/>
  </si>
  <si>
    <t>Syncing Value Scales in a Dual-Scale Chart</t>
  </si>
  <si>
    <t>000005030</t>
  </si>
  <si>
    <t>ED2407-MH-KB-Support-AppDB Admin User Interface-JA</t>
  </si>
  <si>
    <t>ED2407-TO-KB-Request-TikTok Third Party Connector-JA</t>
    <phoneticPr fontId="5"/>
  </si>
  <si>
    <t>Aspectiva Connector</t>
  </si>
  <si>
    <t>000003544</t>
    <phoneticPr fontId="5"/>
  </si>
  <si>
    <t>ED2407-TO-KB-Request-TikTok Third Party Connector-2-JA</t>
  </si>
  <si>
    <t>000005255</t>
    <phoneticPr fontId="5"/>
  </si>
  <si>
    <t>ED2407-TO-KB-FY24-07 Connectors-JA</t>
  </si>
  <si>
    <t>000003821</t>
  </si>
  <si>
    <t>Pendo Connector</t>
    <phoneticPr fontId="5"/>
  </si>
  <si>
    <t>000003508</t>
  </si>
  <si>
    <t>Okta Connector</t>
  </si>
  <si>
    <t>000003561</t>
  </si>
  <si>
    <t>000003198</t>
  </si>
  <si>
    <t>Concur Connector</t>
    <phoneticPr fontId="5"/>
  </si>
  <si>
    <t>000003822</t>
  </si>
  <si>
    <t>Mixpanel Connector</t>
    <phoneticPr fontId="5"/>
  </si>
  <si>
    <t>000003520</t>
  </si>
  <si>
    <t>Asana Connector</t>
    <phoneticPr fontId="5"/>
  </si>
  <si>
    <t>000003431</t>
  </si>
  <si>
    <t>ED2407-TO-KB-July 2023 Release Notes-JA</t>
  </si>
  <si>
    <t xml:space="preserve">	000005151</t>
    <phoneticPr fontId="5"/>
  </si>
  <si>
    <t>ED2408-TO-KB-Request-July 2023 release updates-JA</t>
  </si>
  <si>
    <t>Domo Add-ins for Microsoft 365 Desktop Apps User Guide</t>
    <phoneticPr fontId="5"/>
  </si>
  <si>
    <t>Certify Cards and DataSets</t>
    <phoneticPr fontId="5"/>
  </si>
  <si>
    <t>000003015</t>
    <phoneticPr fontId="5"/>
  </si>
  <si>
    <t>Format Values in Your Chart</t>
    <phoneticPr fontId="5"/>
  </si>
  <si>
    <t>000004642</t>
    <phoneticPr fontId="5"/>
  </si>
  <si>
    <t>Publish Content to a Subscriber Organization</t>
    <phoneticPr fontId="5"/>
  </si>
  <si>
    <t>000004983</t>
  </si>
  <si>
    <t>ED2408-TO-KB-Request-July 2023 release related-JA Batch-1</t>
  </si>
  <si>
    <t>Subset Processing &amp; Partitioning in Magic ETL</t>
    <phoneticPr fontId="5"/>
  </si>
  <si>
    <t>000005150</t>
    <phoneticPr fontId="5"/>
  </si>
  <si>
    <t>Manage API Clients</t>
  </si>
  <si>
    <t>000005240</t>
  </si>
  <si>
    <t>Advanced DataFlow Triggering</t>
    <phoneticPr fontId="5"/>
  </si>
  <si>
    <t>000005216</t>
    <phoneticPr fontId="5"/>
  </si>
  <si>
    <t>ED2408-TO-KB-Request-July 2023 release related-JA Batch-2</t>
  </si>
  <si>
    <t>000004974</t>
    <phoneticPr fontId="5"/>
  </si>
  <si>
    <t>Register Google BigQuery with Cloud Amplifier</t>
    <phoneticPr fontId="5"/>
  </si>
  <si>
    <t>000005237</t>
    <phoneticPr fontId="5"/>
  </si>
  <si>
    <t>ED2408-TO-KB-Request-July 2023 release related-JA Batch-3</t>
  </si>
  <si>
    <t>Flex Map v2 Implementation Guide</t>
    <phoneticPr fontId="5"/>
  </si>
  <si>
    <t>000005073</t>
    <phoneticPr fontId="5"/>
  </si>
  <si>
    <t>Flex Map v2 User Guide</t>
    <phoneticPr fontId="5"/>
  </si>
  <si>
    <t>000005048</t>
    <phoneticPr fontId="5"/>
  </si>
  <si>
    <t>Enterprise Data Copy</t>
    <phoneticPr fontId="5"/>
  </si>
  <si>
    <t>000005197</t>
    <phoneticPr fontId="5"/>
  </si>
  <si>
    <t>ED2408-TO-App-July 2023-JA</t>
  </si>
  <si>
    <t>July 2023 Release Update-CB</t>
  </si>
  <si>
    <t>N/A</t>
  </si>
  <si>
    <t>Subset Processing and Partitioning in Magic ETL-CB</t>
  </si>
  <si>
    <t>ED2408-TO-KB-Release Updates-JA</t>
  </si>
  <si>
    <t>2023 March Release Notes</t>
  </si>
  <si>
    <t>000005256</t>
  </si>
  <si>
    <t>2022  July Release Notes</t>
  </si>
  <si>
    <t>000004985</t>
  </si>
  <si>
    <t>2022 March Release Notes</t>
  </si>
  <si>
    <t>000004919</t>
  </si>
  <si>
    <t>2020 March Release Notes</t>
  </si>
  <si>
    <t>000004421</t>
  </si>
  <si>
    <t>2022 October Release Notes</t>
  </si>
  <si>
    <t>000005174</t>
  </si>
  <si>
    <t>ED2408-MH-KB-July 2023 Release Notes-JA Update</t>
  </si>
  <si>
    <t>000004968</t>
  </si>
  <si>
    <t>ED2408-MH-KB-Receiving and Viewing Notifications-JA</t>
  </si>
  <si>
    <t>000004351</t>
  </si>
  <si>
    <t>Content not updated 原因不明</t>
    <rPh sb="20" eb="24">
      <t>ゲンインフメイ</t>
    </rPh>
    <phoneticPr fontId="5"/>
  </si>
  <si>
    <t>ED2410-MH-KB-Receiving and Viewing Notifications-JA Update</t>
  </si>
  <si>
    <t>ED2408-MH-KB-Configuring Notification and Alert Settings-JA Update</t>
  </si>
  <si>
    <t>000004354</t>
  </si>
  <si>
    <t>ED2408-TO-KB-Support-August -JA Batch-4</t>
  </si>
  <si>
    <t>English updated</t>
    <phoneticPr fontId="5"/>
  </si>
  <si>
    <t>000003057
2405-TO-KB-FY24-05 Requests-JA</t>
    <phoneticPr fontId="5"/>
  </si>
  <si>
    <t>000005149</t>
    <phoneticPr fontId="5"/>
  </si>
  <si>
    <t>英語版 Archived</t>
    <rPh sb="0" eb="3">
      <t>エイゴバン</t>
    </rPh>
    <phoneticPr fontId="5"/>
  </si>
  <si>
    <t>Time Zone Troubleshooting FAQ</t>
  </si>
  <si>
    <t>000003060</t>
  </si>
  <si>
    <t>Note/Tipsの枠を、日本語KB側も同じ表示で要修正</t>
  </si>
  <si>
    <t>ED2408-TO-KB-Support-August -JA Batch-5</t>
  </si>
  <si>
    <t>How Do I Distribute Domo Data? Relocalized</t>
    <phoneticPr fontId="5"/>
  </si>
  <si>
    <t>000004489</t>
  </si>
  <si>
    <t>Draft removed(root cause unknown)</t>
    <phoneticPr fontId="5"/>
  </si>
  <si>
    <t>Certify Cards and DataSets</t>
  </si>
  <si>
    <t>000003015</t>
  </si>
  <si>
    <t>Buzz Layout</t>
  </si>
  <si>
    <t>000004311</t>
  </si>
  <si>
    <t>ED2408-TO-KB-Support-August -JA Batch-6</t>
  </si>
  <si>
    <t>Note/Tipsの枠を、日本語KB側も同じ表示で要修正</t>
    <phoneticPr fontId="5"/>
  </si>
  <si>
    <t>ED2405-TO-KB-Support-FY24-05 Requests-JA Batch-1
ED2405-TO-KB-FY24-05 Requests-JA Batch-2</t>
    <phoneticPr fontId="5"/>
  </si>
  <si>
    <t>Cloud Amplifier Support in Workbench 5.2</t>
    <phoneticPr fontId="5"/>
  </si>
  <si>
    <t>000004806</t>
  </si>
  <si>
    <t>「To change the owner of multiple DataSets at once,」がなぜかDataFlowとなっています。　「一度に複数のDataSetの所有者を変更するには」に修正お願いします。</t>
  </si>
  <si>
    <t>ED2408-TO-KB-Support-August -JA Batch-7</t>
  </si>
  <si>
    <t>000004733</t>
  </si>
  <si>
    <t>Domo ＞ Building Apps に日本語KBをリンクしてください。</t>
  </si>
  <si>
    <t>Leaving Table Cards Behind: Effective Chart Types for Reporting</t>
  </si>
  <si>
    <t>000004987</t>
  </si>
  <si>
    <t>リンク＞Query参照</t>
    <rPh sb="9" eb="11">
      <t>サンショウ</t>
    </rPh>
    <phoneticPr fontId="5"/>
  </si>
  <si>
    <t>ED2408-TO-KB-Support-Urgent requests-JA</t>
  </si>
  <si>
    <t>System Requirements</t>
  </si>
  <si>
    <t>000004340</t>
  </si>
  <si>
    <t>Workbenchのシステム要件(System Requirements for Workbench)の記載が漏れています。</t>
  </si>
  <si>
    <t>000003922</t>
  </si>
  <si>
    <t>ED2409-TO-KB-September-JA Batch-4</t>
  </si>
  <si>
    <t>Governance Settings Overview</t>
    <phoneticPr fontId="5"/>
  </si>
  <si>
    <t>000005147</t>
    <phoneticPr fontId="5"/>
  </si>
  <si>
    <t>英語版アップデート</t>
    <rPh sb="0" eb="3">
      <t>エイゴバン</t>
    </rPh>
    <phoneticPr fontId="5"/>
  </si>
  <si>
    <t>000005173</t>
    <phoneticPr fontId="5"/>
  </si>
  <si>
    <t>Domo Add-ins for Microsoft 365 Enterprise Installation Guide</t>
    <phoneticPr fontId="5"/>
  </si>
  <si>
    <t>Domo Add-ins for Microsoft 365 Installation Guide</t>
    <phoneticPr fontId="5"/>
  </si>
  <si>
    <t>ED2408-TO-KB-Request-Change User Information-JA</t>
  </si>
  <si>
    <t>Change User Information</t>
    <phoneticPr fontId="5"/>
  </si>
  <si>
    <t>000004064</t>
  </si>
  <si>
    <t>中島さんのリクエスト</t>
    <rPh sb="0" eb="2">
      <t>ナカジマ</t>
    </rPh>
    <phoneticPr fontId="5"/>
  </si>
  <si>
    <t>ED2408-MH-KB-Support-Submitting Domo Product Feedback-JA Update</t>
  </si>
  <si>
    <t>ED2408-TO-KB-August -JA New Batch-1</t>
  </si>
  <si>
    <t>000003191</t>
  </si>
  <si>
    <t>Apache Kafka Connector</t>
    <phoneticPr fontId="5"/>
  </si>
  <si>
    <t>000003406</t>
  </si>
  <si>
    <t>Apache Kafka REST Connector</t>
    <phoneticPr fontId="5"/>
  </si>
  <si>
    <t>000003605</t>
  </si>
  <si>
    <t>ED2408-TO-KB-August -JA New Batch-2</t>
  </si>
  <si>
    <t>Twitter Dashboard App</t>
  </si>
  <si>
    <t>000005008</t>
  </si>
  <si>
    <t>Velocify Advanced Connector</t>
  </si>
  <si>
    <t>000003657</t>
  </si>
  <si>
    <t>ED2408-TO-KB-August -JA New Batch-3</t>
  </si>
  <si>
    <t>Velocify Connector</t>
  </si>
  <si>
    <t>000004917</t>
  </si>
  <si>
    <t>000003875</t>
  </si>
  <si>
    <t>VerticalResponse Connector</t>
  </si>
  <si>
    <t>000003691</t>
  </si>
  <si>
    <t>ED2410-TO-KB-Support-Youtube-JA</t>
  </si>
  <si>
    <t>YouTube Reporting Enterprise Connector</t>
    <phoneticPr fontId="5"/>
  </si>
  <si>
    <t>000003339</t>
    <phoneticPr fontId="5"/>
  </si>
  <si>
    <t>Requested by Support. Sanoy: Article is Draft</t>
    <phoneticPr fontId="5"/>
  </si>
  <si>
    <t>YouTube Reporting Connector</t>
  </si>
  <si>
    <t>000003336</t>
    <phoneticPr fontId="5"/>
  </si>
  <si>
    <t>YouTube Enterprise Advanced Connector</t>
    <phoneticPr fontId="5"/>
  </si>
  <si>
    <t>000003342</t>
    <phoneticPr fontId="5"/>
  </si>
  <si>
    <t>YouTube Reporting Partition Connector</t>
    <phoneticPr fontId="5"/>
  </si>
  <si>
    <t>000003968</t>
    <phoneticPr fontId="5"/>
  </si>
  <si>
    <t>YouTube Viewer Demographic App</t>
    <phoneticPr fontId="5"/>
  </si>
  <si>
    <t>000004158</t>
    <phoneticPr fontId="5"/>
  </si>
  <si>
    <t>Adding Captions to YouTube Videos</t>
    <phoneticPr fontId="5"/>
  </si>
  <si>
    <t>000005109</t>
    <phoneticPr fontId="5"/>
  </si>
  <si>
    <t>ED2409-TO-KB-September-JA Batch-1</t>
  </si>
  <si>
    <t>Chat in Buzz</t>
    <phoneticPr fontId="5"/>
  </si>
  <si>
    <t>000004312</t>
  </si>
  <si>
    <t>Link issus</t>
    <phoneticPr fontId="5"/>
  </si>
  <si>
    <t>Single Value Gauge</t>
  </si>
  <si>
    <t>000004697</t>
  </si>
  <si>
    <t>000004640</t>
  </si>
  <si>
    <t>ED2409-TO-KB-September-JA Batch-2</t>
    <phoneticPr fontId="5"/>
  </si>
  <si>
    <t>000004982</t>
  </si>
  <si>
    <t>ED2409-TO-KB-September-JA Batch-2</t>
  </si>
  <si>
    <t>000003534</t>
  </si>
  <si>
    <t>000004395</t>
  </si>
  <si>
    <t>ED2409-TO-KB-September-JA Batch-3</t>
  </si>
  <si>
    <t>000004634</t>
  </si>
  <si>
    <t>000004116</t>
  </si>
  <si>
    <t>000004366</t>
  </si>
  <si>
    <t>000004498</t>
  </si>
  <si>
    <t>ED2409-TO-Document-Domo.AI field enablement assets-JA</t>
  </si>
  <si>
    <t>Domo.AI Sell Sheet.pdf</t>
    <phoneticPr fontId="5"/>
  </si>
  <si>
    <t>Requested by Albert</t>
    <phoneticPr fontId="5"/>
  </si>
  <si>
    <t>ED2410-TO-Document-Domo.AI field enablement assets-JA</t>
  </si>
  <si>
    <t>Domo.AI Customer Deck</t>
    <phoneticPr fontId="5"/>
  </si>
  <si>
    <t>MK2409-TO-Movie-domo-ai-overview-captions.vtt-JA</t>
  </si>
  <si>
    <t>ED2409-TO-KB-What Are Consumption Credits and How Do They Work-JA</t>
  </si>
  <si>
    <t>000005280</t>
    <phoneticPr fontId="5"/>
  </si>
  <si>
    <t>ED2409-MH-KB-Whitelisting IP Addresses in Domo-JA Update</t>
  </si>
  <si>
    <t>ED2409-TO-KB-What Are Consumption Credits and How Do They Work-JA Update</t>
  </si>
  <si>
    <t>Will be published when EN has been published</t>
    <phoneticPr fontId="5"/>
  </si>
  <si>
    <t>ED2409-MH-KB-Support-Troubleshooting Domo-JA Bugfix</t>
  </si>
  <si>
    <t>000004377</t>
  </si>
  <si>
    <t>ED2409-TO-KB-Support-Support urgent request-JA Bugfix</t>
  </si>
  <si>
    <t>000003889</t>
    <phoneticPr fontId="5"/>
  </si>
  <si>
    <t>Link</t>
    <phoneticPr fontId="5"/>
  </si>
  <si>
    <t>Managing Custom Roles</t>
  </si>
  <si>
    <t>000004059</t>
    <phoneticPr fontId="5"/>
  </si>
  <si>
    <t>ビデオリンク切れ</t>
    <rPh sb="6" eb="7">
      <t>ギ</t>
    </rPh>
    <phoneticPr fontId="5"/>
  </si>
  <si>
    <t>Domo Add-ins for Microsoft 365 Apps User Guide</t>
    <phoneticPr fontId="5"/>
  </si>
  <si>
    <t>再ローカライズ</t>
    <rPh sb="0" eb="1">
      <t>サイ</t>
    </rPh>
    <phoneticPr fontId="5"/>
  </si>
  <si>
    <t>ED2409-TO-KB-Support-September request-JA Batch-1</t>
    <phoneticPr fontId="5"/>
  </si>
  <si>
    <t>Changing the Legend Position in Your Chart</t>
  </si>
  <si>
    <t>000005037</t>
  </si>
  <si>
    <t>ED2409-TO-KB-Support-September request-JA Batch-1</t>
  </si>
  <si>
    <t>Deprecated Chart Properties</t>
  </si>
  <si>
    <t>000004649</t>
  </si>
  <si>
    <t>Filtering Outliers in a Line Chart</t>
  </si>
  <si>
    <t>000005036</t>
  </si>
  <si>
    <t>Properties for Data Science Charts</t>
  </si>
  <si>
    <t>000005025</t>
  </si>
  <si>
    <t>Properties for Gauges</t>
  </si>
  <si>
    <t>000005026</t>
  </si>
  <si>
    <t>ED2409-TO-KB-Support-September request-JA Batch-2</t>
    <phoneticPr fontId="5"/>
  </si>
  <si>
    <t>Specifying the Number of Value Scale Gridlines in Your Chart</t>
  </si>
  <si>
    <t>000005032</t>
  </si>
  <si>
    <t>ED2409-TO-KB-Support-September request-JA Batch-2</t>
  </si>
  <si>
    <t>Specifying the Size of Bars in Bar Charts</t>
  </si>
  <si>
    <t>000005029</t>
  </si>
  <si>
    <t>ED2409-MH-KB-Whitelisting IP Addresses in Domo-JA</t>
    <phoneticPr fontId="5"/>
  </si>
  <si>
    <t>Whitelisting IP Addresses in Domo</t>
    <phoneticPr fontId="5"/>
  </si>
  <si>
    <t>000003021</t>
    <phoneticPr fontId="5"/>
  </si>
  <si>
    <t>tO</t>
    <phoneticPr fontId="5"/>
  </si>
  <si>
    <t>ED2409-MH-KB-Projecting the Last Value in Your Chart-JA Update</t>
    <phoneticPr fontId="5"/>
  </si>
  <si>
    <t>ED2409-TO-KB-Requested by Hiro-JA</t>
  </si>
  <si>
    <t>Workflows Overview</t>
    <phoneticPr fontId="5"/>
  </si>
  <si>
    <t>000005108</t>
    <phoneticPr fontId="5"/>
  </si>
  <si>
    <t>Kicked off in another project:ED2409-TO-KB-September-JA Batch-4</t>
    <phoneticPr fontId="5"/>
  </si>
  <si>
    <t>Workflows Tracking</t>
    <phoneticPr fontId="5"/>
  </si>
  <si>
    <t>Adrenaline DataFlow Functions Reference Guide</t>
    <phoneticPr fontId="5"/>
  </si>
  <si>
    <t>000004584</t>
  </si>
  <si>
    <t>Optimizing a SQL DataFlow</t>
    <phoneticPr fontId="5"/>
  </si>
  <si>
    <t>000004595</t>
  </si>
  <si>
    <t>000005216</t>
  </si>
  <si>
    <t>Kicked off in another project：ED2408-TO-KB-Request-July 2023 release related-JA Batch-1</t>
    <phoneticPr fontId="5"/>
  </si>
  <si>
    <t>Creating a Rank or Row Count</t>
    <phoneticPr fontId="5"/>
  </si>
  <si>
    <t>000004609</t>
  </si>
  <si>
    <t>ED2410-TO-KB-Vertica Connector-JA</t>
  </si>
  <si>
    <t>Vertica Connector</t>
  </si>
  <si>
    <t>Kicked off in another project：ED2408-TO-KB-August -JA New Batch-3</t>
    <phoneticPr fontId="5"/>
  </si>
  <si>
    <t>ED2410-TO-KB-Instructor Led Courses Related articles-JA</t>
    <phoneticPr fontId="5"/>
  </si>
  <si>
    <t>Determining When to Use Cards vs. Apps</t>
  </si>
  <si>
    <t>000004474</t>
  </si>
  <si>
    <t>ED2410-TO-KB-Instructor Led Courses Related articles-JA</t>
  </si>
  <si>
    <t>Card Certification Requirements</t>
  </si>
  <si>
    <t>000004482</t>
  </si>
  <si>
    <t>Card, Data, and Page Best Practices</t>
  </si>
  <si>
    <t>000004480</t>
  </si>
  <si>
    <t>DataSet Validation Requirements</t>
  </si>
  <si>
    <t>000004475</t>
  </si>
  <si>
    <t>What if Your MajorDomo/Executive Sponsor/Data Specialist Leaves?</t>
  </si>
  <si>
    <t>000004487</t>
  </si>
  <si>
    <t>ED2410-TO-KB-Support-DomoStats Connector-JA</t>
  </si>
  <si>
    <t xml:space="preserve"> ED2409-TO-KB-September-JA Batch-2が終わったらアップデート</t>
    <rPh sb="35" eb="36">
      <t>オ</t>
    </rPh>
    <phoneticPr fontId="5"/>
  </si>
  <si>
    <t xml:space="preserve">DomoStats Connector Failure Report </t>
  </si>
  <si>
    <t>000003297</t>
    <phoneticPr fontId="5"/>
  </si>
  <si>
    <t>000004968</t>
    <phoneticPr fontId="5"/>
  </si>
  <si>
    <t>ED2410-TO-KB-October 2023 Release Notes-JA Update</t>
    <phoneticPr fontId="5"/>
  </si>
  <si>
    <t>ED2410-TO-KB-October 2023 Release Related-JA Batch-1</t>
  </si>
  <si>
    <t>Company Settings</t>
  </si>
  <si>
    <t>Needs manual modifications. See Queries</t>
    <phoneticPr fontId="5"/>
  </si>
  <si>
    <t>000005298</t>
    <phoneticPr fontId="5"/>
  </si>
  <si>
    <t>Deprecated/Link修正 en_US</t>
  </si>
  <si>
    <t>Data Science Charts: Correlation and Confusion Matrix</t>
    <phoneticPr fontId="5"/>
  </si>
  <si>
    <t>000005302</t>
  </si>
  <si>
    <t>AI: Text-to-Beast Mode Calculation (Beta)</t>
  </si>
  <si>
    <t>000005304</t>
    <phoneticPr fontId="5"/>
  </si>
  <si>
    <t>ED2410-TO-KB-October 2023 Release Related-JA Batch-2</t>
  </si>
  <si>
    <t>000005164</t>
    <phoneticPr fontId="5"/>
  </si>
  <si>
    <t>Nested Beast Mode Calculations (Beta)</t>
  </si>
  <si>
    <t>000005307</t>
    <phoneticPr fontId="5"/>
  </si>
  <si>
    <t>000005024</t>
  </si>
  <si>
    <t xml:space="preserve">Asset Library </t>
  </si>
  <si>
    <t>000005016</t>
    <phoneticPr fontId="5"/>
  </si>
  <si>
    <t>AI Service Layer Settings</t>
  </si>
  <si>
    <t>000005279</t>
    <phoneticPr fontId="5"/>
  </si>
  <si>
    <t>ED2410-TO-KB-October 2023 Release Related-JA Batch-3</t>
  </si>
  <si>
    <t>Campaigns User Guide</t>
  </si>
  <si>
    <t xml:space="preserve">Geocoder User Guide </t>
  </si>
  <si>
    <t>000005121</t>
    <phoneticPr fontId="5"/>
  </si>
  <si>
    <t>000003007</t>
    <phoneticPr fontId="5"/>
  </si>
  <si>
    <t>ED2410-TO-KB-October 2023 Release Related-JA Batch-3</t>
    <phoneticPr fontId="5"/>
  </si>
  <si>
    <t>Embed Domo Content</t>
    <phoneticPr fontId="5"/>
  </si>
  <si>
    <t>000005021</t>
    <phoneticPr fontId="5"/>
  </si>
  <si>
    <t>CS2410-TO-Movie-AI Workflow Demo.srt-JA</t>
  </si>
  <si>
    <t>AI Service Layer Intro.srt</t>
    <phoneticPr fontId="5"/>
  </si>
  <si>
    <t>ED2410-TO-App-October 2023 Release Updates - Japan-JA</t>
    <phoneticPr fontId="5"/>
  </si>
  <si>
    <t>Using Personalized Data Permissions-CB</t>
  </si>
  <si>
    <t>October 2023 Release Update-CB</t>
  </si>
  <si>
    <t>ED2410-TO-KB-Support-October request-JA Batch-1</t>
  </si>
  <si>
    <t>Reassigned to US</t>
    <phoneticPr fontId="5"/>
  </si>
  <si>
    <t>「ヒントとコツ：パワーユーザーによるクイックレッスン」のURL           Source issue</t>
    <phoneticPr fontId="5"/>
  </si>
  <si>
    <t>000004379</t>
  </si>
  <si>
    <t>信頼済み属性 を　属性　に修正してください</t>
    <phoneticPr fontId="5"/>
  </si>
  <si>
    <t>ED2410-TO-KB-Support-October request-JA Batch-2</t>
  </si>
  <si>
    <t>[属性]への修正依頼です</t>
  </si>
  <si>
    <t>日本語KB側のレポート名は、英語のままにしてください</t>
  </si>
  <si>
    <t>DomoStats Connector Failure Report (Beta)</t>
  </si>
  <si>
    <t>ED2410-TO-KB-Support-October request-JA Batch-3</t>
    <phoneticPr fontId="5"/>
  </si>
  <si>
    <t>CSV SFTP Push Connector</t>
  </si>
  <si>
    <t>000003942</t>
  </si>
  <si>
    <t>枠の日本語略がありません。場所はClickに複写しました</t>
  </si>
  <si>
    <t>ED2410-TO-KB-Support-October request-JA Batch-3</t>
  </si>
  <si>
    <t>アップデートされていなかった？？</t>
    <phoneticPr fontId="5"/>
  </si>
  <si>
    <t>Published but not fixed</t>
    <phoneticPr fontId="5"/>
  </si>
  <si>
    <t>英語KBの最初のNoteWarningの部分が反映されていないため</t>
  </si>
  <si>
    <t>FY24Q4-11</t>
  </si>
  <si>
    <t>ED2411-TO-KB-Free Domo Overview-JA</t>
  </si>
  <si>
    <t>000005309</t>
    <phoneticPr fontId="5"/>
  </si>
  <si>
    <t>要リンク修正、Draftを削除の後再ローカライズ</t>
    <rPh sb="0" eb="1">
      <t>ヨウ</t>
    </rPh>
    <rPh sb="4" eb="6">
      <t>シュウセイ</t>
    </rPh>
    <rPh sb="13" eb="17">
      <t>サクジョノノチ</t>
    </rPh>
    <rPh sb="17" eb="18">
      <t>サイ</t>
    </rPh>
    <phoneticPr fontId="5"/>
  </si>
  <si>
    <t>CS2411-TO-Movie-Daren Video for Shimadzu in Kyoto-JA</t>
  </si>
  <si>
    <t>23-daren-customer-video-japan-caption-v1.mp4</t>
    <phoneticPr fontId="5"/>
  </si>
  <si>
    <t>SO2411-TO-Document-Service order-JA</t>
    <phoneticPr fontId="5"/>
  </si>
  <si>
    <t>OnlineTermsWIP - Nov 8 2023 .docx</t>
  </si>
  <si>
    <t>Requested by Yuka Otagaki</t>
    <phoneticPr fontId="5"/>
  </si>
  <si>
    <t>Client_New or Renewal Service Order_RW ENG_Q-49709_Template for Translation Vendor_Nov 8 2023.docx</t>
  </si>
  <si>
    <t>ED2411-TO-KB-Free Domo Overview-JA Batch-２</t>
    <phoneticPr fontId="5"/>
  </si>
  <si>
    <t>Urgent</t>
    <phoneticPr fontId="5"/>
  </si>
  <si>
    <t>ED2411-TO-KB-Support-November Urgent-JA</t>
  </si>
  <si>
    <t>ED2411-TO-KB-Support-November-JA Batch-1</t>
  </si>
  <si>
    <t>Microsoft Dynamics CRM REST Connector</t>
  </si>
  <si>
    <t>Editing a Notebook Card</t>
    <phoneticPr fontId="5"/>
  </si>
  <si>
    <t>000004112</t>
    <phoneticPr fontId="5"/>
  </si>
  <si>
    <t>ED2411-TO-KB-Support-November-JA Batch-2</t>
  </si>
  <si>
    <t>CSV SFTP Push Connector</t>
    <phoneticPr fontId="5"/>
  </si>
  <si>
    <t>ED2411-TO-KB-Support-November-JA Batch-3</t>
  </si>
  <si>
    <t>ED2411-TO-KB-Support-November-JA Batch-4</t>
  </si>
  <si>
    <t>How Do I Distribute Domo Data?</t>
  </si>
  <si>
    <t>ED2411-TO-KB-Support-November-JA Batch-5</t>
  </si>
  <si>
    <t>Update and Switch Card Assets</t>
    <phoneticPr fontId="5"/>
  </si>
  <si>
    <t>Deploy, Request, and Remove Apps</t>
  </si>
  <si>
    <t>000005182</t>
  </si>
  <si>
    <t>Pending. US - EN Draft</t>
    <phoneticPr fontId="5"/>
  </si>
  <si>
    <t>Waterfall Chart</t>
  </si>
  <si>
    <t>000004665</t>
  </si>
  <si>
    <t>ED2411-TO-KB-Using the Domo PowerPoint Plugin-JA</t>
  </si>
  <si>
    <t>000004255</t>
  </si>
  <si>
    <t>ED2411-TO-KB-Support-Editing a Magic ETL DataFlow-JA</t>
  </si>
  <si>
    <t>000004574</t>
  </si>
  <si>
    <t>ED2411-MH-KB-Link issues-JA</t>
  </si>
  <si>
    <t>Link修正 en_US</t>
    <rPh sb="4" eb="6">
      <t>シュウセイ</t>
    </rPh>
    <phoneticPr fontId="5"/>
  </si>
  <si>
    <t>ED2411-TO-KB-Packed Bubble-JA</t>
  </si>
  <si>
    <t>Deprecated/Link修正 en_US</t>
    <rPh sb="15" eb="17">
      <t>シュウセイ</t>
    </rPh>
    <phoneticPr fontId="5"/>
  </si>
  <si>
    <t>ED2410-TO-KB-Instructor Led Courses-JA</t>
  </si>
  <si>
    <t>nstructor-Led Courses in Japan.docx</t>
    <phoneticPr fontId="5"/>
  </si>
  <si>
    <t>000004552</t>
    <phoneticPr fontId="5"/>
  </si>
  <si>
    <t>DOC</t>
    <phoneticPr fontId="5"/>
  </si>
  <si>
    <t>ED2411-TO-KB-Instructor Led Courses-EN</t>
  </si>
  <si>
    <t>ED2411-TO-KB-Instructor Led Courses-JA</t>
  </si>
  <si>
    <t>ED2411-MH-KB-Instructor Led Courses-EN New</t>
  </si>
  <si>
    <t>Instructor-Led Courses in Japan</t>
    <phoneticPr fontId="5"/>
  </si>
  <si>
    <t>000005320</t>
  </si>
  <si>
    <t>Not in XTM</t>
    <phoneticPr fontId="5"/>
  </si>
  <si>
    <t>ED2411-TO-KB-Instructor-Led Courses in Japan-JA New</t>
  </si>
  <si>
    <t>FY24Q4-12</t>
  </si>
  <si>
    <t>ED2412-TO-KB-RMS Third Party Connector-JA Update</t>
  </si>
  <si>
    <t>000005249</t>
  </si>
  <si>
    <t>ED2411-TO-KB-November-JA Batch-6</t>
  </si>
  <si>
    <t>Domo Add-ins for Microsoft 365 | Manual Installation Guide for Enterprise</t>
    <phoneticPr fontId="5"/>
  </si>
  <si>
    <t>000005145</t>
    <phoneticPr fontId="5"/>
  </si>
  <si>
    <t>Magic ETL DataFlow Auto Append Processing</t>
  </si>
  <si>
    <t>000004582</t>
  </si>
  <si>
    <t>DataSet Update Methods</t>
    <phoneticPr fontId="10"/>
  </si>
  <si>
    <t>000004898</t>
  </si>
  <si>
    <t>Data Fundamentals: Understanding Relational Data, Domo Architecture, and Data Pipeline Optimization</t>
    <phoneticPr fontId="10"/>
  </si>
  <si>
    <t>000004888</t>
  </si>
  <si>
    <t>Jupyter Workspaces | User Guide</t>
  </si>
  <si>
    <t>旧プロジェクト：ED2408-TO-KB-Request-July 2023 release related-JA Batch-3</t>
    <rPh sb="0" eb="1">
      <t>キュウ</t>
    </rPh>
    <phoneticPr fontId="5"/>
  </si>
  <si>
    <t>ED2415-TO-KB-DataFlow-JA</t>
  </si>
  <si>
    <t>Creating a Recursive/Snapshot SQL DataFlow</t>
  </si>
  <si>
    <t>000004605</t>
    <phoneticPr fontId="5"/>
  </si>
  <si>
    <t>ED2411-TO-KB-DataFlow-Jaが誤って2415に</t>
    <rPh sb="25" eb="26">
      <t>アヤマ</t>
    </rPh>
    <phoneticPr fontId="5"/>
  </si>
  <si>
    <t>000004590</t>
  </si>
  <si>
    <t>ED2411-TO-KB-DataFlow-Jaが誤って2416に</t>
    <rPh sb="25" eb="26">
      <t>アヤマ</t>
    </rPh>
    <phoneticPr fontId="5"/>
  </si>
  <si>
    <t>Creating a SQL DataFlow</t>
    <phoneticPr fontId="5"/>
  </si>
  <si>
    <t>ED2411-TO-KB-DataFlow-Jaが誤って2417に</t>
    <rPh sb="25" eb="26">
      <t>アヤマ</t>
    </rPh>
    <phoneticPr fontId="5"/>
  </si>
  <si>
    <t>ED2411-TO-KB-DataFlow-Jaが誤って2418に</t>
    <rPh sb="25" eb="26">
      <t>アヤマ</t>
    </rPh>
    <phoneticPr fontId="5"/>
  </si>
  <si>
    <t>ED2411-TO-KB-DataFlow-JA Batch-2</t>
  </si>
  <si>
    <t>ED2412-TO-KB-SmartDB Third Party Connector-JA</t>
  </si>
  <si>
    <t>000005334</t>
    <phoneticPr fontId="5"/>
  </si>
  <si>
    <t>https://onjira.domo.com/browse/DOMO-396937</t>
    <phoneticPr fontId="5"/>
  </si>
  <si>
    <t>ED2412-TO-KB-RMS Third Party Connector-JA Update 2</t>
    <phoneticPr fontId="5"/>
  </si>
  <si>
    <t>RMS Third Party Connector</t>
    <phoneticPr fontId="5"/>
  </si>
  <si>
    <t>ED2412-TO-KB-Xero Connector-JA</t>
  </si>
  <si>
    <t>000003607</t>
  </si>
  <si>
    <t>EN Draft</t>
  </si>
  <si>
    <t>Xero Connector Update</t>
  </si>
  <si>
    <t>000003258</t>
  </si>
  <si>
    <t>Xero Payroll Connector</t>
  </si>
  <si>
    <t>000003609</t>
  </si>
  <si>
    <t>Xero Custom Connector</t>
  </si>
  <si>
    <t>000005276</t>
  </si>
  <si>
    <t>ED2412-TO-KB-Amazon -JA</t>
  </si>
  <si>
    <t>000003158</t>
  </si>
  <si>
    <t>000003826</t>
  </si>
  <si>
    <t>000003180</t>
  </si>
  <si>
    <t>ED2412-TO-KB-Amazon Connector-JA Batch-1</t>
  </si>
  <si>
    <t>000003843</t>
  </si>
  <si>
    <t>000003836</t>
  </si>
  <si>
    <t>000003842</t>
  </si>
  <si>
    <t>000003840</t>
  </si>
  <si>
    <t>Amazon Redshift Connector</t>
  </si>
  <si>
    <t>000003846</t>
  </si>
  <si>
    <t>ED2412-TO-KB-Amazon Connector-JA Batch-2</t>
  </si>
  <si>
    <t>000004014</t>
  </si>
  <si>
    <t>000003988</t>
  </si>
  <si>
    <t>000003174</t>
  </si>
  <si>
    <t>000003902</t>
  </si>
  <si>
    <t>ED2412-TO-KB-Amazon Connector-JA Batch-3</t>
  </si>
  <si>
    <t>000003632</t>
  </si>
  <si>
    <t>Amazon S3 Advanced Connector</t>
  </si>
  <si>
    <t>000003954</t>
  </si>
  <si>
    <t>000003995</t>
  </si>
  <si>
    <t>000003899</t>
  </si>
  <si>
    <t>Amazon Redshift Unload Connector</t>
  </si>
  <si>
    <t>000003905</t>
  </si>
  <si>
    <t>ED2412-TO-KB-Amazon Connector-JA Batch-4</t>
  </si>
  <si>
    <t>Amazon DynamoDB Connector</t>
  </si>
  <si>
    <t>000003906</t>
  </si>
  <si>
    <t>Amazon Web Services Billing Connector</t>
  </si>
  <si>
    <t>000003630</t>
  </si>
  <si>
    <t>ED2412-TO-KB-Support-Changing the Date Format in Your Chart-JA</t>
  </si>
  <si>
    <t>ED2412-TO-KB-December- Batch-1</t>
  </si>
  <si>
    <t>000003234</t>
    <phoneticPr fontId="5"/>
  </si>
  <si>
    <t>Google Analytics 4 Real Time Connector</t>
  </si>
  <si>
    <t>000005235</t>
    <phoneticPr fontId="5"/>
  </si>
  <si>
    <t>000004119</t>
  </si>
  <si>
    <t>Personalized Data Permissions (PDP) and Alerts</t>
    <phoneticPr fontId="5"/>
  </si>
  <si>
    <t>000004405</t>
    <phoneticPr fontId="5"/>
  </si>
  <si>
    <t>Using the Domo Campaign Markup Language</t>
    <phoneticPr fontId="5"/>
  </si>
  <si>
    <t>Updated on 2024/01/15</t>
    <phoneticPr fontId="5"/>
  </si>
  <si>
    <t>Sprinklr V2 Connector</t>
    <phoneticPr fontId="5"/>
  </si>
  <si>
    <t>000003700</t>
    <phoneticPr fontId="5"/>
  </si>
  <si>
    <t>Sprinklr Advanced Connector</t>
    <phoneticPr fontId="5"/>
  </si>
  <si>
    <t>000003706</t>
    <phoneticPr fontId="5"/>
  </si>
  <si>
    <t>ED2412-TO-KB-December-JA Batch-2</t>
  </si>
  <si>
    <t>Magic ETL DataFlows Checklist</t>
  </si>
  <si>
    <t>000004585</t>
  </si>
  <si>
    <t>000003008</t>
  </si>
  <si>
    <t>Writing a Filter Formula in Magic ETL</t>
  </si>
  <si>
    <t>000004579</t>
  </si>
  <si>
    <t>Writing Formulas in Magic ETL</t>
  </si>
  <si>
    <t>000004580</t>
  </si>
  <si>
    <t>ED2412-TO-KB-December-JA Batch-3</t>
  </si>
  <si>
    <t>Old Magic ETL Tiles: Rank and Window</t>
  </si>
  <si>
    <t>000002993</t>
  </si>
  <si>
    <t>000004616</t>
  </si>
  <si>
    <t>EN Draft, Link issue</t>
    <phoneticPr fontId="5"/>
  </si>
  <si>
    <t>000004571</t>
  </si>
  <si>
    <t>Kicked off</t>
  </si>
  <si>
    <t>JA and EN links fixed</t>
    <phoneticPr fontId="5"/>
  </si>
  <si>
    <t>Creating a Magic ETL DataFlow</t>
  </si>
  <si>
    <t>000004572</t>
  </si>
  <si>
    <t>Creating a Recursive/Snapshot DataFlow in Magic ETL</t>
  </si>
  <si>
    <t>000004573</t>
  </si>
  <si>
    <t>ED2412-TO-KB-December-JA Batch-4</t>
  </si>
  <si>
    <t>Creating a Recursive/Snapshot Old Magic ETL DataFlow</t>
  </si>
  <si>
    <t>000004606</t>
  </si>
  <si>
    <t>Data Cleaning Operations Using SQL and Magic ETL DataFlows</t>
  </si>
  <si>
    <t>000004611</t>
  </si>
  <si>
    <t>000002987</t>
  </si>
  <si>
    <t>How to Request Magic ETL Scripting Tile Packages/Libraries</t>
  </si>
  <si>
    <t>000004525</t>
  </si>
  <si>
    <t>000004396</t>
  </si>
  <si>
    <t>ED2412-TO-KB-December-JA Batch-5</t>
  </si>
  <si>
    <t>000004977</t>
    <phoneticPr fontId="5"/>
  </si>
  <si>
    <t>000004999</t>
  </si>
  <si>
    <t>000004996</t>
    <phoneticPr fontId="5"/>
  </si>
  <si>
    <t>000003165</t>
    <phoneticPr fontId="5"/>
  </si>
  <si>
    <t>000004993</t>
    <phoneticPr fontId="5"/>
  </si>
  <si>
    <t>ED2412-TO-KB-December-JA Batch-6</t>
  </si>
  <si>
    <t>000003176</t>
  </si>
  <si>
    <t>Updated after kickoff</t>
  </si>
  <si>
    <t>Manage Your Alerts</t>
  </si>
  <si>
    <t>000004355</t>
  </si>
  <si>
    <t>Properties for Tables</t>
  </si>
  <si>
    <t>ED2401-TO-Education-Docebo Course-JA</t>
  </si>
  <si>
    <t>Domo Everywhere Embed.xlsx</t>
  </si>
  <si>
    <t>Domo Everywhere Publish.xlsx</t>
  </si>
  <si>
    <t>Implementation and Adaptation.xlsx</t>
  </si>
  <si>
    <t>ED2401-TO-KB-Microsoft Dynamics CRM REST Connector-JA</t>
    <phoneticPr fontId="5"/>
  </si>
  <si>
    <t>[JIRA] Updates for DOMO-389630</t>
    <phoneticPr fontId="5"/>
  </si>
  <si>
    <t>要再ローカライズ：URL修正: Query参照</t>
    <rPh sb="0" eb="1">
      <t>ヨウ</t>
    </rPh>
    <rPh sb="1" eb="2">
      <t>サイ</t>
    </rPh>
    <rPh sb="12" eb="14">
      <t>シュウセイ</t>
    </rPh>
    <rPh sb="21" eb="23">
      <t>サンショウ</t>
    </rPh>
    <phoneticPr fontId="5"/>
  </si>
  <si>
    <t>ED2401-MH-KB-Radial Gauge-JA Update</t>
  </si>
  <si>
    <t>000004678</t>
    <phoneticPr fontId="5"/>
  </si>
  <si>
    <t>MK2401-TO-Document-Power to your people The new data experience-JA</t>
    <phoneticPr fontId="5"/>
  </si>
  <si>
    <t>24-01-new-data-experience-guide-final.pdf</t>
    <phoneticPr fontId="5"/>
  </si>
  <si>
    <t>ED2401-TO-App-Scorm files for selflearning courses-JA</t>
    <phoneticPr fontId="5"/>
  </si>
  <si>
    <t>Implementation and Adoption</t>
    <phoneticPr fontId="5"/>
  </si>
  <si>
    <t>Renamed to ED2502-TO-App-Scorm files for selflearning courses-JA Update</t>
    <phoneticPr fontId="5"/>
  </si>
  <si>
    <t>ED2401-TO-App-Scorm files for selflearning courses-JA</t>
  </si>
  <si>
    <t>Domo Everywhere Embed-CB</t>
  </si>
  <si>
    <t>Domo Everywhere Publish_CB</t>
  </si>
  <si>
    <t>ED2401-TO-KB-Consumption and Domo Free-JA</t>
  </si>
  <si>
    <t>Credit Monitoring</t>
  </si>
  <si>
    <t>000005326</t>
    <phoneticPr fontId="5"/>
  </si>
  <si>
    <t>Needs relocalizaton for links</t>
    <phoneticPr fontId="5"/>
  </si>
  <si>
    <t>Domo Free | Overview</t>
    <phoneticPr fontId="5"/>
  </si>
  <si>
    <t>Update Payment Details for Domo Free</t>
  </si>
  <si>
    <t>000005332</t>
    <phoneticPr fontId="5"/>
  </si>
  <si>
    <t>What Are Consumption Credits and How Do They Work?</t>
  </si>
  <si>
    <t>January 2024 Release Notes - Japanese</t>
  </si>
  <si>
    <t>ED2401-TO-KB-RMS Third Party Connector-JA</t>
    <phoneticPr fontId="5"/>
  </si>
  <si>
    <t>ED2401-MH-KB-Sharepoint Online Writeback Connector-JA</t>
  </si>
  <si>
    <t>Sharepoint Online Writeback Connector</t>
    <phoneticPr fontId="5"/>
  </si>
  <si>
    <t>000004018</t>
    <phoneticPr fontId="5"/>
  </si>
  <si>
    <t>ED2401-MH-KB-Support-Sharepoint Online Writeback Connector-JA</t>
  </si>
  <si>
    <t>ED2401-TO-KB-Connectors-JA</t>
  </si>
  <si>
    <t>ED2402-TO-KB-Connectors-JA</t>
  </si>
  <si>
    <t>ED2403-TO-KB-Connectors-JA</t>
  </si>
  <si>
    <t>ED2401-TO-KB-January-JA</t>
  </si>
  <si>
    <t>Add and Design App Pages in CourseBuilder</t>
  </si>
  <si>
    <t>000004498</t>
    <phoneticPr fontId="5"/>
  </si>
  <si>
    <t>Updated</t>
    <phoneticPr fontId="5"/>
  </si>
  <si>
    <t>Amazon RDS connector</t>
  </si>
  <si>
    <t>000005365</t>
  </si>
  <si>
    <t>Register Amazon Redshift with Cloud Amplifier</t>
  </si>
  <si>
    <t>000005312</t>
  </si>
  <si>
    <t>Amazon DynamoDB Assume Role Connector</t>
  </si>
  <si>
    <t>000005246</t>
  </si>
  <si>
    <t>ED2401-TO-KB-Link issues-JA</t>
  </si>
  <si>
    <t>Domo Add-ins for Microsoft 365 Apps User Guide</t>
  </si>
  <si>
    <t>Domo Add-ins for Microsoft 365 | Manual Installation Guide for Enterprise</t>
  </si>
  <si>
    <t>ED2401-TO-KB-January Connector-JA Batch-1</t>
    <phoneticPr fontId="5"/>
  </si>
  <si>
    <t>Zoom Phone Connector</t>
  </si>
  <si>
    <t>000003260</t>
  </si>
  <si>
    <t>ED2401-TO-KB-January Connector-JA Batch-1</t>
  </si>
  <si>
    <t>Zoom Phone Enterprise Connector</t>
  </si>
  <si>
    <t>000003261</t>
  </si>
  <si>
    <t>Stripe Connector</t>
  </si>
  <si>
    <t>000003602</t>
  </si>
  <si>
    <t>ED2401-TO-KB-January Connector-JA Batch-2</t>
  </si>
  <si>
    <t>Criteo Advertising Connector</t>
  </si>
  <si>
    <t>000003774</t>
  </si>
  <si>
    <t>000003780</t>
  </si>
  <si>
    <t>Yelp Connector</t>
  </si>
  <si>
    <t>000003440</t>
  </si>
  <si>
    <t>Yelp Reporting Connector</t>
  </si>
  <si>
    <t>000003436</t>
  </si>
  <si>
    <t>ED2401-TO-KB-January Connector-JA Batch-3</t>
  </si>
  <si>
    <t>Indeed Connector</t>
  </si>
  <si>
    <t>000003641</t>
  </si>
  <si>
    <t>Workday Adaptive Planning Writeback Connector</t>
  </si>
  <si>
    <t>000003993</t>
  </si>
  <si>
    <t>Pivotal Tracker Connector</t>
  </si>
  <si>
    <t>000003446</t>
  </si>
  <si>
    <t>ED2401-TO-KB-Magic ETL Tiles-JA</t>
  </si>
  <si>
    <t>Magic ETL Tiles: Aggregate</t>
    <phoneticPr fontId="5"/>
  </si>
  <si>
    <t>Needs relocalization</t>
  </si>
  <si>
    <t>ED2401-TO-KB-Old Magic ETL Tiles-JA</t>
  </si>
  <si>
    <t>Old Magic ETL Tiles: Combine Data</t>
    <phoneticPr fontId="5"/>
  </si>
  <si>
    <t>ED2401-MH-KB-January 2024 Release Notes - Japanese-JA Bugfix</t>
  </si>
  <si>
    <t>SFDCへのPush Back失敗</t>
    <rPh sb="15" eb="17">
      <t>シッパイ</t>
    </rPh>
    <phoneticPr fontId="5"/>
  </si>
  <si>
    <t>FY25Q1-02</t>
  </si>
  <si>
    <t>ED2401-TO-KB-Domo AI-JA</t>
  </si>
  <si>
    <t>Domo.AI Playground</t>
    <phoneticPr fontId="5"/>
  </si>
  <si>
    <t>000005236</t>
    <phoneticPr fontId="5"/>
  </si>
  <si>
    <t>Waiting for EN Publishing-will be localized in another project</t>
    <phoneticPr fontId="5"/>
  </si>
  <si>
    <t>ED2401-TO-KB-Domo AI-JA Batch-2</t>
  </si>
  <si>
    <t>Create a Model in Jupyter Workspaces</t>
  </si>
  <si>
    <t>000005291</t>
    <phoneticPr fontId="5"/>
  </si>
  <si>
    <t>| Domo Bricks | Overview</t>
    <phoneticPr fontId="5"/>
  </si>
  <si>
    <t>000005012</t>
    <phoneticPr fontId="5"/>
  </si>
  <si>
    <t>ED2401-TO-KB-January-JA Batch-3</t>
  </si>
  <si>
    <t>Manage Access Tokens</t>
    <phoneticPr fontId="5"/>
  </si>
  <si>
    <t>000003024</t>
    <phoneticPr fontId="5"/>
  </si>
  <si>
    <t>Change Your Password</t>
    <phoneticPr fontId="5"/>
  </si>
  <si>
    <t>000004372</t>
    <phoneticPr fontId="5"/>
  </si>
  <si>
    <t>Understand and Configure Domo Single Sign-On Using SAML</t>
    <phoneticPr fontId="5"/>
  </si>
  <si>
    <t>000003044</t>
    <phoneticPr fontId="5"/>
  </si>
  <si>
    <t>Enable SSO with OpenID Connect</t>
    <phoneticPr fontId="5"/>
  </si>
  <si>
    <t>000003049</t>
  </si>
  <si>
    <t>Activity Log</t>
    <phoneticPr fontId="5"/>
  </si>
  <si>
    <t>000003042</t>
    <phoneticPr fontId="5"/>
  </si>
  <si>
    <t>ED2502-TO-App-Scorm files for selflearning courses-JA Update</t>
    <phoneticPr fontId="5"/>
  </si>
  <si>
    <t>Implementation and Adoption</t>
  </si>
  <si>
    <t>SO2502-TO-Web-Domo Privacy Notice-JA</t>
    <phoneticPr fontId="5"/>
  </si>
  <si>
    <t>ED2502-TO-KB-Support-February-JA Batch-1</t>
    <phoneticPr fontId="5"/>
  </si>
  <si>
    <t>000003339</t>
  </si>
  <si>
    <t>YouTube Reporting Enterprise Partition Connector</t>
  </si>
  <si>
    <t>000003964</t>
    <phoneticPr fontId="5"/>
  </si>
  <si>
    <t>000003738</t>
    <phoneticPr fontId="5"/>
  </si>
  <si>
    <t>Google BigQuery High Bandwidth Service Connector</t>
    <phoneticPr fontId="5"/>
  </si>
  <si>
    <t>000003275</t>
    <phoneticPr fontId="5"/>
  </si>
  <si>
    <t>000003922</t>
    <phoneticPr fontId="5"/>
  </si>
  <si>
    <t>ED2502-TO-KB-Support-February-JA Batch-2</t>
  </si>
  <si>
    <t>Vimeo Connector</t>
    <phoneticPr fontId="5"/>
  </si>
  <si>
    <t>000003341</t>
    <phoneticPr fontId="5"/>
  </si>
  <si>
    <t>Fixed:日本語版マイグレーション失敗</t>
    <rPh sb="6" eb="10">
      <t>ニホンゴバン</t>
    </rPh>
    <rPh sb="18" eb="20">
      <t>シッパイ</t>
    </rPh>
    <phoneticPr fontId="5"/>
  </si>
  <si>
    <t xml:space="preserve">Adding Company Pages   </t>
    <phoneticPr fontId="5"/>
  </si>
  <si>
    <t>000003062</t>
    <phoneticPr fontId="5"/>
  </si>
  <si>
    <t>Fixed:リンク切れ</t>
    <rPh sb="9" eb="10">
      <t>ギ</t>
    </rPh>
    <phoneticPr fontId="5"/>
  </si>
  <si>
    <t>ED2401-TO-KB-Support-February-JA</t>
  </si>
  <si>
    <t>英語KBに、Date Range MENUに、以下3つの方式を追加</t>
    <phoneticPr fontId="5"/>
  </si>
  <si>
    <t>英語KBの最後に［Troubleshooting］セクションを追加</t>
    <phoneticPr fontId="5"/>
  </si>
  <si>
    <t>［認証情報］ペインの表の更新を</t>
    <phoneticPr fontId="5"/>
  </si>
  <si>
    <t>Details PaneのMENUの内容だけ1部※Update</t>
    <phoneticPr fontId="5"/>
  </si>
  <si>
    <t>Admin Settings Overview</t>
  </si>
  <si>
    <t>NOTE枠を追加してください。</t>
    <phoneticPr fontId="5"/>
  </si>
  <si>
    <t>要リンク修正：クエリ参照</t>
    <rPh sb="0" eb="1">
      <t>ヨウ</t>
    </rPh>
    <rPh sb="4" eb="6">
      <t>シュウセイ</t>
    </rPh>
    <rPh sb="10" eb="12">
      <t>サンショウ</t>
    </rPh>
    <phoneticPr fontId="5"/>
  </si>
  <si>
    <t>英語KBのFAQを追記</t>
    <phoneticPr fontId="5"/>
  </si>
  <si>
    <t>ED2502-TO-App-Jan 24 - Japan Localization-JA</t>
    <phoneticPr fontId="5"/>
  </si>
  <si>
    <t>Domo Bricks-CB</t>
  </si>
  <si>
    <t>Workflows-CB</t>
  </si>
  <si>
    <t>FY25Q1-03</t>
  </si>
  <si>
    <t>ED2503-TO-KB-Release Notes March 2024 - JP-JA</t>
    <phoneticPr fontId="5"/>
  </si>
  <si>
    <t>ED2502-TO-KB-Consumption Credits-JA</t>
  </si>
  <si>
    <t>Link fix</t>
    <phoneticPr fontId="5"/>
  </si>
  <si>
    <t>ED2502-TO-KB-February-JA Batch-1</t>
    <phoneticPr fontId="5"/>
  </si>
  <si>
    <t>Campaigns App User Guide</t>
    <phoneticPr fontId="5"/>
  </si>
  <si>
    <t>ED2502-TO-KB-February-JA Batch-1</t>
  </si>
  <si>
    <t>ED2502-TO-KB-February-JA Batch-2</t>
  </si>
  <si>
    <t>000003941</t>
    <phoneticPr fontId="5"/>
  </si>
  <si>
    <t>DataSet Copy Connector Access Token Only</t>
    <phoneticPr fontId="5"/>
  </si>
  <si>
    <t>000003185</t>
    <phoneticPr fontId="5"/>
  </si>
  <si>
    <t>DataSet Copy Unload Connector</t>
    <phoneticPr fontId="5"/>
  </si>
  <si>
    <t>000004000</t>
    <phoneticPr fontId="5"/>
  </si>
  <si>
    <t>Dataset Copy Advanced Connector</t>
    <phoneticPr fontId="5"/>
  </si>
  <si>
    <t>000003827</t>
    <phoneticPr fontId="5"/>
  </si>
  <si>
    <t>Connecting Cards to a Different DataSet</t>
    <phoneticPr fontId="5"/>
  </si>
  <si>
    <t>000004901</t>
    <phoneticPr fontId="5"/>
  </si>
  <si>
    <t>000003940</t>
    <phoneticPr fontId="5"/>
  </si>
  <si>
    <t>ED2502-TO-KB-February-JA Batch-3</t>
  </si>
  <si>
    <t>Troubleshooting Dataset via Email Connector</t>
    <phoneticPr fontId="5"/>
  </si>
  <si>
    <t>000004523</t>
    <phoneticPr fontId="5"/>
  </si>
  <si>
    <t>Virtual DataSets</t>
    <phoneticPr fontId="5"/>
  </si>
  <si>
    <t>000003029</t>
    <phoneticPr fontId="5"/>
  </si>
  <si>
    <t>DataSet Watchdog</t>
    <phoneticPr fontId="5"/>
  </si>
  <si>
    <t>000005105</t>
    <phoneticPr fontId="5"/>
  </si>
  <si>
    <t>Connector FAQs and Troubleshooting</t>
    <phoneticPr fontId="5"/>
  </si>
  <si>
    <t>000003956</t>
    <phoneticPr fontId="5"/>
  </si>
  <si>
    <t>DataFlows Disabled Due to Extended Inactivity</t>
    <phoneticPr fontId="5"/>
  </si>
  <si>
    <t>000004547</t>
    <phoneticPr fontId="5"/>
  </si>
  <si>
    <t>Amazon public datasets Connector</t>
    <phoneticPr fontId="5"/>
  </si>
  <si>
    <t>000003842</t>
    <phoneticPr fontId="5"/>
  </si>
  <si>
    <t>Arun and Komal are over all connector documentation. They can help you with this request.</t>
    <phoneticPr fontId="5"/>
  </si>
  <si>
    <t>ED2502-TO-KB-February-JA Batch-4</t>
  </si>
  <si>
    <t>000005006</t>
  </si>
  <si>
    <t>Needs relocalization</t>
    <phoneticPr fontId="5"/>
  </si>
  <si>
    <t>Adobe EchoSign QuickStart App</t>
  </si>
  <si>
    <t>000005005</t>
  </si>
  <si>
    <t>EN and JA link fixed</t>
    <phoneticPr fontId="5"/>
  </si>
  <si>
    <t>Apple TV App</t>
  </si>
  <si>
    <t>000005004</t>
  </si>
  <si>
    <t>000005002</t>
  </si>
  <si>
    <t>Sales Leaderboard App</t>
  </si>
  <si>
    <t>000004171</t>
  </si>
  <si>
    <t>Sales Leaderboard | Implementation Guide</t>
  </si>
  <si>
    <t>000004146</t>
  </si>
  <si>
    <t>ED2502-TO-KB-February-JA Batch-5</t>
  </si>
  <si>
    <t>Sales Scorecard App</t>
  </si>
  <si>
    <t>000004176</t>
  </si>
  <si>
    <t>Scorecard App | Implementation Guide</t>
  </si>
  <si>
    <t>000004145</t>
  </si>
  <si>
    <t>FY25Q1-03</t>
    <phoneticPr fontId="5"/>
  </si>
  <si>
    <t>Scorecard V2 | Implementation Guide</t>
  </si>
  <si>
    <t>000004167</t>
  </si>
  <si>
    <t>000004997</t>
  </si>
  <si>
    <t>Campaigns API</t>
  </si>
  <si>
    <t>000004156</t>
  </si>
  <si>
    <t>000004994</t>
  </si>
  <si>
    <t>ED2502-TO-KB-February-JA Batch-6</t>
  </si>
  <si>
    <t>000004992</t>
  </si>
  <si>
    <t>CSV SFTP Advanced Security Connector</t>
  </si>
  <si>
    <t>000003914</t>
  </si>
  <si>
    <t>000005043</t>
  </si>
  <si>
    <t>Domo Finance | Implementation Guide</t>
  </si>
  <si>
    <t>000004152</t>
  </si>
  <si>
    <t>Dropbox for Business Dashboard App</t>
  </si>
  <si>
    <t>000004209</t>
  </si>
  <si>
    <t>Facebook (Business) QuickStart App</t>
  </si>
  <si>
    <t>000004211</t>
  </si>
  <si>
    <t>ED2502-TO-KB-February-JA Batch-7</t>
  </si>
  <si>
    <t>000004142</t>
  </si>
  <si>
    <t>000004141</t>
  </si>
  <si>
    <t>000004157</t>
    <phoneticPr fontId="5"/>
  </si>
  <si>
    <t>000004196</t>
    <phoneticPr fontId="5"/>
  </si>
  <si>
    <t>000004203</t>
    <phoneticPr fontId="5"/>
  </si>
  <si>
    <t>ED2502-TO-KB-February-JA Batch-8</t>
  </si>
  <si>
    <t>Fitbit Connector</t>
  </si>
  <si>
    <t>000003345</t>
    <phoneticPr fontId="5"/>
  </si>
  <si>
    <t>Link issue</t>
    <phoneticPr fontId="5"/>
  </si>
  <si>
    <t>Get Back to Work Solution</t>
  </si>
  <si>
    <t>000004138</t>
    <phoneticPr fontId="5"/>
  </si>
  <si>
    <t>Fitbit Dashboard App</t>
  </si>
  <si>
    <t>000004210</t>
    <phoneticPr fontId="5"/>
  </si>
  <si>
    <t>Five9 Connector</t>
  </si>
  <si>
    <t>000003497</t>
    <phoneticPr fontId="5"/>
  </si>
  <si>
    <t>Create a Beast Mode Calculation</t>
    <phoneticPr fontId="5"/>
  </si>
  <si>
    <t>ED2502-MH-KB-Fonts in Domo App-JA</t>
  </si>
  <si>
    <t>Requested by McKenna Payne</t>
    <phoneticPr fontId="5"/>
  </si>
  <si>
    <t>ED2503-TO-KB-March-JA</t>
  </si>
  <si>
    <t>Adding Scale Labels to Your Charts</t>
    <phoneticPr fontId="5"/>
  </si>
  <si>
    <t>000005040</t>
    <phoneticPr fontId="5"/>
  </si>
  <si>
    <t>Sprinklr V2 Connector</t>
  </si>
  <si>
    <t>ED2503-TO-KB-Code Engine-JA</t>
  </si>
  <si>
    <t>ED2503-TO-KB-March-JA Batch-2</t>
    <phoneticPr fontId="5"/>
  </si>
  <si>
    <t>Closing the project failed for ED2412-TO-KB-December-JA Batch-2</t>
    <phoneticPr fontId="5"/>
  </si>
  <si>
    <t>ED2503-TO-KB-March-JA Batch-2</t>
  </si>
  <si>
    <t>Change for EN has been requested by Support</t>
    <phoneticPr fontId="5"/>
  </si>
  <si>
    <t>FY25Q1-04</t>
  </si>
  <si>
    <t>ED2503-TO-KB-March-JA Batch-3</t>
  </si>
  <si>
    <t>Workfront Connector</t>
    <phoneticPr fontId="5"/>
  </si>
  <si>
    <t>000003408</t>
  </si>
  <si>
    <t>Bitbucket Connector</t>
  </si>
  <si>
    <t>000003422</t>
  </si>
  <si>
    <t>Chartbeat Connector</t>
  </si>
  <si>
    <t>000003540</t>
  </si>
  <si>
    <t>Cloudability V3 Connector</t>
  </si>
  <si>
    <t>000003208</t>
  </si>
  <si>
    <t>000003181</t>
  </si>
  <si>
    <t>ED2503-TO-KB-March-JA Batch-4</t>
  </si>
  <si>
    <t>Cvent REST Connector</t>
  </si>
  <si>
    <t>000003212</t>
  </si>
  <si>
    <t>DoubleClick Campaign Manager Service Account via Google Cloud Storage (DTV2) Service Connector</t>
  </si>
  <si>
    <t>000003287</t>
  </si>
  <si>
    <t>DoubleClick Campaign Manager via Google Cloud Storage (DTV2) Connector</t>
  </si>
  <si>
    <t>000003782</t>
  </si>
  <si>
    <t>Facebook Ads Advanced Connector</t>
  </si>
  <si>
    <t>000003216</t>
  </si>
  <si>
    <t>Google BigQuery High Bandwidth OAuth Enterprise Connector</t>
  </si>
  <si>
    <t>000003853</t>
  </si>
  <si>
    <t>000003254</t>
    <phoneticPr fontId="5"/>
  </si>
  <si>
    <t>ED2503-TO-KB-March-JA Batch-5</t>
  </si>
  <si>
    <t>ADP Connector</t>
  </si>
  <si>
    <t>000003656</t>
    <phoneticPr fontId="5"/>
  </si>
  <si>
    <t>Adrenaline DataFlow Functions Reference Guide</t>
  </si>
  <si>
    <t>000004584</t>
    <phoneticPr fontId="5"/>
  </si>
  <si>
    <t>000003175</t>
    <phoneticPr fontId="5"/>
  </si>
  <si>
    <t>10,000ft Connector</t>
  </si>
  <si>
    <t>000003811</t>
    <phoneticPr fontId="5"/>
  </si>
  <si>
    <t>Schema Management</t>
    <phoneticPr fontId="5"/>
  </si>
  <si>
    <t>000003028</t>
    <phoneticPr fontId="5"/>
  </si>
  <si>
    <t>ED2311-MH-KB-SFDC Migration-JA Update Batch-2</t>
    <phoneticPr fontId="5"/>
  </si>
  <si>
    <t>ED2503-TO-KB-March-JA Batch-6</t>
  </si>
  <si>
    <t>PDP Automation</t>
    <phoneticPr fontId="5"/>
  </si>
  <si>
    <t>000003034</t>
    <phoneticPr fontId="5"/>
  </si>
  <si>
    <t>Tag Management</t>
    <phoneticPr fontId="5"/>
  </si>
  <si>
    <t>000003033</t>
    <phoneticPr fontId="5"/>
  </si>
  <si>
    <t>000004122</t>
    <phoneticPr fontId="5"/>
  </si>
  <si>
    <t>Nested Bar with Line Chart</t>
    <phoneticPr fontId="5"/>
  </si>
  <si>
    <t>ED2503-TO-KB-March-JA Batch-7</t>
  </si>
  <si>
    <t>Domo Enterprise Toolkit</t>
    <phoneticPr fontId="5"/>
  </si>
  <si>
    <t>User Management</t>
  </si>
  <si>
    <t>000003030</t>
    <phoneticPr fontId="5"/>
  </si>
  <si>
    <t>Qualtrics Upsert Connector</t>
  </si>
  <si>
    <t>000005254</t>
    <phoneticPr fontId="5"/>
  </si>
  <si>
    <t>000003018</t>
    <phoneticPr fontId="5"/>
  </si>
  <si>
    <t>ED2503-TO-KB-March-JA Batch-8</t>
  </si>
  <si>
    <t>000004081</t>
  </si>
  <si>
    <t>000004197</t>
    <phoneticPr fontId="5"/>
  </si>
  <si>
    <t>000004195</t>
    <phoneticPr fontId="5"/>
  </si>
  <si>
    <t>000004192</t>
    <phoneticPr fontId="5"/>
  </si>
  <si>
    <t>000004194</t>
    <phoneticPr fontId="5"/>
  </si>
  <si>
    <t>ED2503-TO-KB-March-JA Batch-9</t>
  </si>
  <si>
    <t>000004188</t>
    <phoneticPr fontId="5"/>
  </si>
  <si>
    <t>000004174</t>
    <phoneticPr fontId="5"/>
  </si>
  <si>
    <t>000004160</t>
    <phoneticPr fontId="5"/>
  </si>
  <si>
    <t>000004206</t>
    <phoneticPr fontId="5"/>
  </si>
  <si>
    <t>ED2504-TO-KB-April-JA</t>
  </si>
  <si>
    <t>000004263</t>
  </si>
  <si>
    <t>scheduling dataflows</t>
  </si>
  <si>
    <t>Workbench Migration</t>
  </si>
  <si>
    <t>000005219</t>
  </si>
  <si>
    <t>Workbench Writeback to ODBC</t>
  </si>
  <si>
    <t>000005234</t>
  </si>
  <si>
    <t>ED2504-TO-KB-April-JA Batch-2</t>
  </si>
  <si>
    <t>Workday Raas (Reports-as-a-Service) Connector</t>
  </si>
  <si>
    <t>000003601</t>
  </si>
  <si>
    <t>Using the External Process File Provider in Workbench 4</t>
  </si>
  <si>
    <t>000004773</t>
  </si>
  <si>
    <t>Weather Source Connector</t>
  </si>
  <si>
    <t>000003361</t>
  </si>
  <si>
    <t>000004652</t>
  </si>
  <si>
    <t>000004586</t>
  </si>
  <si>
    <t>MK2504-TO-WP-Domo.AI-JA</t>
    <phoneticPr fontId="5"/>
  </si>
  <si>
    <t>24-2-domo-ai-sell-sheet-print.indd</t>
    <phoneticPr fontId="5"/>
  </si>
  <si>
    <t>DTP only</t>
    <phoneticPr fontId="5"/>
  </si>
  <si>
    <t>ED2504-TO-App-April-JA</t>
  </si>
  <si>
    <t>Workflows-CB</t>
    <phoneticPr fontId="5"/>
  </si>
  <si>
    <t>ED2504-TO-App-April-JA</t>
    <phoneticPr fontId="5"/>
  </si>
  <si>
    <t>Creating Case Statements in Beast Mode-CB</t>
    <phoneticPr fontId="5"/>
  </si>
  <si>
    <t>Introducing Card Analyzer_CB</t>
    <phoneticPr fontId="5"/>
  </si>
  <si>
    <t>ED2504-TO-KB-Linkedin-JA</t>
  </si>
  <si>
    <t>LinkedIn Connector</t>
  </si>
  <si>
    <t>000003468</t>
    <phoneticPr fontId="5"/>
  </si>
  <si>
    <t>LinkedIn Ads Connector</t>
    <phoneticPr fontId="5"/>
  </si>
  <si>
    <t>000003750</t>
    <phoneticPr fontId="5"/>
  </si>
  <si>
    <t>LinkedIn V2 Connector</t>
    <phoneticPr fontId="5"/>
  </si>
  <si>
    <t>000003466</t>
    <phoneticPr fontId="5"/>
  </si>
  <si>
    <t>LinkedIn Enterprise Connector</t>
    <phoneticPr fontId="5"/>
  </si>
  <si>
    <t>000003472</t>
    <phoneticPr fontId="5"/>
  </si>
  <si>
    <t>ED2504-MH-KB-Bugfix-JA</t>
  </si>
  <si>
    <t xml:space="preserve">
Beast Mode Functions Reference Guide</t>
    <phoneticPr fontId="5"/>
  </si>
  <si>
    <t>000004081</t>
    <phoneticPr fontId="5"/>
  </si>
  <si>
    <t>See Toin's query: link issue</t>
    <phoneticPr fontId="5"/>
  </si>
  <si>
    <t>ED2504-TO-KB-Support-April-JA</t>
  </si>
  <si>
    <t>000004682</t>
    <phoneticPr fontId="5"/>
  </si>
  <si>
    <t>Rescheduled</t>
  </si>
  <si>
    <t>Update</t>
    <phoneticPr fontId="5"/>
  </si>
  <si>
    <t>000004729</t>
    <phoneticPr fontId="5"/>
  </si>
  <si>
    <t>ED2504-TO-KB-Current Release Notes-JA</t>
    <phoneticPr fontId="5"/>
  </si>
  <si>
    <t>ED2504-TO-KB-April-JA Batch-3</t>
    <phoneticPr fontId="5"/>
  </si>
  <si>
    <t>Nested Calculations</t>
    <phoneticPr fontId="5"/>
  </si>
  <si>
    <t>ED2504-TO-KB-April-JA Batch-3</t>
  </si>
  <si>
    <t>Magic ETL Scripting Tiles</t>
    <phoneticPr fontId="5"/>
  </si>
  <si>
    <t>000003004</t>
    <phoneticPr fontId="5"/>
  </si>
  <si>
    <t>App Studio | Overview</t>
  </si>
  <si>
    <t>000005295</t>
    <phoneticPr fontId="5"/>
  </si>
  <si>
    <t>000003158</t>
    <phoneticPr fontId="5"/>
  </si>
  <si>
    <t>000005009</t>
    <phoneticPr fontId="5"/>
  </si>
  <si>
    <t>ED2504-TO-KB-April-JA Batch-4</t>
    <phoneticPr fontId="5"/>
  </si>
  <si>
    <t>000003172</t>
    <phoneticPr fontId="5"/>
  </si>
  <si>
    <t>ED2504-TO-KB-April-JA Batch-4</t>
  </si>
  <si>
    <t>000004207</t>
    <phoneticPr fontId="5"/>
  </si>
  <si>
    <t>000004204</t>
    <phoneticPr fontId="5"/>
  </si>
  <si>
    <t>000003156</t>
    <phoneticPr fontId="5"/>
  </si>
  <si>
    <t>000004149</t>
    <phoneticPr fontId="5"/>
  </si>
  <si>
    <t>000004150</t>
    <phoneticPr fontId="5"/>
  </si>
  <si>
    <t>ED2504-TO-KB-April-JA Batch-5</t>
    <phoneticPr fontId="5"/>
  </si>
  <si>
    <t>000004147</t>
    <phoneticPr fontId="5"/>
  </si>
  <si>
    <t>ED2504-TO-KB-April-JA Batch-5</t>
  </si>
  <si>
    <t>000004185</t>
    <phoneticPr fontId="5"/>
  </si>
  <si>
    <t>000004146</t>
    <phoneticPr fontId="5"/>
  </si>
  <si>
    <t>FY25Q2-05</t>
  </si>
  <si>
    <t>ED2504-TO-KB-May-JA</t>
  </si>
  <si>
    <t>000004166</t>
    <phoneticPr fontId="5"/>
  </si>
  <si>
    <t>000004163</t>
    <phoneticPr fontId="5"/>
  </si>
  <si>
    <t>000004162</t>
    <phoneticPr fontId="5"/>
  </si>
  <si>
    <t>000003017</t>
    <phoneticPr fontId="5"/>
  </si>
  <si>
    <t>000004812</t>
    <phoneticPr fontId="5"/>
  </si>
  <si>
    <t>ED2504-TO-KB-May-JA</t>
    <phoneticPr fontId="5"/>
  </si>
  <si>
    <t>000004629</t>
    <phoneticPr fontId="5"/>
  </si>
  <si>
    <t>ED2504-TO-KB-May-JA Batch-2</t>
    <phoneticPr fontId="5"/>
  </si>
  <si>
    <t>Nested Calculations</t>
  </si>
  <si>
    <t>ED2504-TO-KB-May-JA Batch-2</t>
  </si>
  <si>
    <t>Workfront Writeback Connector</t>
  </si>
  <si>
    <t>000003994</t>
    <phoneticPr fontId="5"/>
  </si>
  <si>
    <t>Workfront Advanced Connector</t>
    <phoneticPr fontId="5"/>
  </si>
  <si>
    <t>000003410</t>
    <phoneticPr fontId="5"/>
  </si>
  <si>
    <t>ED2504-MH-KB-Beast Mode Functions Reference Guide-JA</t>
    <phoneticPr fontId="5"/>
  </si>
  <si>
    <t>ED2504-TO-KB-May-JA Batch-3</t>
  </si>
  <si>
    <t>Default Security Role Reference</t>
    <phoneticPr fontId="5"/>
  </si>
  <si>
    <t>EN currently in Draft</t>
    <phoneticPr fontId="5"/>
  </si>
  <si>
    <t>Upgrade to Magic ETL v2</t>
    <phoneticPr fontId="5"/>
  </si>
  <si>
    <t>000004569</t>
  </si>
  <si>
    <t>Upgrading Magic ETL</t>
    <phoneticPr fontId="5"/>
  </si>
  <si>
    <t>000004616</t>
    <phoneticPr fontId="5"/>
  </si>
  <si>
    <t>Join DataSets by Adding a Unique Key Column</t>
    <phoneticPr fontId="5"/>
  </si>
  <si>
    <t>ED2504-TO-KB-May-JA Batch-3</t>
    <phoneticPr fontId="5"/>
  </si>
  <si>
    <t>ED2505-TO-KB-Support-Pivot Table-JA</t>
  </si>
  <si>
    <t>ED2505-MH-KB-Support-Available Filter Charts-JA</t>
  </si>
  <si>
    <t>Iink issue</t>
    <phoneticPr fontId="5"/>
  </si>
  <si>
    <t>ED2505-MH-KB-Request-Forms-JA Bugfix</t>
  </si>
  <si>
    <t>000005171</t>
    <phoneticPr fontId="5"/>
  </si>
  <si>
    <t>Fix requested for EN by JP support team. JA should be updated after EN version.</t>
    <phoneticPr fontId="5"/>
  </si>
  <si>
    <t>Change request for KB in English and Japanese---Noteを追加</t>
    <rPh sb="53" eb="55">
      <t>ツイカ</t>
    </rPh>
    <phoneticPr fontId="5"/>
  </si>
  <si>
    <t>ED2505-MH-KB-Request-Forms-JA Update</t>
  </si>
  <si>
    <t>ED2505-TO-KB-Request-Cloud Amplifier-JA</t>
    <phoneticPr fontId="5"/>
  </si>
  <si>
    <t>ED2505-TO-KB-Request-Cloud Amplifier-JA</t>
  </si>
  <si>
    <t>Register Databricks with Cloud Amplifier</t>
    <phoneticPr fontId="5"/>
  </si>
  <si>
    <t>000005289</t>
    <phoneticPr fontId="5"/>
  </si>
  <si>
    <t>FY25Q2-06</t>
  </si>
  <si>
    <t>ED2026-TO-KB-Snowflake and Cloud Amplifier-JA</t>
  </si>
  <si>
    <t>000003148</t>
    <phoneticPr fontId="5"/>
  </si>
  <si>
    <t>Need to update the links (see qthe query)</t>
    <phoneticPr fontId="5"/>
  </si>
  <si>
    <t>ED2505-TO-KB-May urgent-JA</t>
  </si>
  <si>
    <t>Manage Your Federated Data Connection</t>
  </si>
  <si>
    <t>000003159</t>
    <phoneticPr fontId="5"/>
  </si>
  <si>
    <t>ED2505-TO-KB-May urgent-JA</t>
    <phoneticPr fontId="5"/>
  </si>
  <si>
    <t>Allowlisting IP Addresses for Connectors, Cloud Amplifier, and Federated Adapters</t>
    <phoneticPr fontId="5"/>
  </si>
  <si>
    <t>000003961</t>
    <phoneticPr fontId="5"/>
  </si>
  <si>
    <t>Snowflake Federated Agent</t>
    <phoneticPr fontId="5"/>
  </si>
  <si>
    <t>000003152</t>
    <phoneticPr fontId="5"/>
  </si>
  <si>
    <t>ED2504-TO-KB-May-JA Batch-4</t>
    <phoneticPr fontId="5"/>
  </si>
  <si>
    <t>Criteo Marketing Connector</t>
  </si>
  <si>
    <t>000003286</t>
    <phoneticPr fontId="5"/>
  </si>
  <si>
    <t>DomoStats - Activity Log</t>
    <phoneticPr fontId="5"/>
  </si>
  <si>
    <t>000003041</t>
    <phoneticPr fontId="5"/>
  </si>
  <si>
    <t>Publish Content to a Subscriber Organization</t>
  </si>
  <si>
    <t>Changed to "Publish Content to a Subscriber Instance"</t>
    <phoneticPr fontId="5"/>
  </si>
  <si>
    <t>ED2504-TO-KB-May-JA Batch-5</t>
  </si>
  <si>
    <t>000005455</t>
    <phoneticPr fontId="5"/>
  </si>
  <si>
    <t>要再翻訳‐５月２０日アップデート</t>
    <rPh sb="0" eb="1">
      <t>ヨウ</t>
    </rPh>
    <rPh sb="1" eb="2">
      <t>サイ</t>
    </rPh>
    <rPh sb="2" eb="4">
      <t>ホンヤク</t>
    </rPh>
    <rPh sb="6" eb="7">
      <t>ガツ</t>
    </rPh>
    <rPh sb="9" eb="10">
      <t>ニチ</t>
    </rPh>
    <phoneticPr fontId="5"/>
  </si>
  <si>
    <t>000003945</t>
    <phoneticPr fontId="5"/>
  </si>
  <si>
    <t>ED2504-TO-KB-May-JA Batch-6</t>
  </si>
  <si>
    <t>000005021</t>
  </si>
  <si>
    <t>000004090</t>
  </si>
  <si>
    <t>000004894</t>
    <phoneticPr fontId="5"/>
  </si>
  <si>
    <t>ED2504-TO-KB-May-JA Batch-7</t>
  </si>
  <si>
    <t>000003772</t>
    <phoneticPr fontId="5"/>
  </si>
  <si>
    <t>On-Premise SharePoint Data Provider Plugin (Beta)</t>
    <phoneticPr fontId="5"/>
  </si>
  <si>
    <t>000004877</t>
    <phoneticPr fontId="5"/>
  </si>
  <si>
    <t>PII Vault Protection and Compliance</t>
    <phoneticPr fontId="5"/>
  </si>
  <si>
    <t>000004123</t>
    <phoneticPr fontId="5"/>
  </si>
  <si>
    <t>000003962</t>
    <phoneticPr fontId="5"/>
  </si>
  <si>
    <t>Configure the CData Driver for SAP in Workbench 5.1</t>
    <phoneticPr fontId="5"/>
  </si>
  <si>
    <t>000004872</t>
    <phoneticPr fontId="5"/>
  </si>
  <si>
    <t>ED2504-TO-KB-May-JA Batch-8</t>
  </si>
  <si>
    <t>Microsoft Teams Connector</t>
    <phoneticPr fontId="5"/>
  </si>
  <si>
    <t>000003282</t>
    <phoneticPr fontId="5"/>
  </si>
  <si>
    <t>Domo Add-ins for Microsoft Office 365 Apps | User Guide</t>
    <phoneticPr fontId="5"/>
  </si>
  <si>
    <t>000005143</t>
    <phoneticPr fontId="5"/>
  </si>
  <si>
    <t>Domo Add-ins for Microsoft Office 365 | Manual Installation Guide for Enterprise</t>
    <phoneticPr fontId="5"/>
  </si>
  <si>
    <t>Domo Add-ins for Microsoft Office 365 | Manual Installation Guide</t>
    <phoneticPr fontId="5"/>
  </si>
  <si>
    <t>000005146</t>
    <phoneticPr fontId="5"/>
  </si>
  <si>
    <t>ED2505-MH-KB-Supported Functions in Magic ETL Reference Guide-JA</t>
    <phoneticPr fontId="5"/>
  </si>
  <si>
    <t>000004583</t>
    <phoneticPr fontId="5"/>
  </si>
  <si>
    <t>Requested by support Ono: Issue with "Rounding" RE: Round関数のKB修正- waiting for EN update</t>
    <phoneticPr fontId="5"/>
  </si>
  <si>
    <t>ED2505-TO-KB-Support-Export Visualization Cards-JA Update</t>
    <phoneticPr fontId="5"/>
  </si>
  <si>
    <t>000004053</t>
    <phoneticPr fontId="5"/>
  </si>
  <si>
    <t>Update Requested by Tsuyoshi:- waiting for EN update</t>
    <phoneticPr fontId="5"/>
  </si>
  <si>
    <t>May 2024 Release Notes - Japanese</t>
    <phoneticPr fontId="5"/>
  </si>
  <si>
    <t>May 2024 Release Notes</t>
    <phoneticPr fontId="5"/>
  </si>
  <si>
    <t xml:space="preserve">	000005440</t>
    <phoneticPr fontId="5"/>
  </si>
  <si>
    <t>delivered</t>
  </si>
  <si>
    <t>ED2026-TO-KB-Request-Magic ETL on Snowflake (Beta)-JA Update</t>
    <phoneticPr fontId="5"/>
  </si>
  <si>
    <t>Requested by Partner Takahashi</t>
    <phoneticPr fontId="5"/>
  </si>
  <si>
    <t>ED2026-TO-KB-Session-JA</t>
  </si>
  <si>
    <t>Session Management</t>
    <phoneticPr fontId="5"/>
  </si>
  <si>
    <t>000005432</t>
    <phoneticPr fontId="5"/>
  </si>
  <si>
    <t>Session Settings</t>
    <phoneticPr fontId="5"/>
  </si>
  <si>
    <t>000005431</t>
    <phoneticPr fontId="5"/>
  </si>
  <si>
    <t>ED2026-TO-KB-Supported Functions in Magic ETL Reference Guide-JA</t>
    <phoneticPr fontId="5"/>
  </si>
  <si>
    <t>MK2026-TO-Web-Samurai Data Integration Suite LP localization-JA</t>
    <phoneticPr fontId="5"/>
  </si>
  <si>
    <t>solution-samurai.json</t>
    <phoneticPr fontId="5"/>
  </si>
  <si>
    <t>MK2026-TO-WP-Nucleus_2024 BI Analytics Value Matrix-JA</t>
    <phoneticPr fontId="5"/>
  </si>
  <si>
    <t>ED2026-MH-Education-March 2024 Release Update descriptions in Docebo-JA</t>
    <phoneticPr fontId="5"/>
  </si>
  <si>
    <t>Mar 2024 Release Updates on Docebo.xlsx</t>
    <phoneticPr fontId="5"/>
  </si>
  <si>
    <t>ED2026-MH-KB-Snowflake and Cloud Amplifier-JA Bugfix</t>
  </si>
  <si>
    <t>000003148</t>
  </si>
  <si>
    <t>ED2026-TO-KB-List on the Appstore-JA</t>
  </si>
  <si>
    <t>ED2026-TO-KB-June-JA Batch-1</t>
    <phoneticPr fontId="5"/>
  </si>
  <si>
    <t>ED2026-TO-KB-June-JA Batch-1</t>
  </si>
  <si>
    <t>Release note related</t>
    <phoneticPr fontId="5"/>
  </si>
  <si>
    <t>Need to be updated</t>
    <phoneticPr fontId="5"/>
  </si>
  <si>
    <t>000005059</t>
    <phoneticPr fontId="5"/>
  </si>
  <si>
    <t xml:space="preserve">Accidentaly not published </t>
    <phoneticPr fontId="5"/>
  </si>
  <si>
    <t>ED2026-TO-KB-June-JA Batch-2</t>
  </si>
  <si>
    <t>Time Zone Formatting</t>
    <phoneticPr fontId="5"/>
  </si>
  <si>
    <t>000003057</t>
    <phoneticPr fontId="5"/>
  </si>
  <si>
    <t>Need relocalization.　Consolidated: Domo Time Zone Formatting/Setting Your Time Zone and Regional Formatting(000003057), Time Zone Troubleshooting FAQ(000003060)</t>
    <phoneticPr fontId="5"/>
  </si>
  <si>
    <t>Task Center App</t>
  </si>
  <si>
    <t>000005396</t>
    <phoneticPr fontId="5"/>
  </si>
  <si>
    <t>000005172</t>
    <phoneticPr fontId="5"/>
  </si>
  <si>
    <t>EN draft</t>
    <phoneticPr fontId="5"/>
  </si>
  <si>
    <t>ED2026-TO-KB-June-JA Batch-3</t>
  </si>
  <si>
    <t>ED2026-TO-KB-Support-July-JA</t>
  </si>
  <si>
    <t>Add users to Domo</t>
    <phoneticPr fontId="5"/>
  </si>
  <si>
    <t>000004068</t>
    <phoneticPr fontId="5"/>
  </si>
  <si>
    <t>Waiting for EN Publishing</t>
  </si>
  <si>
    <t>ED2027-TO-KB-Support-July-JA</t>
  </si>
  <si>
    <t>ED2026-TO-KB-July-JA Batch-4</t>
  </si>
  <si>
    <t>JSON Easy Connector</t>
  </si>
  <si>
    <t>000005481</t>
  </si>
  <si>
    <t>Google BigQuery Workload Identity Federation Connector</t>
  </si>
  <si>
    <t>AI Model Management</t>
  </si>
  <si>
    <t>000005407</t>
  </si>
  <si>
    <t>Completed</t>
  </si>
  <si>
    <t>000005480</t>
  </si>
  <si>
    <t>Google BigQuery Connector (Deprecated)</t>
  </si>
  <si>
    <t>000003949</t>
    <phoneticPr fontId="5"/>
  </si>
  <si>
    <t>Rescheduled</t>
    <phoneticPr fontId="5"/>
  </si>
  <si>
    <t>Google Admin SDK Reports Connector OAuth</t>
  </si>
  <si>
    <t>000003584</t>
  </si>
  <si>
    <t>Google BigQuery Workload Identity Federation Data Connector</t>
    <phoneticPr fontId="5"/>
  </si>
  <si>
    <t>000005473</t>
    <phoneticPr fontId="5"/>
  </si>
  <si>
    <t>Domo Webform</t>
  </si>
  <si>
    <t>000003917</t>
  </si>
  <si>
    <t>DCM via Google Cloud Storage Connector</t>
  </si>
  <si>
    <t>Google Admin SDK Reports Connector</t>
  </si>
  <si>
    <t>000003580</t>
  </si>
  <si>
    <t>ED2026-TO-KB-Support-Google Sheets Service Connector-JA</t>
    <phoneticPr fontId="5"/>
  </si>
  <si>
    <t>000005468</t>
    <phoneticPr fontId="5"/>
  </si>
  <si>
    <t>サポート藤井</t>
    <phoneticPr fontId="5"/>
  </si>
  <si>
    <t>ED2026-TO-KB-Support-Routing, Creation, and Mapping-JA</t>
  </si>
  <si>
    <t>FY25Q2-07</t>
  </si>
  <si>
    <t>ED2026-TO-KB-Range Selector Card for Asana testing-JA</t>
  </si>
  <si>
    <t>Range Selector Card</t>
    <phoneticPr fontId="5"/>
  </si>
  <si>
    <t>000004674</t>
    <phoneticPr fontId="5"/>
  </si>
  <si>
    <t>ED2507-MH-KB-Date Selector Card-JA Bugfix</t>
  </si>
  <si>
    <t>Date Selector Card</t>
    <phoneticPr fontId="5"/>
  </si>
  <si>
    <t>000004722</t>
    <phoneticPr fontId="5"/>
  </si>
  <si>
    <t>relocalized in ED2507-TO-KB-July-JA Batch-1</t>
    <phoneticPr fontId="5"/>
  </si>
  <si>
    <t>ED2507-TO-KB-July-JA Batch-1</t>
  </si>
  <si>
    <t>ED2507-TO-KB-July-JA Batch-1</t>
    <phoneticPr fontId="5"/>
  </si>
  <si>
    <t>ED2507-TO-KB-July-JA Batch-2</t>
    <phoneticPr fontId="5"/>
  </si>
  <si>
    <t>Lithium Advanced Connector</t>
    <phoneticPr fontId="5"/>
  </si>
  <si>
    <t>000003470</t>
  </si>
  <si>
    <t>ED2507-TO-KB-July-JA Batch-2</t>
  </si>
  <si>
    <t>Lithium Dashboard App</t>
  </si>
  <si>
    <t>000004186</t>
  </si>
  <si>
    <t>Lithium LiQL Connector</t>
  </si>
  <si>
    <t>000003467</t>
  </si>
  <si>
    <t>Klout Connector</t>
  </si>
  <si>
    <t>000003473</t>
    <phoneticPr fontId="5"/>
  </si>
  <si>
    <t>ED2507-TO-KB-July-JA Batch-3</t>
    <phoneticPr fontId="5"/>
  </si>
  <si>
    <t>Microsoft SQL Server Reporting Service Connector</t>
    <phoneticPr fontId="5"/>
  </si>
  <si>
    <t>000003919</t>
  </si>
  <si>
    <t>ED2507-TO-KB-July-JA Batch-3</t>
  </si>
  <si>
    <t>Campaigns App | User Guide</t>
  </si>
  <si>
    <t>000004212</t>
  </si>
  <si>
    <t>000003759</t>
  </si>
  <si>
    <t>ED2507-TO-KB-July-JA Batch-4</t>
  </si>
  <si>
    <t>000003949</t>
  </si>
  <si>
    <t>X Ads Connector</t>
  </si>
  <si>
    <t>000003703</t>
  </si>
  <si>
    <t>X Multi Account Domo Connector</t>
  </si>
  <si>
    <t>000003266</t>
  </si>
  <si>
    <t>X Engagement Connector</t>
  </si>
  <si>
    <t>000003450</t>
  </si>
  <si>
    <t>X Connector</t>
  </si>
  <si>
    <t>000003453</t>
  </si>
  <si>
    <t>X Advanced Connector</t>
  </si>
  <si>
    <t>000003454</t>
  </si>
  <si>
    <t>ED2507-TO-KB-July-JA Batch-5</t>
  </si>
  <si>
    <t>Box Writeback Connector</t>
  </si>
  <si>
    <t>000004051</t>
  </si>
  <si>
    <t>Urban Airship Connector</t>
  </si>
  <si>
    <t>000003693</t>
  </si>
  <si>
    <t>000005307</t>
  </si>
  <si>
    <t>ED2507-TO-KB-July-JA Batch-5</t>
    <phoneticPr fontId="5"/>
  </si>
  <si>
    <t>Create Segments in Analyzer</t>
  </si>
  <si>
    <t>000004622</t>
  </si>
  <si>
    <t>Set the Default Landing Page</t>
  </si>
  <si>
    <t>000003056</t>
  </si>
  <si>
    <t>ED2507-TO-KB-July-JA Batch-6</t>
  </si>
  <si>
    <t>DCM via Google Cloud Storage Connector</t>
    <phoneticPr fontId="5"/>
  </si>
  <si>
    <t>000003387</t>
  </si>
  <si>
    <t>ED2507-TO-KB-July-JA Batch-7</t>
  </si>
  <si>
    <t>000003881</t>
  </si>
  <si>
    <t>000003050</t>
  </si>
  <si>
    <t>SAP Concur Connector</t>
  </si>
  <si>
    <t>SAP ASE SSH Connector</t>
  </si>
  <si>
    <t>000003886</t>
  </si>
  <si>
    <t>July 2024 Release Notes - Japanese</t>
  </si>
  <si>
    <t>Current Release Notes - July 2024</t>
    <phoneticPr fontId="5"/>
  </si>
  <si>
    <t>000005479</t>
    <phoneticPr fontId="5"/>
  </si>
  <si>
    <t>FY25Q3-08</t>
  </si>
  <si>
    <t>ED2507-TO-KB-Support-Export Visualization Cards-JA</t>
  </si>
  <si>
    <t>ED2507-TO-KB-Share a DataSet-JA</t>
  </si>
  <si>
    <t>000004911</t>
    <phoneticPr fontId="5"/>
  </si>
  <si>
    <t>ED2507-TO-KB-Magic ETL on Snowflake-JA</t>
  </si>
  <si>
    <t>ED2507-TO-KB-August -JA Batch-1</t>
    <phoneticPr fontId="5"/>
  </si>
  <si>
    <t> Current Release Notes July - v2 JA</t>
  </si>
  <si>
    <t>ED2507-TO-KB-DataSet Views-JA</t>
  </si>
  <si>
    <t>000004568</t>
    <phoneticPr fontId="5"/>
  </si>
  <si>
    <t>ED2507-TO-KB-Analyzer and DataSet Views Integration-JA</t>
  </si>
  <si>
    <t>000004566</t>
    <phoneticPr fontId="5"/>
  </si>
  <si>
    <t>ED2507-TO-KB-Release related-JA</t>
  </si>
  <si>
    <t>Data Refresh Permissions</t>
    <phoneticPr fontId="5"/>
  </si>
  <si>
    <t>000005492</t>
    <phoneticPr fontId="5"/>
  </si>
  <si>
    <t xml:space="preserve">Manage Dashboards </t>
  </si>
  <si>
    <t>000004101</t>
    <phoneticPr fontId="5"/>
  </si>
  <si>
    <t>000002997</t>
    <phoneticPr fontId="5"/>
  </si>
  <si>
    <t>ED2507-TO-KB-Release related-JA</t>
    <phoneticPr fontId="5"/>
  </si>
  <si>
    <t>Configure Language Settings</t>
  </si>
  <si>
    <t>000003055</t>
    <phoneticPr fontId="5"/>
  </si>
  <si>
    <t>Manage AI Models</t>
  </si>
  <si>
    <t>000005502</t>
    <phoneticPr fontId="5"/>
  </si>
  <si>
    <t>ED2507-TO-KB-Release related-JA Batch-2</t>
  </si>
  <si>
    <t xml:space="preserve">DomoStats Connector </t>
  </si>
  <si>
    <t>000003534</t>
    <phoneticPr fontId="5"/>
  </si>
  <si>
    <t>App Studio</t>
  </si>
  <si>
    <t>Pro-code Editor: Web IDE for Domo App Building</t>
    <phoneticPr fontId="5"/>
  </si>
  <si>
    <t>000005496</t>
    <phoneticPr fontId="5"/>
  </si>
  <si>
    <t>Archived</t>
  </si>
  <si>
    <t>ED2508-TO-KB-Properties Available for Most Charts-JA</t>
  </si>
  <si>
    <t>asana</t>
  </si>
  <si>
    <t>ED2508-TO-KB-asana-Augsut-1 -JA</t>
  </si>
  <si>
    <t>Manage Connector Accounts</t>
  </si>
  <si>
    <t>000004907</t>
    <phoneticPr fontId="5"/>
  </si>
  <si>
    <t>Old name: Accounts</t>
    <phoneticPr fontId="5"/>
  </si>
  <si>
    <t>Campaigns App | User Guide</t>
    <phoneticPr fontId="5"/>
  </si>
  <si>
    <t>https://app.asana.com/0/1201273699674925/1207143556236546</t>
    <phoneticPr fontId="5"/>
  </si>
  <si>
    <t>Best Practices for Managing DataSets</t>
    <phoneticPr fontId="5"/>
  </si>
  <si>
    <t>000004900</t>
  </si>
  <si>
    <t>https://app.asana.com/0/1201273699674925/1207554035030983</t>
    <phoneticPr fontId="5"/>
  </si>
  <si>
    <t>User Management</t>
    <phoneticPr fontId="5"/>
  </si>
  <si>
    <t>000003030</t>
  </si>
  <si>
    <t>https://app.asana.com/0/1201273699674925/1207259640144549</t>
    <phoneticPr fontId="5"/>
  </si>
  <si>
    <t>https://app.asana.com/0/1201273699674925/1205079654686495</t>
    <phoneticPr fontId="5"/>
  </si>
  <si>
    <t>ED2508-TO-KB-August -JA Batch-3</t>
  </si>
  <si>
    <t>000004263</t>
    <phoneticPr fontId="5"/>
  </si>
  <si>
    <t>https://app.asana.com/0/1201273699674925/1206384968584833</t>
    <phoneticPr fontId="5"/>
  </si>
  <si>
    <t>DomoStats Connector</t>
    <phoneticPr fontId="5"/>
  </si>
  <si>
    <t>https://app.asana.com/0/1201273699674925/1207869780337260</t>
    <phoneticPr fontId="5"/>
  </si>
  <si>
    <t>ED2508-TO-KB-DataSet Views-JA</t>
  </si>
  <si>
    <t>Analyzer and DataSet Views Integration</t>
  </si>
  <si>
    <t>000004566</t>
  </si>
  <si>
    <t>ED2508-MH-KB-Share a DataSet-JA</t>
  </si>
  <si>
    <t>FY25Q3-09</t>
  </si>
  <si>
    <t>ED2508-MH-KB-Share a DataSet-JA Update</t>
  </si>
  <si>
    <t>Bug fix: [Language I/O] #6639 Error message</t>
    <phoneticPr fontId="5"/>
  </si>
  <si>
    <t>ED2508-TO-KB-US-Magic ETL Tiles Filter-JA Update</t>
  </si>
  <si>
    <t>Magic ETL Tiles: Filter</t>
    <phoneticPr fontId="5"/>
  </si>
  <si>
    <t>000003002</t>
    <phoneticPr fontId="5"/>
  </si>
  <si>
    <t>asana</t>
    <phoneticPr fontId="5"/>
  </si>
  <si>
    <t>https://domo-support.domo.com/s/article/360044876614</t>
    <phoneticPr fontId="5"/>
  </si>
  <si>
    <t>ED2508-TO-KB-US-Table Chart-JA Update</t>
    <phoneticPr fontId="5"/>
  </si>
  <si>
    <t>ED2026-TO-KB-Support-July-JA</t>
    <phoneticPr fontId="5"/>
  </si>
  <si>
    <t>ED2027-TO-KB-Support-July-JA</t>
    <phoneticPr fontId="5"/>
  </si>
  <si>
    <t>Moving or Copying Cards to Other Dashboards</t>
  </si>
  <si>
    <r>
      <t>ED2504-TO-KB-April-JA is still in Correct 1. Should be started after this one.</t>
    </r>
    <r>
      <rPr>
        <sz val="11"/>
        <color theme="1"/>
        <rFont val="ＭＳ Ｐゴシック"/>
        <family val="2"/>
        <charset val="128"/>
      </rPr>
      <t xml:space="preserve">　 </t>
    </r>
    <r>
      <rPr>
        <sz val="11"/>
        <color theme="1"/>
        <rFont val="Arial"/>
        <family val="2"/>
      </rPr>
      <t>old name:Moving or Copying Cards to Other Pages</t>
    </r>
    <phoneticPr fontId="5"/>
  </si>
  <si>
    <t>ED2507-TO-Movie-On-Demand App Studio Training-JA</t>
  </si>
  <si>
    <t>15_Apps Admin.srt</t>
  </si>
  <si>
    <t>n/a</t>
    <phoneticPr fontId="5"/>
  </si>
  <si>
    <t>01_App Studio Overview and Strategy.srt</t>
  </si>
  <si>
    <t>02_Apps Home.srt</t>
  </si>
  <si>
    <t>03_Creating a new App.srt</t>
  </si>
  <si>
    <t>04_Importand and Adjusting Page Settings.srt</t>
  </si>
  <si>
    <t>05_Tabs.srt</t>
  </si>
  <si>
    <t>06_Page Drilling.srt</t>
  </si>
  <si>
    <t>07_Persistent Filters.srt</t>
  </si>
  <si>
    <t>08_Buttons and Forms.srt</t>
  </si>
  <si>
    <t>09_App Name and Navigation.srt</t>
  </si>
  <si>
    <t>10_Themes_Styles_Colors.srt</t>
  </si>
  <si>
    <t>11_Tables.srt</t>
  </si>
  <si>
    <t>12_Fonts.srt</t>
  </si>
  <si>
    <t>13_Mobile.srt</t>
  </si>
  <si>
    <t>14_Embed.srt</t>
  </si>
  <si>
    <t>MK2508-TO-WP-Why Domo_Whitepaper_Aug 2024-JA</t>
  </si>
  <si>
    <t>Why Domo_Whitepaper_Aug 2024.pdf</t>
    <phoneticPr fontId="5"/>
  </si>
  <si>
    <t>PO#:19528 CC: 4306</t>
    <phoneticPr fontId="5"/>
  </si>
  <si>
    <t>ED2508-TO-KB-Support-July-JA</t>
  </si>
  <si>
    <t>ED2508-TO-KB-File Upload Connector-JA</t>
  </si>
  <si>
    <t>ED2508-TO-KB-File Upload Legacy Connector-JA</t>
  </si>
  <si>
    <t>ED2508-TO-KB-August -JA Batch-2</t>
  </si>
  <si>
    <t>000002990</t>
    <phoneticPr fontId="5"/>
  </si>
  <si>
    <t>Domo Sandbox: Linked Repositories</t>
    <phoneticPr fontId="5"/>
  </si>
  <si>
    <t>ED2508-TO-KB-August - Connector-JA</t>
  </si>
  <si>
    <t>Qualtrics Upsert Connector</t>
    <phoneticPr fontId="5"/>
  </si>
  <si>
    <t>ED2509-04-TO-KB-Magic ETL Tiles Filter-JA Update</t>
    <phoneticPr fontId="5"/>
  </si>
  <si>
    <t>ED2509-04-TO-KB-Link update-JA</t>
  </si>
  <si>
    <t>Language codeの変更のみ</t>
    <rPh sb="14" eb="16">
      <t>ヘンコウ</t>
    </rPh>
    <phoneticPr fontId="5"/>
  </si>
  <si>
    <t>000003025</t>
    <phoneticPr fontId="5"/>
  </si>
  <si>
    <t>ED2508-TO-KB-August -JA Batch-4</t>
  </si>
  <si>
    <t>ED2508-TO-KB-Support-Microsoft OneDrive for Business Connector-JA</t>
  </si>
  <si>
    <t>000003920</t>
    <phoneticPr fontId="5"/>
  </si>
  <si>
    <t>KB修正依頼 : Microsoft OneDrive for Business Connectorの翻訳アップデートについて</t>
    <phoneticPr fontId="5"/>
  </si>
  <si>
    <t>ED2508-TO-KB-Microsoft Connectors-JA</t>
  </si>
  <si>
    <t>Microsoft OneDrive Connector</t>
  </si>
  <si>
    <t>000003923</t>
    <phoneticPr fontId="5"/>
  </si>
  <si>
    <t>000004030</t>
    <phoneticPr fontId="5"/>
  </si>
  <si>
    <t>Microsoft Exchange Metrics REST Connector</t>
    <phoneticPr fontId="5"/>
  </si>
  <si>
    <t>000003523</t>
    <phoneticPr fontId="5"/>
  </si>
  <si>
    <t>ED2509-04-TO-KB-September-JA Batch-1</t>
  </si>
  <si>
    <t>ED2509-04-TO-KB-Connectors-JA Batch-1</t>
  </si>
  <si>
    <t>Google Admin SDK Reports Connector</t>
    <phoneticPr fontId="5"/>
  </si>
  <si>
    <t>Creating a Recursive/Snapshot SQL DataFlow</t>
  </si>
  <si>
    <t>000004605</t>
  </si>
  <si>
    <t>ED2509-04-TO-KB-asana-App Studio  Overview-JA</t>
  </si>
  <si>
    <t>000005295</t>
  </si>
  <si>
    <t>EN was drfat</t>
    <phoneticPr fontId="5"/>
  </si>
  <si>
    <t>Release Notes - September 2024</t>
  </si>
  <si>
    <t>September 2024 Release Notes - JP</t>
    <phoneticPr fontId="5"/>
  </si>
  <si>
    <t xml:space="preserve">	000005527</t>
    <phoneticPr fontId="5"/>
  </si>
  <si>
    <t>September 2024 Release Notes - JP Updated</t>
    <phoneticPr fontId="5"/>
  </si>
  <si>
    <t>ED2509-05-TO-KB-asana-Magic ETL Tiles DataSets-JA</t>
    <phoneticPr fontId="5"/>
  </si>
  <si>
    <t>Magic ETL Tiles: DataSets</t>
    <phoneticPr fontId="5"/>
  </si>
  <si>
    <t>ED2509-05-TO-KB-asana-Publishing DataSet Views-JA</t>
  </si>
  <si>
    <t>ED2509-18-TO-KB-Support-Adobe Analytics 1,4 OAuth Connector-JA</t>
    <phoneticPr fontId="5"/>
  </si>
  <si>
    <t>Adobe Analytics 1.4 OAuth Connector</t>
    <phoneticPr fontId="5"/>
  </si>
  <si>
    <t>000003549</t>
    <phoneticPr fontId="5"/>
  </si>
  <si>
    <t>Adobe 関連コネクターのリンク切れ対応 https://onjira.domo.com/browse/DOMO-424322</t>
    <phoneticPr fontId="5"/>
  </si>
  <si>
    <t>ED2509-18-TO-KB-asana-Change the Owner of a DataSet-JA</t>
  </si>
  <si>
    <t>000004905</t>
    <phoneticPr fontId="5"/>
  </si>
  <si>
    <t>https://app.asana.com/0/home/1207377655414706/1207890980021637</t>
    <phoneticPr fontId="5"/>
  </si>
  <si>
    <t>ED2509-18-TO-KB-asana-Publish Content to a Subscriber Instance-JA</t>
  </si>
  <si>
    <t>Publish Content to a Subscriber Instance</t>
    <phoneticPr fontId="5"/>
  </si>
  <si>
    <t>000004983</t>
    <phoneticPr fontId="5"/>
  </si>
  <si>
    <t>Renamed from Publish Content to a Subscriber Organization  https://app.asana.com/0/home/1207377655414706/1206144775151366</t>
    <phoneticPr fontId="5"/>
  </si>
  <si>
    <t>ED2509-18-TO-KB-asana-Build Domo Apps with the Pro-code Editor-JA</t>
  </si>
  <si>
    <t>Build Domo Apps with the Pro-code Editor (Beta)</t>
    <phoneticPr fontId="5"/>
  </si>
  <si>
    <t>000005500</t>
    <phoneticPr fontId="5"/>
  </si>
  <si>
    <t>https://app.asana.com/0/1201273699674925/1207473696481288</t>
    <phoneticPr fontId="5"/>
  </si>
  <si>
    <t>ED2509-18-TO-KB-asana-Domo CLI (Command Line Interface) Tool-JA</t>
  </si>
  <si>
    <t>000003160</t>
    <phoneticPr fontId="5"/>
  </si>
  <si>
    <t>https://app.asana.com/0/1201273699674925/1208184703205518</t>
    <phoneticPr fontId="5"/>
  </si>
  <si>
    <t>FY25Q3-10</t>
    <phoneticPr fontId="5"/>
  </si>
  <si>
    <t>ED2510-02-TO-KB-asana-Embed Content Outside of Domo-JA</t>
  </si>
  <si>
    <t>EN was in draft</t>
    <phoneticPr fontId="5"/>
  </si>
  <si>
    <t>ED2510-02-TO-KB-asana-Magic ETL on BigQuery-JA</t>
  </si>
  <si>
    <t>000005557</t>
    <phoneticPr fontId="5"/>
  </si>
  <si>
    <t>ED2510-02-TO-KB-asana-Domo Sandbox-JA</t>
  </si>
  <si>
    <t>ED2510-03-TO-KB-asana-SCIM (System for Cross-domain Identity Management) in Domo-JA</t>
  </si>
  <si>
    <t>SCIM (System for Cross-domain Identity Management) in Domo</t>
    <phoneticPr fontId="5"/>
  </si>
  <si>
    <t>000005241</t>
    <phoneticPr fontId="5"/>
  </si>
  <si>
    <t>CS2509-12-TO-Document-CS SOW-JA</t>
  </si>
  <si>
    <t>[Customer_Name]_Domo_SOW_[mm_dd_yyyy].dotx</t>
  </si>
  <si>
    <t>[Customer_Name]_Domo_Retainer_Services_SOW_[mm_dd_yyyy].dotx</t>
  </si>
  <si>
    <t>ED2509-12-TO-KB-JIRA-freee Enterprise Connector-JA</t>
  </si>
  <si>
    <t>freee Enterprise Connector</t>
  </si>
  <si>
    <t>000005532</t>
  </si>
  <si>
    <t>ED2509-17-TO-KB-JIRA-freee Enterprise Connector-JA Update</t>
  </si>
  <si>
    <t>ED2509-18-TO-KB-JIRA-Education Statistics Connector-JA</t>
  </si>
  <si>
    <t>000005545</t>
  </si>
  <si>
    <t>https://onjira.domo.com/browse/DOMO-422602</t>
    <phoneticPr fontId="5"/>
  </si>
  <si>
    <t>ED2509-19-TO-KB-asana-Release related-JA Batch-1</t>
  </si>
  <si>
    <t>Create a Magic ETL DataFlow</t>
  </si>
  <si>
    <t>000004572</t>
    <phoneticPr fontId="5"/>
  </si>
  <si>
    <t>要asana更新</t>
    <rPh sb="0" eb="1">
      <t>ヨウ</t>
    </rPh>
    <rPh sb="6" eb="8">
      <t>コウシン</t>
    </rPh>
    <phoneticPr fontId="5"/>
  </si>
  <si>
    <t>App Studio Overview</t>
  </si>
  <si>
    <t>ED2509-19-TO-KB-asana-Release related-JA Batch-2</t>
  </si>
  <si>
    <t>Workbench Enterprise 2.0)</t>
  </si>
  <si>
    <t>000005303</t>
    <phoneticPr fontId="5"/>
  </si>
  <si>
    <t>DataSet Update Methods in Magic ETL)</t>
    <phoneticPr fontId="5"/>
  </si>
  <si>
    <t>000005541</t>
    <phoneticPr fontId="5"/>
  </si>
  <si>
    <t>ED2509-19-TO-KB-asana-Release related-JA Batch-3</t>
  </si>
  <si>
    <t>Remove Users from Domo</t>
  </si>
  <si>
    <t>000004061</t>
    <phoneticPr fontId="5"/>
  </si>
  <si>
    <t>Monitor Queues in Task Center</t>
    <phoneticPr fontId="5"/>
  </si>
  <si>
    <t>Design with App Studio Themes</t>
    <phoneticPr fontId="5"/>
  </si>
  <si>
    <t>000005543</t>
    <phoneticPr fontId="5"/>
  </si>
  <si>
    <t>ED2509-19-TO-KB-asana-Release related-JA Batch-4</t>
  </si>
  <si>
    <t>000005171</t>
  </si>
  <si>
    <t>Create a Workflow</t>
  </si>
  <si>
    <t>000005331</t>
    <phoneticPr fontId="5"/>
  </si>
  <si>
    <t>ED2509-19-TO-KB-asana-Release related-JA Batch-5</t>
  </si>
  <si>
    <t>Manage Workflows</t>
  </si>
  <si>
    <t>000005179</t>
    <phoneticPr fontId="5"/>
  </si>
  <si>
    <t>Subset Processing in Magic ETL</t>
    <phoneticPr fontId="5"/>
  </si>
  <si>
    <t>ED2510-03-TO-KB-asana-Custom Date &amp; Timestamp Formatting in Analyzer-JA</t>
  </si>
  <si>
    <t>000005442</t>
    <phoneticPr fontId="5"/>
  </si>
  <si>
    <t>ED2510-2-TO-KB-asana-Changing the Date Format in Your Chart-JA</t>
  </si>
  <si>
    <t>000005038</t>
    <phoneticPr fontId="5"/>
  </si>
  <si>
    <t>EN ver was in Draft. Kicked off in Oct. 2</t>
    <phoneticPr fontId="5"/>
  </si>
  <si>
    <t>ED2509-19-TO-KB-asana-US requests-JA</t>
  </si>
  <si>
    <t>Pivot Table</t>
    <phoneticPr fontId="5"/>
  </si>
  <si>
    <t>ED2509-26-TO-Education-Getting started with workflows training V2 - Description-JA</t>
  </si>
  <si>
    <t>Titles and Descriptions.xlsx</t>
  </si>
  <si>
    <t>ED2509-26-TO-Education-Getting started with workflows training V2-JA</t>
  </si>
  <si>
    <t>Video 1 - Intro to the tool - 5mins.mov</t>
    <phoneticPr fontId="5"/>
  </si>
  <si>
    <t>Video 2 - Introduction to Product, Components and Concepts - 8mins.mov</t>
    <phoneticPr fontId="5"/>
  </si>
  <si>
    <t>Video 3 - Forms, Queues, Task Center and CodeEngine - 6mins.mov</t>
    <phoneticPr fontId="5"/>
  </si>
  <si>
    <t>Video 4 - Building First Workflow Part 1 of 2 - 5mins.mov</t>
    <phoneticPr fontId="5"/>
  </si>
  <si>
    <t>Video 5 - Building First Workflow Part 2 of 2 - 10mins.mov</t>
    <phoneticPr fontId="5"/>
  </si>
  <si>
    <t>Video 6 - Building Second Workflow Part 1 of 4 - 8mins.mov</t>
    <phoneticPr fontId="5"/>
  </si>
  <si>
    <t>Video 7 - Building Second Workflow Part 2 of 4 - 11mins.mov</t>
    <phoneticPr fontId="5"/>
  </si>
  <si>
    <t>Video 8 - Building Second Workflow Part 3 of 4 - 15mins.mov</t>
    <phoneticPr fontId="5"/>
  </si>
  <si>
    <t>Video 9 - Building Second Workflow Part 4 of 4 - 13mins.mov</t>
    <phoneticPr fontId="5"/>
  </si>
  <si>
    <t>Video 10 - Workflow &amp; Queue Widgets in AppStudio - 9mins.mov</t>
    <phoneticPr fontId="5"/>
  </si>
  <si>
    <t>Video 11 - Building Third Workflow Step 1 of 2 - 8mins.mov</t>
    <phoneticPr fontId="5"/>
  </si>
  <si>
    <t>Video 12 - Building Third Workflow Step 2 of 2 - 11mins.mov</t>
  </si>
  <si>
    <t>FY25Q3-10</t>
  </si>
  <si>
    <t>ED2510-26-MH-KB-JIRA-Education Statistics Connector-JA Update</t>
  </si>
  <si>
    <t>ED2510-02-TO-KB-asana-Jupyter Workspaces User Guide-JA</t>
  </si>
  <si>
    <t xml:space="preserve">	000004975</t>
    <phoneticPr fontId="5"/>
  </si>
  <si>
    <t>EN was draft</t>
    <phoneticPr fontId="5"/>
  </si>
  <si>
    <t>ED2510-03-TO-KB-asana-Magic ETL on Databricks (Beta)-JA</t>
    <phoneticPr fontId="5"/>
  </si>
  <si>
    <t>000005558</t>
    <phoneticPr fontId="5"/>
  </si>
  <si>
    <t>EN archived</t>
    <phoneticPr fontId="5"/>
  </si>
  <si>
    <t>ED2510-03-TO-App-2024 Release Update-JA</t>
  </si>
  <si>
    <t>Manage Workflows-CB</t>
  </si>
  <si>
    <t>Alerts and Notifications-CB</t>
  </si>
  <si>
    <t>Domo Dashboards-CB</t>
  </si>
  <si>
    <t>Telling Stories with Data-CB</t>
  </si>
  <si>
    <t>Using Domo Dashboards-CB</t>
  </si>
  <si>
    <t>Using Drill Paths and Building Specific Chart Types-CB</t>
  </si>
  <si>
    <t>ED2510-03-TO-App-2024 Release Update-JA</t>
    <phoneticPr fontId="5"/>
  </si>
  <si>
    <t>Using the Domo Data Center-CB</t>
  </si>
  <si>
    <t>ED2510-03-TO-KB-October-JA Batch-1</t>
  </si>
  <si>
    <t>SAP ASE Connector</t>
  </si>
  <si>
    <t>000003882</t>
  </si>
  <si>
    <t>000003940</t>
  </si>
  <si>
    <t>Slicer, Checkbox Selector, and Radio Button Selector Cards</t>
    <phoneticPr fontId="5"/>
  </si>
  <si>
    <t>000004698</t>
  </si>
  <si>
    <t>000004647</t>
  </si>
  <si>
    <t>Dropdown Selector Card</t>
  </si>
  <si>
    <t>000004662</t>
  </si>
  <si>
    <t>ED2510-03-TO-KB-October-JA Batch-2</t>
  </si>
  <si>
    <t>Task Center Mobile App</t>
  </si>
  <si>
    <t>Atom RSS Connector</t>
    <phoneticPr fontId="5"/>
  </si>
  <si>
    <t>000003359</t>
  </si>
  <si>
    <t>Get Started with Dashboards</t>
    <phoneticPr fontId="5"/>
  </si>
  <si>
    <t>ED2510-03-TO-KB-October-JA Batch-3</t>
    <phoneticPr fontId="5"/>
  </si>
  <si>
    <t>Cvent Connector</t>
  </si>
  <si>
    <t>000003397</t>
    <phoneticPr fontId="5"/>
  </si>
  <si>
    <t>ED2510-03-TO-KB-October-JA Batch-3</t>
  </si>
  <si>
    <t>Sharing Content in Domo FAQs</t>
    <phoneticPr fontId="5"/>
  </si>
  <si>
    <t>000004114</t>
  </si>
  <si>
    <t>SendGrid Connector</t>
    <phoneticPr fontId="5"/>
  </si>
  <si>
    <t>000003724</t>
    <phoneticPr fontId="5"/>
  </si>
  <si>
    <t>ED2510-03-TO-KB-October-JA Batch-4</t>
    <phoneticPr fontId="5"/>
  </si>
  <si>
    <t>000004854</t>
    <phoneticPr fontId="5"/>
  </si>
  <si>
    <t>ED2510-03-TO-KB-October-JA Batch-4</t>
  </si>
  <si>
    <t>Persistent Filters Widget User Guide</t>
    <phoneticPr fontId="5"/>
  </si>
  <si>
    <t>000005266</t>
    <phoneticPr fontId="5"/>
  </si>
  <si>
    <t>DoubleClick Campaign Manager Connector</t>
    <phoneticPr fontId="5"/>
  </si>
  <si>
    <t>000003783</t>
    <phoneticPr fontId="5"/>
  </si>
  <si>
    <t>ED2510-03-TO-KB-October-JA Batch-5</t>
  </si>
  <si>
    <t>DoubleClick Campaign Manager Service Account via DTV2 Service Connector</t>
  </si>
  <si>
    <t>000003287</t>
    <phoneticPr fontId="5"/>
  </si>
  <si>
    <t>Qualtrics Connector</t>
    <phoneticPr fontId="5"/>
  </si>
  <si>
    <t>000003387</t>
    <phoneticPr fontId="5"/>
  </si>
  <si>
    <t>English in Draft</t>
    <phoneticPr fontId="5"/>
  </si>
  <si>
    <t>Qualtrics Dashboard App</t>
  </si>
  <si>
    <t>000004180</t>
    <phoneticPr fontId="5"/>
  </si>
  <si>
    <t>What Constitutes PII?</t>
    <phoneticPr fontId="5"/>
  </si>
  <si>
    <t>000003016</t>
    <phoneticPr fontId="5"/>
  </si>
  <si>
    <t>ED2510-08-TO-Education-App-2024 Release Update-JA</t>
  </si>
  <si>
    <t>2024Oct_1_ReleaseNotesApps.xlsx</t>
  </si>
  <si>
    <t>ED2510-10-TO-KB-Launch Workbench Enterprise Jobs with Third-Party Tools Using JWT-JA</t>
  </si>
  <si>
    <t>000005587</t>
    <phoneticPr fontId="5"/>
  </si>
  <si>
    <t>ED2510-15-TO-KB-October Release Notes - JP-JA</t>
  </si>
  <si>
    <t xml:space="preserve">	000005593</t>
    <phoneticPr fontId="5"/>
  </si>
  <si>
    <t>ED2510-22-TO-KB-asana-October-JA Batch-1</t>
  </si>
  <si>
    <t>Enable Multi-factor Authentication</t>
  </si>
  <si>
    <t>Personalized Data Permissions </t>
  </si>
  <si>
    <t>000004906</t>
    <phoneticPr fontId="5"/>
  </si>
  <si>
    <t>DataSet Views</t>
  </si>
  <si>
    <t>Use AI Chat</t>
    <phoneticPr fontId="5"/>
  </si>
  <si>
    <t>000005539</t>
    <phoneticPr fontId="5"/>
  </si>
  <si>
    <t>ED2510-22-TO-KB-asana-October-JA Batch-2</t>
  </si>
  <si>
    <t>Using the (Legacy) Domo Excel Plugin</t>
    <phoneticPr fontId="5"/>
  </si>
  <si>
    <t>000004257</t>
    <phoneticPr fontId="5"/>
  </si>
  <si>
    <t>Plugins not actively developed</t>
  </si>
  <si>
    <t>Pending - EN was draft</t>
    <phoneticPr fontId="5"/>
  </si>
  <si>
    <t>ED2510-22-TO-KB-asana-October-JA Batch-3</t>
  </si>
  <si>
    <t>Group Ownership of Accounts (Beta)</t>
    <phoneticPr fontId="5"/>
  </si>
  <si>
    <t>000004889</t>
    <phoneticPr fontId="5"/>
  </si>
  <si>
    <t>Domo Finance</t>
  </si>
  <si>
    <t>000004127</t>
    <phoneticPr fontId="5"/>
  </si>
  <si>
    <t>Manage Connector Accounts</t>
    <phoneticPr fontId="5"/>
  </si>
  <si>
    <t>ED2510-22-TO-KB-asana-Cloud Amplifier-JA</t>
  </si>
  <si>
    <t>Databricks and Cloud Amplifier</t>
  </si>
  <si>
    <t>To be relocalized:EN Draft</t>
    <phoneticPr fontId="5"/>
  </si>
  <si>
    <t>Dremio and Cloud Amplifier</t>
    <phoneticPr fontId="5"/>
  </si>
  <si>
    <t>000005139</t>
    <phoneticPr fontId="5"/>
  </si>
  <si>
    <t>Oracle and Cloud Amplifier</t>
    <phoneticPr fontId="5"/>
  </si>
  <si>
    <t>000005586</t>
    <phoneticPr fontId="5"/>
  </si>
  <si>
    <t>Google BigQuery and Cloud Amplifier</t>
    <phoneticPr fontId="5"/>
  </si>
  <si>
    <t>ED2510-23-TO-KB-Google Sheets Connector-JA</t>
  </si>
  <si>
    <t>000003933</t>
    <phoneticPr fontId="5"/>
  </si>
  <si>
    <t>Requested by Fujii: KB修正依頼 : Google Sheets Connectorの翻訳アップデートについて</t>
    <phoneticPr fontId="5"/>
  </si>
  <si>
    <t>ED2510-23-TO-KB-Train and Deploy Models with AutoML (Automated Machine Learning)-JA</t>
  </si>
  <si>
    <t>000004885</t>
    <phoneticPr fontId="5"/>
  </si>
  <si>
    <t>FY25Q4-11</t>
    <phoneticPr fontId="5"/>
  </si>
  <si>
    <t>ED2510-23-TO-KB-asana-AI Readiness-JA</t>
  </si>
  <si>
    <t>000005561</t>
  </si>
  <si>
    <t>ED2510-23-TO-KB-asana-Submit a Support Ticket-JA</t>
  </si>
  <si>
    <t>000005616</t>
  </si>
  <si>
    <t>ED2510-23-TO-KB-October-JA Batch-6</t>
    <phoneticPr fontId="5"/>
  </si>
  <si>
    <t>ED2510-23-TO-KB-October-JA Batch-6</t>
  </si>
  <si>
    <t>Salesforce Connector (Deprecated)</t>
  </si>
  <si>
    <t>QuickBase Connector</t>
  </si>
  <si>
    <t>000003556</t>
  </si>
  <si>
    <t>Google Analytics Partition Connector (DEPRECATED)</t>
  </si>
  <si>
    <t>000003970</t>
  </si>
  <si>
    <t>ED2510-23-TO-KB-October-JA Batch-7</t>
  </si>
  <si>
    <t>Google Analytics MCF Connector (DEPRECATED)</t>
  </si>
  <si>
    <t>000003533</t>
  </si>
  <si>
    <t>Google Analytics Enterprise Connector (DEPRECATED)</t>
  </si>
  <si>
    <t>000003207</t>
  </si>
  <si>
    <t>Google Analytics Advanced Connector (DEPRECATED)</t>
  </si>
  <si>
    <t>000003527</t>
  </si>
  <si>
    <t>000003613</t>
  </si>
  <si>
    <t>ED2510-23-TO-KB-October-JA Batch-8</t>
  </si>
  <si>
    <t>IBM Informix Connector</t>
  </si>
  <si>
    <t>000003579</t>
  </si>
  <si>
    <t>Apache Kafka Connector</t>
  </si>
  <si>
    <t>HTML Table Connector</t>
  </si>
  <si>
    <t>000003929</t>
  </si>
  <si>
    <t>Microsoft SQL SSH Connector</t>
    <phoneticPr fontId="5"/>
  </si>
  <si>
    <t>000003848</t>
  </si>
  <si>
    <t>ED2510-23-TO-KB-October-JA Batch-8</t>
    <phoneticPr fontId="5"/>
  </si>
  <si>
    <t>ED2510-23-TO-KB-October-JA Batch-9</t>
    <phoneticPr fontId="5"/>
  </si>
  <si>
    <t>Twitter Counter Connector</t>
  </si>
  <si>
    <t>000003449</t>
  </si>
  <si>
    <t>EN Archived</t>
    <phoneticPr fontId="5"/>
  </si>
  <si>
    <t>000003923</t>
  </si>
  <si>
    <t>Cloudability V3 Connector</t>
    <phoneticPr fontId="5"/>
  </si>
  <si>
    <t>Amazon Redshift</t>
  </si>
  <si>
    <t>000003908</t>
  </si>
  <si>
    <t>ED2511-26-TO-KB-App-JA</t>
  </si>
  <si>
    <t>FY25Q4-11</t>
  </si>
  <si>
    <t>ED2511-26-TO-KB-November-JA Batch-1</t>
  </si>
  <si>
    <t>ED2510-24-TO-KB-asana-App Studio Overview-JA</t>
  </si>
  <si>
    <t>App Studio | Overview</t>
    <phoneticPr fontId="5"/>
  </si>
  <si>
    <t>ED2510-25-TO-KB-asana-Microsoft SharePoint connector-JA</t>
  </si>
  <si>
    <t>Adding a Microsoft Sharepoint Online Rest OAuth Config</t>
    <phoneticPr fontId="5"/>
  </si>
  <si>
    <t>000005610</t>
    <phoneticPr fontId="5"/>
  </si>
  <si>
    <t>Requested by Fujii: KB翻訳依頼 : Microsoft SharePoint Online Rest Enterprise OAuth Connectorの日本語KB公開依頼</t>
    <phoneticPr fontId="5"/>
  </si>
  <si>
    <t>Microsoft SharePoint Online Rest Enterprise OAuth Connector</t>
    <phoneticPr fontId="5"/>
  </si>
  <si>
    <t>000005535</t>
    <phoneticPr fontId="5"/>
  </si>
  <si>
    <t xml:space="preserve">TO </t>
    <phoneticPr fontId="5"/>
  </si>
  <si>
    <t>November Release Notes Updated - JA</t>
    <phoneticPr fontId="5"/>
  </si>
  <si>
    <t>November Release Notes</t>
    <phoneticPr fontId="5"/>
  </si>
  <si>
    <t>000005613</t>
    <phoneticPr fontId="5"/>
  </si>
  <si>
    <t>Status not completed in SFDC&gt;EN is in draft</t>
    <phoneticPr fontId="5"/>
  </si>
  <si>
    <t>ED2511-06-TO-KB-asana-Microsoft SharePoint connector-JA Update</t>
  </si>
  <si>
    <t>Returning failed-relocalized</t>
    <phoneticPr fontId="5"/>
  </si>
  <si>
    <t>ED2511-13-MH-KB-Publishing DataSet Views-JA</t>
  </si>
  <si>
    <t>SFDC Test</t>
    <phoneticPr fontId="5"/>
  </si>
  <si>
    <t>ED2511-13-TO-Movie-Getting started with workflows training V2-Closing Logo-JA</t>
    <phoneticPr fontId="5"/>
  </si>
  <si>
    <t>DOMO_BrandMovie_220318_fix.mp4</t>
    <phoneticPr fontId="5"/>
  </si>
  <si>
    <t>ED2511-18-MH-KB-Projecting the Last Value in Your Chart-JA SFDC Update</t>
    <phoneticPr fontId="5"/>
  </si>
  <si>
    <t>000005028</t>
    <phoneticPr fontId="5"/>
  </si>
  <si>
    <t>ED2511-18-MH-KB-Enable SSO with Salesforcecom-JA SFDC Update</t>
    <phoneticPr fontId="5"/>
  </si>
  <si>
    <t>Enable SSO with Salesforce.com</t>
    <phoneticPr fontId="5"/>
  </si>
  <si>
    <t>000003046</t>
    <phoneticPr fontId="5"/>
  </si>
  <si>
    <t>ED2511-18-MH-KB-Customize Domo Mobile App-JA SFDC Update</t>
  </si>
  <si>
    <t>000005648</t>
    <phoneticPr fontId="5"/>
  </si>
  <si>
    <t>ED2511-20-MH-KB-Recurly Connector-JA SFDC Update</t>
  </si>
  <si>
    <t>ED2511-21-MH-KB-Forecasting Universal Model-JA</t>
  </si>
  <si>
    <t>000005567</t>
    <phoneticPr fontId="5"/>
  </si>
  <si>
    <t>ED2511-26-TO-KB-Connectors-JA</t>
  </si>
  <si>
    <t>Microsoft Fabric Connector</t>
    <phoneticPr fontId="5"/>
  </si>
  <si>
    <t>000005663</t>
    <phoneticPr fontId="5"/>
  </si>
  <si>
    <t>Adobe Customer Journey Analytics Connector</t>
    <phoneticPr fontId="5"/>
  </si>
  <si>
    <t>000005680</t>
  </si>
  <si>
    <t>ED2511-29-TO-KB-Forecasting Universal Model-JA Update</t>
  </si>
  <si>
    <t>Reanalyseによる再翻訳ED2511-21-MH-KB-Forecasting Universal Model-JA</t>
    <rPh sb="12" eb="15">
      <t>サイホンヤク</t>
    </rPh>
    <phoneticPr fontId="5"/>
  </si>
  <si>
    <t>FY25Q4-12</t>
  </si>
  <si>
    <t>ED2512-03-TO-App-November 24-JA</t>
  </si>
  <si>
    <t>Using Domo Mobile-CB</t>
  </si>
  <si>
    <t>Choosing Chart Types-CB</t>
  </si>
  <si>
    <t>ED2512-03-TO-App-November 24-JA</t>
    <phoneticPr fontId="5"/>
  </si>
  <si>
    <t>ED2512-03-TO-App-November 24-JACourse Description</t>
  </si>
  <si>
    <t>Course description.docx</t>
    <phoneticPr fontId="5"/>
  </si>
  <si>
    <t>ED2512-04-TO-KB-asana-December-JA Batch-1</t>
  </si>
  <si>
    <t>000005675</t>
    <phoneticPr fontId="5"/>
  </si>
  <si>
    <t>ED2512-04-TO-KB-asana-December-JA Batch-1</t>
    <phoneticPr fontId="5"/>
  </si>
  <si>
    <t>Allowlist IP Addresses in Domo</t>
    <phoneticPr fontId="5"/>
  </si>
  <si>
    <t>EN was in draft: ED2509-19-TO-KB-asana-US requests-JA</t>
    <phoneticPr fontId="5"/>
  </si>
  <si>
    <t>ED2512-04-TO-KB-asana-December-JA Batch-2</t>
    <phoneticPr fontId="5"/>
  </si>
  <si>
    <t>Use AI Prompts in Jupyter</t>
    <phoneticPr fontId="5"/>
  </si>
  <si>
    <t>000005544</t>
    <phoneticPr fontId="5"/>
  </si>
  <si>
    <t>ED2512-04-TO-KB-asana-December-JA Batch-2</t>
  </si>
  <si>
    <t>ED2401-TO-KB-Consumption and Domo Free-JA was draft</t>
    <phoneticPr fontId="5"/>
  </si>
  <si>
    <t>000005559</t>
    <phoneticPr fontId="5"/>
  </si>
  <si>
    <t>ED2512-04-TO-KB-asana-December-JA Batch-3</t>
    <phoneticPr fontId="5"/>
  </si>
  <si>
    <t>Waited for old JA Publishing</t>
    <phoneticPr fontId="5"/>
  </si>
  <si>
    <t>ED2512-04-TO-KB-asana-December-JA Batch-3</t>
  </si>
  <si>
    <t>Page Filters and Filter Views on Dashboards</t>
    <phoneticPr fontId="5"/>
  </si>
  <si>
    <t>000004056</t>
    <phoneticPr fontId="5"/>
  </si>
  <si>
    <t>ED2512-04-TO-KB-asana-December-JA Batch-4</t>
    <phoneticPr fontId="5"/>
  </si>
  <si>
    <t>ED2512-04-TO-KB-asana-December-JA Batch-4</t>
  </si>
  <si>
    <t>Mega Tables</t>
  </si>
  <si>
    <t>000005466</t>
  </si>
  <si>
    <t>ED2512-04-TO-KB-asana-December-JA Batch-5</t>
  </si>
  <si>
    <t>Convert Content from MS Office Legacy Plugins to MS Office Domo Add-ins</t>
    <phoneticPr fontId="5"/>
  </si>
  <si>
    <t>000005409</t>
  </si>
  <si>
    <t>ED2512-11-TO-KB-December-JA Batch-1</t>
  </si>
  <si>
    <t>ED2512-11-TO-KB-December-JA Batch-1</t>
    <phoneticPr fontId="5"/>
  </si>
  <si>
    <t>ED2512-11-TO-KB-December-JA Batch-2</t>
  </si>
  <si>
    <t>ED2512-11-TO-KB-December-JA Batch-3</t>
  </si>
  <si>
    <t>AI Agents | Frequently Asked Questions</t>
  </si>
  <si>
    <t>000005720</t>
  </si>
  <si>
    <t>000005236</t>
  </si>
  <si>
    <t>IBM Watson Adapter</t>
  </si>
  <si>
    <t>000005724</t>
    <phoneticPr fontId="5"/>
  </si>
  <si>
    <t>ED2512-18-TO-KB-asana-December-JA Batch-6</t>
    <phoneticPr fontId="5"/>
  </si>
  <si>
    <t>Waited for EN Publishing</t>
    <phoneticPr fontId="5"/>
  </si>
  <si>
    <t>クエリ終了後に一旦パブリッシュして再日本語化：ED2510-23-TO-KB-asana-AI Readiness-JA, EN was in Draft</t>
    <rPh sb="3" eb="6">
      <t>シュウリョウゴ</t>
    </rPh>
    <rPh sb="7" eb="9">
      <t>イッタン</t>
    </rPh>
    <rPh sb="17" eb="22">
      <t>サイニホンゴカ</t>
    </rPh>
    <phoneticPr fontId="5"/>
  </si>
  <si>
    <t>Old prj is still open :ED2510-22-TO-KB-asana-October-JA Batch-2                waiting for project to be closed</t>
    <phoneticPr fontId="5"/>
  </si>
  <si>
    <t>ED2512-18-TO-KB-December-JA Batch-4</t>
  </si>
  <si>
    <t>Workbench Enterprise 2.0 | Implementation Guide</t>
    <phoneticPr fontId="5"/>
  </si>
  <si>
    <t>Updated from Workbench Enterprise 2.0? Waiting for Workbench Enterprise 2.0 to be comepleted</t>
    <phoneticPr fontId="5"/>
  </si>
  <si>
    <t>ED2512-11-TO-KB-Connectors-JA</t>
  </si>
  <si>
    <t>000003175</t>
  </si>
  <si>
    <t>000003950</t>
  </si>
  <si>
    <t>000003878</t>
  </si>
  <si>
    <t>WordPress Connector</t>
  </si>
  <si>
    <t>000003393</t>
  </si>
  <si>
    <t>ED2512-11-TO-KB-Connectors-JA Batch-2</t>
  </si>
  <si>
    <t>Amazon S3 AssumeRole Advanced Connector</t>
  </si>
  <si>
    <t>000003268</t>
  </si>
  <si>
    <t>Eloqua Connector</t>
  </si>
  <si>
    <t>000003767</t>
  </si>
  <si>
    <t>ED2512-11-TO-KB-Connectors-JA Batch-3</t>
  </si>
  <si>
    <t>Wrike Connector</t>
  </si>
  <si>
    <t>000003407</t>
  </si>
  <si>
    <t>Facebook Ads Connector</t>
  </si>
  <si>
    <t>000003771</t>
  </si>
  <si>
    <t>Rival IQ Connector</t>
  </si>
  <si>
    <t>000003729</t>
  </si>
  <si>
    <t>Adobe Analytics v2 JWT Partition Connector (DEPRECATED)</t>
  </si>
  <si>
    <t>000003241</t>
  </si>
  <si>
    <t>Adobe Analytics 1.4 JWT Connector (DEPRECATED)</t>
  </si>
  <si>
    <t>000003239</t>
  </si>
  <si>
    <t>ED2512-18-TO-KB-Connectors-JA Batch-4</t>
  </si>
  <si>
    <t>000003636</t>
  </si>
  <si>
    <t>Google Analytics Real Time Connector (DEPRECATED)</t>
  </si>
  <si>
    <t>000003535</t>
  </si>
  <si>
    <t>Downloading and Running the Buzz Desktop Version (Deprecated)</t>
  </si>
  <si>
    <t>000004314</t>
  </si>
  <si>
    <t>Google Search Ads 360 Connector (DEPRECATED)</t>
  </si>
  <si>
    <t>000003779</t>
  </si>
  <si>
    <t>ED2512-18-TO-KB-Connectors-JA Batch-5</t>
  </si>
  <si>
    <t>Instagram Connector (Deprecated)</t>
  </si>
  <si>
    <t>000003469</t>
  </si>
  <si>
    <t>Microsoft Sharepoint Connector (Deprecated)</t>
  </si>
  <si>
    <t>000003433</t>
  </si>
  <si>
    <t>Microsoft Sharepoint Online Connector (Deprecated)</t>
  </si>
  <si>
    <t>000003428</t>
  </si>
  <si>
    <t>ED2512-19-TO-KB-Connectors-JA Batch-6</t>
  </si>
  <si>
    <t>Google Cloud Storage - FileWatch Connector</t>
  </si>
  <si>
    <t>000005745</t>
  </si>
  <si>
    <t>CanvasData Connector</t>
  </si>
  <si>
    <t>000005751</t>
  </si>
  <si>
    <t>000003753</t>
  </si>
  <si>
    <t>Gong Connector</t>
  </si>
  <si>
    <t>000003874</t>
  </si>
  <si>
    <t>000003432</t>
  </si>
  <si>
    <t>data.world Connector</t>
  </si>
  <si>
    <t>000003867</t>
  </si>
  <si>
    <t>ED2512-19-TO-KB-Connectors-JA Batch-7</t>
  </si>
  <si>
    <t>Integrate Cloud Connector</t>
  </si>
  <si>
    <t>000003756</t>
  </si>
  <si>
    <t>Amazon Web Services IoT Analytics Connector</t>
  </si>
  <si>
    <t>000005739</t>
  </si>
  <si>
    <t>MindTouch Connector</t>
  </si>
  <si>
    <t>000003429</t>
  </si>
  <si>
    <t>OLAP Connector</t>
  </si>
  <si>
    <t>000005732</t>
  </si>
  <si>
    <t>DOMO's List of Writeback Connectors</t>
  </si>
  <si>
    <t>000005353</t>
  </si>
  <si>
    <t>Facebook Ads Advanced Multi Accounts Connector</t>
  </si>
  <si>
    <t>000005710</t>
  </si>
  <si>
    <t>FY25Q4-01</t>
  </si>
  <si>
    <t>January 2025 Release Notes - JA</t>
  </si>
  <si>
    <t>January 2025 Release Notes</t>
    <phoneticPr fontId="5"/>
  </si>
  <si>
    <t>000005743</t>
    <phoneticPr fontId="5"/>
  </si>
  <si>
    <t>ED2501-21-TO-KB-January-JA</t>
  </si>
  <si>
    <t>Create an Alert for a DataSet</t>
    <phoneticPr fontId="5"/>
  </si>
  <si>
    <t>000004353</t>
    <phoneticPr fontId="5"/>
  </si>
  <si>
    <t>Connector Permissioning in Domo</t>
    <phoneticPr fontId="5"/>
  </si>
  <si>
    <t>000004891</t>
    <phoneticPr fontId="5"/>
  </si>
  <si>
    <t>Manage Your Alerts</t>
    <phoneticPr fontId="5"/>
  </si>
  <si>
    <t>000004355</t>
    <phoneticPr fontId="5"/>
  </si>
  <si>
    <t>Amazon Athena and Cloud Amplifier (Beta)</t>
    <phoneticPr fontId="5"/>
  </si>
  <si>
    <t>000005744</t>
    <phoneticPr fontId="5"/>
  </si>
  <si>
    <t>Waited for EN publishing</t>
  </si>
  <si>
    <t>PostgreSQL and Cloud Amplifier (Beta)</t>
    <phoneticPr fontId="5"/>
  </si>
  <si>
    <t>000005756</t>
    <phoneticPr fontId="5"/>
  </si>
  <si>
    <t>ED2501-21-TO-KB-January-JA Batch-2</t>
  </si>
  <si>
    <t>Amazon S3 Advanced Development Connector</t>
  </si>
  <si>
    <t>000005674</t>
  </si>
  <si>
    <t>SharePoint Online Writeback Connector</t>
  </si>
  <si>
    <t>000005677</t>
  </si>
  <si>
    <t>MySQL and Cloud Amplifier</t>
  </si>
  <si>
    <t>000005451</t>
  </si>
  <si>
    <t>Azure SQL and Cloud Amplifier</t>
  </si>
  <si>
    <t>000005471</t>
  </si>
  <si>
    <t>ED2501-21-TO-KB-January-JA Batch-3</t>
  </si>
  <si>
    <t>Amazon Kendra Connector</t>
    <phoneticPr fontId="5"/>
  </si>
  <si>
    <t>000005651</t>
  </si>
  <si>
    <t>Amazon Kendra Writeback Connector</t>
    <phoneticPr fontId="5"/>
  </si>
  <si>
    <t>000004014</t>
    <phoneticPr fontId="5"/>
  </si>
  <si>
    <t>Magic ETL Tiles: AI Services</t>
  </si>
  <si>
    <t>000005741</t>
  </si>
  <si>
    <t>Freemium Overview</t>
    <phoneticPr fontId="5"/>
  </si>
  <si>
    <t>000005699</t>
  </si>
  <si>
    <t>Explore Data with Table Elements in App Studio (Beta)</t>
  </si>
  <si>
    <t>000005681</t>
  </si>
  <si>
    <t>ED2501-21-TO-KB-January-JA Batch-4</t>
  </si>
  <si>
    <t>ServiceNow Enterprise OAuth Configuration Connector</t>
  </si>
  <si>
    <t>000005697</t>
  </si>
  <si>
    <t>Image Chart</t>
  </si>
  <si>
    <t>000005654</t>
  </si>
  <si>
    <t>000003178</t>
  </si>
  <si>
    <t>000004765</t>
  </si>
  <si>
    <t>White Papers</t>
  </si>
  <si>
    <t>000004336</t>
  </si>
  <si>
    <t>ED2501-21-TO-KB-January-JA Batch-5</t>
  </si>
  <si>
    <t>Zoom App Advanced Setup and Best Practices</t>
  </si>
  <si>
    <t>000004143</t>
  </si>
  <si>
    <t>000004193</t>
  </si>
  <si>
    <t>Location Readiness</t>
  </si>
  <si>
    <t>000004135</t>
  </si>
  <si>
    <t>Square Dashboard App</t>
  </si>
  <si>
    <t>000004161</t>
  </si>
  <si>
    <t>SurveyMonkey QuickStart App</t>
  </si>
  <si>
    <t>000004159</t>
  </si>
  <si>
    <t>ED2501-21-TO-KB-January-JA Batch-6</t>
  </si>
  <si>
    <t>Trello Dashboard App</t>
  </si>
  <si>
    <t>000004164</t>
  </si>
  <si>
    <t>Zendesk Support App</t>
  </si>
  <si>
    <t>000004155</t>
  </si>
  <si>
    <t>000004194</t>
  </si>
  <si>
    <t>PII Vault Protection and Compliance</t>
  </si>
  <si>
    <t>000004123</t>
  </si>
  <si>
    <t>Tableau WDC 3.0 connector</t>
  </si>
  <si>
    <t>000005560</t>
  </si>
  <si>
    <t>ED2501-22-TO-KB-Kintone-JA</t>
  </si>
  <si>
    <t>000005375</t>
    <phoneticPr fontId="5"/>
  </si>
  <si>
    <t>Kintone Enterprise OAuth Connector</t>
    <phoneticPr fontId="5"/>
  </si>
  <si>
    <t>000005688</t>
    <phoneticPr fontId="5"/>
  </si>
  <si>
    <t>000003418</t>
    <phoneticPr fontId="5"/>
  </si>
  <si>
    <t>To</t>
    <phoneticPr fontId="5"/>
  </si>
  <si>
    <t>January 2025 Release Notes v2 - JA</t>
  </si>
  <si>
    <t xml:space="preserve">
January 2025 Release Notes</t>
    <phoneticPr fontId="5"/>
  </si>
  <si>
    <t>ED2501-23-TO-KB-asana-Scheduled Reports Overview-JA</t>
    <phoneticPr fontId="5"/>
  </si>
  <si>
    <t>ED2501-23-TO-KB-asana-Magic ETL on Snowflake (Beta)-JA</t>
    <phoneticPr fontId="5"/>
  </si>
  <si>
    <t>ED2501-23-TO-KB-asana-Migrate from Federated to Cloud Amplifier-JA</t>
    <phoneticPr fontId="5"/>
  </si>
  <si>
    <t>Migrate from Federated to Cloud Amplifier</t>
    <phoneticPr fontId="5"/>
  </si>
  <si>
    <t>ED2501-23-TO-KB-asana-Pivot Table-JA</t>
  </si>
  <si>
    <t>ED2501-28-TO-KB-Support-Microsoft Azure Storage Data Lake Gen2 Connector-JA</t>
    <phoneticPr fontId="5"/>
  </si>
  <si>
    <t>000003288</t>
    <phoneticPr fontId="5"/>
  </si>
  <si>
    <t>Requested by Fujii</t>
    <phoneticPr fontId="5"/>
  </si>
  <si>
    <t>ED2501-28-TO-KB-asana-January-JA Batch-1</t>
    <phoneticPr fontId="5"/>
  </si>
  <si>
    <t>Allow Domo IP Addresses for Network Connections</t>
  </si>
  <si>
    <t>ED2501-28-TO-KB-asana-January-JA Batch-1</t>
  </si>
  <si>
    <t>000003146</t>
    <phoneticPr fontId="5"/>
  </si>
  <si>
    <t>Code Engine</t>
    <phoneticPr fontId="5"/>
  </si>
  <si>
    <t>Geocoder | User Guide</t>
    <phoneticPr fontId="5"/>
  </si>
  <si>
    <t>Waited for EN Publishing. To be relocalized: ED2510-23-TO-KB-October-JA Batch-6</t>
    <phoneticPr fontId="5"/>
  </si>
  <si>
    <t>ED2501-28-TO-KB-January-JA Batch-7</t>
  </si>
  <si>
    <t>Manage AI Models and Projects</t>
    <phoneticPr fontId="5"/>
  </si>
  <si>
    <t>Viewing the Impact of Changes to DataSets</t>
  </si>
  <si>
    <t>000004902</t>
    <phoneticPr fontId="5"/>
  </si>
  <si>
    <t>Manage Connector/Adapter Accounts</t>
    <phoneticPr fontId="5"/>
  </si>
  <si>
    <t>ED2501-28-TO-KB-January-JA Batch-8</t>
  </si>
  <si>
    <t>000003989</t>
    <phoneticPr fontId="5"/>
  </si>
  <si>
    <t>Databricks using Personal Access Token Authentication Connector</t>
  </si>
  <si>
    <t>000003837</t>
    <phoneticPr fontId="5"/>
  </si>
  <si>
    <t xml:space="preserve">
Databricks using Personal Access Token Authentication V2</t>
    <phoneticPr fontId="5"/>
  </si>
  <si>
    <t>000005522</t>
    <phoneticPr fontId="5"/>
  </si>
  <si>
    <t>ED2501-28-TO-KB-January-JA Batch-9</t>
  </si>
  <si>
    <t>Zendesk Support Connector with Upsert</t>
    <phoneticPr fontId="5"/>
  </si>
  <si>
    <t>000003270</t>
    <phoneticPr fontId="5"/>
  </si>
  <si>
    <t>Commands for Moving Data from Redshift to Domo Using the CLI Tool</t>
    <phoneticPr fontId="5"/>
  </si>
  <si>
    <t>000004217</t>
    <phoneticPr fontId="5"/>
  </si>
  <si>
    <t>Amazon Redshift and Cloud Amplifier</t>
    <phoneticPr fontId="5"/>
  </si>
  <si>
    <t>000005312</t>
    <phoneticPr fontId="5"/>
  </si>
  <si>
    <t>ED2501-29-MH-KB-Kintone OAuth Connector-JA Update</t>
  </si>
  <si>
    <t xml:space="preserve">	Kintone OAuth Connector</t>
    <phoneticPr fontId="5"/>
  </si>
  <si>
    <t>Change request from Fujii</t>
    <phoneticPr fontId="5"/>
  </si>
  <si>
    <t>ED2501-29-TO-KB-Projecting the Last Value in Your Chart-JA</t>
  </si>
  <si>
    <t>JA version was edited while the JA artcile was localzied.</t>
    <phoneticPr fontId="5"/>
  </si>
  <si>
    <t>ED2501-29-TO-KB-Oracle Cloud and Cloud Amplifier-JA</t>
  </si>
  <si>
    <t>Oracle Cloud and Cloud Amplifier (Beta)</t>
    <phoneticPr fontId="5"/>
  </si>
  <si>
    <t>000005586</t>
  </si>
  <si>
    <t>ED2501-29-TO-KB-asana-Use Non-aggregated Columns in Aggregated Beast Modes-JA</t>
  </si>
  <si>
    <t>Use Non-aggregated Columns in Aggregated Beast Modes</t>
  </si>
  <si>
    <t>000005559</t>
  </si>
  <si>
    <t>ED2501-29-TO-KB-asana-Snowflake and Cloud Amplifier-JA</t>
  </si>
  <si>
    <t>ED2510-22-TO-KB-asana-Cloud Amplifier-JA，Update Snowflake and CA article、copy architecture info to Snowflake</t>
    <phoneticPr fontId="5"/>
  </si>
  <si>
    <t>ED2501-29-TO-KB-asana-Cloud Amplifier Overview-JA</t>
  </si>
  <si>
    <t>ED2501-29-TO-KB-asana-Magic ETL Tiles Data Science-JA</t>
    <phoneticPr fontId="5"/>
  </si>
  <si>
    <t>ED2501-30-TO-KB-asana-Table Charts-JA</t>
  </si>
  <si>
    <t>Requested by Ono</t>
    <phoneticPr fontId="5"/>
  </si>
  <si>
    <t>FY26Q1-02</t>
  </si>
  <si>
    <t>ED2602-21-TO-KB-- Cloud Amplifier Overview --JA</t>
    <phoneticPr fontId="5"/>
  </si>
  <si>
    <t>Cloud Amplifierの概要の修正依頼 by Ono</t>
    <phoneticPr fontId="5"/>
  </si>
  <si>
    <t>ED2602-21-TO-KB-Connectors-JA Batch-1</t>
  </si>
  <si>
    <t>Azure Synapse Partition Connector</t>
  </si>
  <si>
    <t>000005619</t>
  </si>
  <si>
    <t>000005603</t>
  </si>
  <si>
    <t>Google Ads BigQuery Connector</t>
  </si>
  <si>
    <t>000005600</t>
  </si>
  <si>
    <t>Instagram Business Partition Connector</t>
  </si>
  <si>
    <t>000005592</t>
  </si>
  <si>
    <t>000003837</t>
  </si>
  <si>
    <t>ED2602-21-TO-KB-Connectors-JA Batch-2</t>
  </si>
  <si>
    <t>Zenefits Connector</t>
  </si>
  <si>
    <t>000003634</t>
  </si>
  <si>
    <t>Hubspot Engagement Connector</t>
  </si>
  <si>
    <t>000003221</t>
  </si>
  <si>
    <t>Eloqua Writeback Connector</t>
  </si>
  <si>
    <t>000004049</t>
  </si>
  <si>
    <t>Oracle Sales Cloud Connector</t>
  </si>
  <si>
    <t>000003225</t>
  </si>
  <si>
    <t>Google BigQuery High Bandwidth OAuth Connector</t>
  </si>
  <si>
    <t>000003226</t>
    <phoneticPr fontId="5"/>
  </si>
  <si>
    <t>000003853</t>
    <phoneticPr fontId="5"/>
  </si>
  <si>
    <t>Ooyala Advanced Connector</t>
  </si>
  <si>
    <t>000003346</t>
  </si>
  <si>
    <t>ED2602-21-TO-KB-Connectors-JA Batch-3</t>
  </si>
  <si>
    <t>000003886</t>
    <phoneticPr fontId="5"/>
  </si>
  <si>
    <t>000003379</t>
    <phoneticPr fontId="5"/>
  </si>
  <si>
    <t>Cvent REST Connector</t>
    <phoneticPr fontId="5"/>
  </si>
  <si>
    <t>000003212</t>
    <phoneticPr fontId="5"/>
  </si>
  <si>
    <t>Cvent Writeback Connector</t>
    <phoneticPr fontId="5"/>
  </si>
  <si>
    <t>000005244</t>
    <phoneticPr fontId="5"/>
  </si>
  <si>
    <t>ED2510-22-TO-KB-asana-Cloud Amplifier-JA：Copy architecture info to BigQuery article</t>
    <phoneticPr fontId="5"/>
  </si>
  <si>
    <t>asana-support</t>
  </si>
  <si>
    <t>ED2602-21-TO-KB-Support-Publish Content to an Organization-JA</t>
  </si>
  <si>
    <t>000005537</t>
    <phoneticPr fontId="5"/>
  </si>
  <si>
    <t>ED2602-21-TO-KB-asana-February-JA Batch-1</t>
    <phoneticPr fontId="5"/>
  </si>
  <si>
    <t>Third-Party Adapters in Domo AI</t>
    <phoneticPr fontId="5"/>
  </si>
  <si>
    <t>000005733</t>
  </si>
  <si>
    <t>Beta AI adapters article</t>
  </si>
  <si>
    <t>ED2602-21-TO-KB-asana-February-JA Batch-1</t>
  </si>
  <si>
    <t>Use Buzz</t>
    <phoneticPr fontId="5"/>
  </si>
  <si>
    <t>000004312</t>
    <phoneticPr fontId="5"/>
  </si>
  <si>
    <t>ED2602-21-TO-KB-asana-February-JA Batch-2</t>
  </si>
  <si>
    <t>Build Domo Apps with the Pro-code Editor</t>
    <phoneticPr fontId="5"/>
  </si>
  <si>
    <t>Release</t>
  </si>
  <si>
    <t>ED2501-30-TO-KB-asana-January-JA Batch-3</t>
    <phoneticPr fontId="5"/>
  </si>
  <si>
    <t>ED2501-30-TO-KB-asana-January-JA Batch-3</t>
  </si>
  <si>
    <t>Analyzer Layout</t>
    <phoneticPr fontId="5"/>
  </si>
  <si>
    <t>000004646</t>
    <phoneticPr fontId="5"/>
  </si>
  <si>
    <t>Create a Workflow</t>
    <phoneticPr fontId="5"/>
  </si>
  <si>
    <t>ED2501-30-TO-KB-asana-January-JA Batch-4</t>
  </si>
  <si>
    <t>000005675</t>
  </si>
  <si>
    <t>Create a Magic ETL DataFlow</t>
    <phoneticPr fontId="5"/>
  </si>
  <si>
    <t>Waiting for EN publishing</t>
  </si>
  <si>
    <t>000003006</t>
    <phoneticPr fontId="5"/>
  </si>
  <si>
    <t>ED2602-04-TO-KB-Release-Amazon Athena and Cloud Amplifier (Beta)-JA</t>
  </si>
  <si>
    <t>000005744</t>
  </si>
  <si>
    <t>ED2501-30-TO-KB-asana-January-JA Batch-5</t>
  </si>
  <si>
    <t>Connector Permissioning in Domo</t>
  </si>
  <si>
    <t>000004891</t>
  </si>
  <si>
    <t>PostgreSQL and Cloud Amplifier (Beta)</t>
  </si>
  <si>
    <t>000005756</t>
  </si>
  <si>
    <t>ED2501-30-TO-KB-asana-January-JA Batch-2</t>
  </si>
  <si>
    <t>Create an Approval Workflow (with template)</t>
    <phoneticPr fontId="5"/>
  </si>
  <si>
    <t>000005341</t>
    <phoneticPr fontId="5"/>
  </si>
  <si>
    <t>Create an Approval Workflow</t>
    <phoneticPr fontId="5"/>
  </si>
  <si>
    <t>000005393</t>
    <phoneticPr fontId="5"/>
  </si>
  <si>
    <t>Workflow Start Form Brick</t>
    <phoneticPr fontId="5"/>
  </si>
  <si>
    <t>000005372</t>
    <phoneticPr fontId="5"/>
  </si>
  <si>
    <t>ED2501-30-TO-KB-asana-2024 Release 6 November-JA</t>
    <phoneticPr fontId="5"/>
  </si>
  <si>
    <t>2024 Release 6 | November</t>
  </si>
  <si>
    <t>000005784</t>
    <phoneticPr fontId="5"/>
  </si>
  <si>
    <t>ED2501-30-TO-KB-asana-Sandbox-JA</t>
  </si>
  <si>
    <t>Sandbox | Overview</t>
    <phoneticPr fontId="5"/>
  </si>
  <si>
    <t>000005319</t>
  </si>
  <si>
    <t>000004974</t>
  </si>
  <si>
    <t xml:space="preserve">Sandbox unsupported </t>
  </si>
  <si>
    <t>ED2602-04-TO-KB-Support-Microsoft Azure Data Lake Store Connector - Deprecated-JA</t>
  </si>
  <si>
    <t>000003928</t>
    <phoneticPr fontId="5"/>
  </si>
  <si>
    <t>ED2602-04-TO-App-January 2025 Release Update-JA</t>
  </si>
  <si>
    <t>ED2602-27-TO-KB-February articles-JA Batch-1</t>
  </si>
  <si>
    <t>000002998</t>
    <phoneticPr fontId="5"/>
  </si>
  <si>
    <t>Use AI Chat</t>
  </si>
  <si>
    <t>000005539</t>
  </si>
  <si>
    <t>Create a Model in Jupyter Workspaces</t>
    <phoneticPr fontId="5"/>
  </si>
  <si>
    <t>ED2602-27-TO-KB-February articles-JA Batch-2</t>
  </si>
  <si>
    <t>Facebook Ads Advanced Multi Accounts Connector</t>
    <phoneticPr fontId="5"/>
  </si>
  <si>
    <t>000005710</t>
    <phoneticPr fontId="5"/>
  </si>
  <si>
    <t>Adobe Customer Journey Analytics Connector</t>
  </si>
  <si>
    <t>Waited for JA publishing</t>
  </si>
  <si>
    <t>Data Center Layout</t>
    <phoneticPr fontId="5"/>
  </si>
  <si>
    <t>000004056</t>
  </si>
  <si>
    <t>ED2602-27-TO-KB-February articles-JA Batch-2</t>
    <phoneticPr fontId="5"/>
  </si>
  <si>
    <t>000005172</t>
  </si>
  <si>
    <t>ED2602-27-TO-KB-February articles-JA Batch-3</t>
    <phoneticPr fontId="5"/>
  </si>
  <si>
    <t>Embed Content Outside of Domo</t>
    <phoneticPr fontId="5"/>
  </si>
  <si>
    <t>https://app.asana.com/0/inbox/1207377655414706</t>
    <phoneticPr fontId="5"/>
  </si>
  <si>
    <t>Embed Content Outside of Domo - 3rd Party Analytics</t>
    <phoneticPr fontId="5"/>
  </si>
  <si>
    <t>000005755</t>
  </si>
  <si>
    <t>Variables | Overview</t>
  </si>
  <si>
    <t>Manage Your Federated Data Connection</t>
    <phoneticPr fontId="5"/>
  </si>
  <si>
    <t>NetSuite App TBA Connector</t>
    <phoneticPr fontId="5"/>
  </si>
  <si>
    <t>000003569</t>
  </si>
  <si>
    <t>Form Builder App</t>
    <phoneticPr fontId="5"/>
  </si>
  <si>
    <t>000004981</t>
    <phoneticPr fontId="5"/>
  </si>
  <si>
    <t>FY25Q4-02</t>
  </si>
  <si>
    <t>ED2602-27-TO-KB-February articles-JA Batch-4</t>
    <phoneticPr fontId="5"/>
  </si>
  <si>
    <t>2024 Release 5 | September</t>
    <phoneticPr fontId="5"/>
  </si>
  <si>
    <t>000005698</t>
    <phoneticPr fontId="5"/>
  </si>
  <si>
    <t>Waited for EN publishing</t>
    <phoneticPr fontId="5"/>
  </si>
  <si>
    <t>000004973</t>
  </si>
  <si>
    <t>FY26Q1-03</t>
  </si>
  <si>
    <t>ED2603-05-TO-KB-asana-Publish Content to a Subscriber Instance-JA</t>
  </si>
  <si>
    <t>ED2603-03-TO-KB-- Cloud Amplifier Overview --JA</t>
  </si>
  <si>
    <t>Update Cloud Amplifier Overview. Waited for EN draft</t>
    <phoneticPr fontId="5"/>
  </si>
  <si>
    <t>ED2603-04-TO-KB-March articles-JA Batch-1</t>
  </si>
  <si>
    <t>Activity Log</t>
  </si>
  <si>
    <t>asana:Activity Log updates</t>
    <phoneticPr fontId="5"/>
  </si>
  <si>
    <t>Add a Poll Card to Domo (Deprecated)</t>
    <phoneticPr fontId="5"/>
  </si>
  <si>
    <t>000004116</t>
    <phoneticPr fontId="5"/>
  </si>
  <si>
    <t>Adding a Microsoft Sharepoint Online Rest OAuth Config</t>
  </si>
  <si>
    <t>Adobe Analytics Advanced Legacy Connector</t>
  </si>
  <si>
    <t>000003548</t>
  </si>
  <si>
    <t>Amazon S3 AssumeRole Writeback Connector</t>
    <phoneticPr fontId="5"/>
  </si>
  <si>
    <t>000004015</t>
  </si>
  <si>
    <t>ED2603-04-TO-KB-March articles-JA Batch-2</t>
  </si>
  <si>
    <t>000005515</t>
    <phoneticPr fontId="5"/>
  </si>
  <si>
    <t>Amazon S3 Advanced Unload Connector</t>
  </si>
  <si>
    <t>000003197</t>
    <phoneticPr fontId="5"/>
  </si>
  <si>
    <t>000004042</t>
  </si>
  <si>
    <t>App Studio overview</t>
  </si>
  <si>
    <t>000004734</t>
  </si>
  <si>
    <t>ED2603-04-TO-KB-March articles-JA Batch-3</t>
  </si>
  <si>
    <t>000003794</t>
  </si>
  <si>
    <t>Brand Kit - Remove Email Footer</t>
  </si>
  <si>
    <t>BrandIndex Connector</t>
    <phoneticPr fontId="5"/>
  </si>
  <si>
    <t>000003505</t>
  </si>
  <si>
    <t>Campaigner Connector</t>
    <phoneticPr fontId="5"/>
  </si>
  <si>
    <t>000005766</t>
  </si>
  <si>
    <t>ED2603-04-TO-KB-March articles-JA Batch-4</t>
  </si>
  <si>
    <t>Waited for : ED2510-23-TO-KB-October-JA Batch-9</t>
    <phoneticPr fontId="5"/>
  </si>
  <si>
    <t>000005173</t>
  </si>
  <si>
    <t>Connect And Sell Connector</t>
  </si>
  <si>
    <t>000005349</t>
  </si>
  <si>
    <t>Connecting to ODBC Data in Workbench 4</t>
  </si>
  <si>
    <t>000004777</t>
  </si>
  <si>
    <t>000004071</t>
  </si>
  <si>
    <t>ED2603-04-TO-KB-March articles-JA Batch-5</t>
  </si>
  <si>
    <t>000003831</t>
  </si>
  <si>
    <t>Cvent REST Writeback Connector</t>
  </si>
  <si>
    <t>000005781</t>
  </si>
  <si>
    <t>DANS DBF Connetor</t>
  </si>
  <si>
    <t>000005768</t>
  </si>
  <si>
    <t>000005289</t>
  </si>
  <si>
    <t>Domo Add-ins for Microsoft Office 365 | Manual Installation Guide</t>
  </si>
  <si>
    <t>ED2603-06-TO-KB-asana-Group Ownership of Accounts (Beta)-JA</t>
    <phoneticPr fontId="5"/>
  </si>
  <si>
    <t>000004889</t>
  </si>
  <si>
    <t>Update Group Ownership of accounts</t>
  </si>
  <si>
    <t>ED2603-05-TO-KB-asana-Jupyter Notebook Executions via Workflows -JA</t>
  </si>
  <si>
    <t>Waited for EN Publishing,,,Update Jupyter User Guide</t>
    <phoneticPr fontId="5"/>
  </si>
  <si>
    <t>Jupyter Workspaces | User Guide</t>
    <phoneticPr fontId="5"/>
  </si>
  <si>
    <t>ED2603-05-TO-KB-asana-March-JA Batch-1</t>
  </si>
  <si>
    <t>Using the (Legacy) Domo PowerPoint Plugin</t>
  </si>
  <si>
    <t>PUBLISH Variable Integration in PPT - MS Add-ins, Plugins not actively developed</t>
    <phoneticPr fontId="5"/>
  </si>
  <si>
    <t>Domo Add-ins for Microsoft Office 365 | Manual Installation Guide for Enterprise</t>
  </si>
  <si>
    <t>PUBLISH Variable Integration in PPT - MS Add-ins</t>
    <phoneticPr fontId="5"/>
  </si>
  <si>
    <t>ED2603-05-TO-KB-asana-March-JA Batch-2</t>
  </si>
  <si>
    <t>Manage DataSet Views</t>
  </si>
  <si>
    <t>000004568</t>
  </si>
  <si>
    <t>DataSet Views FAQ</t>
  </si>
  <si>
    <t>Observability Metrics</t>
  </si>
  <si>
    <t>000003025</t>
  </si>
  <si>
    <t>Run a Job - Activity Log</t>
  </si>
  <si>
    <t>ED2603-05-TO-KB-asana-March-JA Batch-3</t>
  </si>
  <si>
    <t>DataSet Update Methods in Magic ETL</t>
  </si>
  <si>
    <t>000005541</t>
  </si>
  <si>
    <t>Update partition limit</t>
  </si>
  <si>
    <t>Duplicating Cards ("Save As")</t>
    <phoneticPr fontId="5"/>
  </si>
  <si>
    <t>000004107</t>
    <phoneticPr fontId="5"/>
  </si>
  <si>
    <t>Correct Duplicating Cards (Save As)</t>
    <phoneticPr fontId="5"/>
  </si>
  <si>
    <t>Workbench Enterprise 2.0 | Implementation Guide</t>
  </si>
  <si>
    <t>Update Workbench Enterprise article</t>
    <phoneticPr fontId="5"/>
  </si>
  <si>
    <t>ED2603-11-TO-KB-asana-March-JA Batch-4</t>
  </si>
  <si>
    <t>Personalized Data Permissions (PDP)</t>
    <phoneticPr fontId="5"/>
  </si>
  <si>
    <t xml:space="preserve">Update PDP </t>
    <phoneticPr fontId="5"/>
  </si>
  <si>
    <t>ED2603-11-TO-KB-asana-March-JA Batch-4</t>
    <phoneticPr fontId="5"/>
  </si>
  <si>
    <t>Using the (Legacy) Domo Word Plugin</t>
    <phoneticPr fontId="5"/>
  </si>
  <si>
    <t>000004256</t>
  </si>
  <si>
    <t>ED2603-11-TO-KB-asana-System Roles Reference-JA</t>
    <phoneticPr fontId="5"/>
  </si>
  <si>
    <t>System Roles | Reference</t>
  </si>
  <si>
    <t>000004058</t>
  </si>
  <si>
    <t>ED2603-11-TO-KB-asana-March-JA Batch-5</t>
    <phoneticPr fontId="5"/>
  </si>
  <si>
    <t>Unsupported items for Inline Editing</t>
    <phoneticPr fontId="5"/>
  </si>
  <si>
    <t>ED2603-11-TO-KB-asana-March-JA Batch-5</t>
  </si>
  <si>
    <t>Scheduler | Implementation Guide</t>
    <phoneticPr fontId="5"/>
  </si>
  <si>
    <t>000004124</t>
    <phoneticPr fontId="5"/>
  </si>
  <si>
    <t>Receive Domo System Messages</t>
  </si>
  <si>
    <t>000005510</t>
  </si>
  <si>
    <t>Domopalooza 2025 Release Notes - JA</t>
  </si>
  <si>
    <t>Domopalooza 2025 Release Notes</t>
    <phoneticPr fontId="5"/>
  </si>
  <si>
    <t>000005789</t>
    <phoneticPr fontId="5"/>
  </si>
  <si>
    <t>ED2603-19-TO-KB-Publish Content to a Subscriber Instance-JA</t>
    <phoneticPr fontId="5"/>
  </si>
  <si>
    <t>ED2603-19-MH--System Roles Reference-JA Update</t>
    <phoneticPr fontId="5"/>
  </si>
  <si>
    <t>ED2603-19-TO-KB-Support-Microsoft SharePoint Online REST Connector-JA</t>
  </si>
  <si>
    <t>ED2603-19-TO-KB-March-JA Update</t>
  </si>
  <si>
    <t>Magic ETL Tiles: AI Services</t>
    <phoneticPr fontId="5"/>
  </si>
  <si>
    <t>ED2603-24-TO-KB-Release- March 2025 release-JA New</t>
  </si>
  <si>
    <t>SQL Expressions in Magic ETL</t>
  </si>
  <si>
    <t>000005809</t>
    <phoneticPr fontId="5"/>
  </si>
  <si>
    <t>Relocate and Rename Tables Using Cloud Amplifier</t>
  </si>
  <si>
    <t>000005811</t>
    <phoneticPr fontId="5"/>
  </si>
  <si>
    <t>Workflows | Reference</t>
  </si>
  <si>
    <t>000005797</t>
    <phoneticPr fontId="5"/>
  </si>
  <si>
    <t>ED2603-24-TO-KB-Release- March 2025 release-JA Update Batch-1</t>
  </si>
  <si>
    <t>Explore Data with Table Elements</t>
  </si>
  <si>
    <t>000005681</t>
    <phoneticPr fontId="5"/>
  </si>
  <si>
    <t>ED2603-24-TO-KB-Release- March 2025 release-JA Update Batch-2</t>
  </si>
  <si>
    <t>Magic ETL: Utility Tile</t>
    <phoneticPr fontId="5"/>
  </si>
  <si>
    <t>000003001</t>
    <phoneticPr fontId="5"/>
  </si>
  <si>
    <t>Jupyter Workspaces | User Guides</t>
  </si>
  <si>
    <t>000004975</t>
    <phoneticPr fontId="5"/>
  </si>
  <si>
    <t>ED2603-24-TO-KB-Release- March 2025 release-JA Update Batch-3</t>
  </si>
  <si>
    <t>Workflows | Overview</t>
  </si>
  <si>
    <t>ED2603-24-TO-KB-Release- March 2025 release-JA Update Batch-4</t>
  </si>
  <si>
    <t>ED2603-25-TO-KB-March - Republished-JA</t>
  </si>
  <si>
    <t>Box Connector</t>
  </si>
  <si>
    <t>000003297</t>
  </si>
  <si>
    <t>000005149</t>
  </si>
  <si>
    <t>ED2603-25-TO-KB-March - Republished-JA Batch-2</t>
  </si>
  <si>
    <t>Dremio and Cloud Amplifier</t>
  </si>
  <si>
    <t>000005139</t>
  </si>
  <si>
    <t>Authorized Domains - IK</t>
  </si>
  <si>
    <t>Embed Content Outside of Domo - 3rd Party Analytics</t>
  </si>
  <si>
    <t>Enable SSO with Entra ID Directory</t>
  </si>
  <si>
    <t>000003051</t>
  </si>
  <si>
    <t>Enterprise OAuth Process</t>
  </si>
  <si>
    <t>000005476</t>
  </si>
  <si>
    <t>To be relocalized after: ED2501-30-TO-KB-asana-Sandbox-JA</t>
    <phoneticPr fontId="5"/>
  </si>
  <si>
    <t>Magic ETL on Databricks (Beta)</t>
    <phoneticPr fontId="5"/>
  </si>
  <si>
    <t>EN draft now: Article was archived</t>
    <phoneticPr fontId="5"/>
  </si>
  <si>
    <t xml:space="preserve">IBM Watson and Cloud Amplifier </t>
  </si>
  <si>
    <t>000005585</t>
    <phoneticPr fontId="5"/>
  </si>
  <si>
    <t>Amazon Web Service (AWS) EC2 Monitoring Connector</t>
  </si>
  <si>
    <t>000005763</t>
  </si>
  <si>
    <t>000005783</t>
  </si>
  <si>
    <t>000005538</t>
    <phoneticPr fontId="5"/>
  </si>
  <si>
    <t>Get Started with Dashboards</t>
  </si>
  <si>
    <t>AI Model Inference Tile</t>
    <phoneticPr fontId="5"/>
  </si>
  <si>
    <t>000005485</t>
    <phoneticPr fontId="5"/>
  </si>
  <si>
    <t>Alerts Center Overview</t>
    <phoneticPr fontId="5"/>
  </si>
  <si>
    <t>Create an Approval Workflow (with template)</t>
  </si>
  <si>
    <t xml:space="preserve">McKenna is working on editing this, so we can’t publish it yet </t>
    <phoneticPr fontId="5"/>
  </si>
  <si>
    <t>ED2510-22-TO-KB-asana-Cloud Amplifier-JA・Copy architecture to Dremio article</t>
    <phoneticPr fontId="5"/>
  </si>
  <si>
    <t>Tobe relocalized:   Asana: Join Data Configuration, Tobe relocalized</t>
    <phoneticPr fontId="5"/>
  </si>
  <si>
    <t>ED2602-27-TO-KB-February articles-JA Batch-1</t>
    <phoneticPr fontId="5"/>
  </si>
  <si>
    <t>000004707</t>
  </si>
  <si>
    <t>000004508</t>
  </si>
  <si>
    <t>Permitted File Types for Attachments</t>
  </si>
  <si>
    <t>000004110</t>
  </si>
  <si>
    <t>000004732</t>
  </si>
  <si>
    <t>Domo Dimensions Connector</t>
  </si>
  <si>
    <t>000003324</t>
  </si>
  <si>
    <t>Glossary</t>
  </si>
  <si>
    <t>000004373</t>
  </si>
  <si>
    <t>2020 Release 2 | July</t>
  </si>
  <si>
    <t>000004420</t>
  </si>
  <si>
    <t>Flex Map v1 | Implementation Guide</t>
  </si>
  <si>
    <t>000004154</t>
  </si>
  <si>
    <t>Add a Drill Path to Your Chart</t>
  </si>
  <si>
    <t>IBM Informix Partition Connector</t>
    <phoneticPr fontId="5"/>
  </si>
  <si>
    <t>Criteria</t>
    <phoneticPr fontId="5"/>
  </si>
  <si>
    <t>Snowflake、BigQuery、Dremio、Databricks、Redshift</t>
    <phoneticPr fontId="5"/>
  </si>
  <si>
    <t xml:space="preserve">Magic ETL Tiles: </t>
    <phoneticPr fontId="5"/>
  </si>
  <si>
    <t>多数アップデートあり</t>
    <rPh sb="0" eb="2">
      <t>タスウ</t>
    </rPh>
    <phoneticPr fontId="5"/>
  </si>
  <si>
    <t>GetSatisfaction Connector</t>
  </si>
  <si>
    <t>000003499</t>
  </si>
  <si>
    <t>000003775</t>
  </si>
  <si>
    <t>Google Ads Multi Accounts Connector</t>
  </si>
  <si>
    <t>000005795</t>
  </si>
  <si>
    <t>000005235</t>
  </si>
  <si>
    <t>Google BigQuery Writeback Connector</t>
  </si>
  <si>
    <t>000004041</t>
  </si>
  <si>
    <t>Google Cloud Storage Writeback Connector</t>
  </si>
  <si>
    <t>000004039</t>
  </si>
  <si>
    <t>Google Drive Enterprise OAuth Connector</t>
  </si>
  <si>
    <t>000005794</t>
  </si>
  <si>
    <t>Google Drive Metadata Connector</t>
  </si>
  <si>
    <t>000005770</t>
  </si>
  <si>
    <t>Google Sheets Connector</t>
  </si>
  <si>
    <t>000003933</t>
  </si>
  <si>
    <t>Google Sheets Service Connector</t>
  </si>
  <si>
    <t>000005468</t>
  </si>
  <si>
    <t>000005804</t>
  </si>
  <si>
    <t>Hubspot Writeback Connector</t>
  </si>
  <si>
    <t>Hubspot Writebackコネクター</t>
  </si>
  <si>
    <t>000003996</t>
  </si>
  <si>
    <t>In Range Gauge</t>
  </si>
  <si>
    <t>000005786</t>
  </si>
  <si>
    <t>JIRA Cloud Write Back Connector</t>
  </si>
  <si>
    <t>000005245</t>
  </si>
  <si>
    <t>KarmaCRM Connector</t>
  </si>
  <si>
    <t>000003683</t>
  </si>
  <si>
    <t>Lithium Connector</t>
  </si>
  <si>
    <t>000005803</t>
  </si>
  <si>
    <t>Litmos Connector</t>
  </si>
  <si>
    <t>Magic ETL on Snowflake (Beta)</t>
  </si>
  <si>
    <t>Manage AI Models and Projects</t>
  </si>
  <si>
    <t>Microsoft SharePoint Online Rest Enterprise OAuth Connector</t>
  </si>
  <si>
    <t>000005535</t>
  </si>
  <si>
    <t>000005645</t>
  </si>
  <si>
    <t>MongoDB Advanced Connector</t>
  </si>
  <si>
    <t>000005782</t>
  </si>
  <si>
    <t>000003877</t>
  </si>
  <si>
    <t>MongoDB Writebackコネクター</t>
  </si>
  <si>
    <t>000004031</t>
  </si>
  <si>
    <t>Personalized Data Permissions (PDP)</t>
  </si>
  <si>
    <t>Personalized Data Permission（PDP）</t>
  </si>
  <si>
    <t>Process Instance Deletion Requests</t>
  </si>
  <si>
    <t>000005780</t>
  </si>
  <si>
    <t>RealPage Connector</t>
  </si>
  <si>
    <t>Sage Intacct Connector</t>
  </si>
  <si>
    <t>Sage Intacct Enterprise Connector</t>
  </si>
  <si>
    <t>000005529</t>
  </si>
  <si>
    <t>SFTP Connector</t>
  </si>
  <si>
    <t>000005408</t>
  </si>
  <si>
    <t>SharePoint Online Rest Certificate Auth Connector</t>
  </si>
  <si>
    <t>000005346</t>
  </si>
  <si>
    <t>000003665</t>
  </si>
  <si>
    <t>000003885</t>
  </si>
  <si>
    <t>Snowflake Writebackコネクター</t>
  </si>
  <si>
    <t>000004017</t>
  </si>
  <si>
    <t>Specify Default Overview Content for Users</t>
  </si>
  <si>
    <t>000003054</t>
  </si>
  <si>
    <t>表グラフ</t>
  </si>
  <si>
    <t>Test Article</t>
  </si>
  <si>
    <t>000005119</t>
  </si>
  <si>
    <t>The Trade Deskコネクター</t>
  </si>
  <si>
    <t>000003698</t>
  </si>
  <si>
    <t>Third-Party Adapters in Domo AI</t>
  </si>
  <si>
    <t>Time Zone Formatting</t>
  </si>
  <si>
    <t>タイムゾーンのフォーマット</t>
  </si>
  <si>
    <t>Tune Advertiser Connector</t>
  </si>
  <si>
    <t>000003236</t>
  </si>
  <si>
    <t>Understand and Configure Domo Single Sign-On Using SAML</t>
  </si>
  <si>
    <t>SAMLを使用したDomoのシングルサインオンの説明と設定</t>
  </si>
  <si>
    <t>000003044</t>
  </si>
  <si>
    <t>AIチャットを利用する</t>
  </si>
  <si>
    <t>Use Buzz</t>
  </si>
  <si>
    <t>Buzzでチャットする</t>
  </si>
  <si>
    <t>USGS Advanced Connector</t>
  </si>
  <si>
    <t>000003364</t>
  </si>
  <si>
    <t>Verizon ThingSpace IoT Connector</t>
  </si>
  <si>
    <t>000005762</t>
  </si>
  <si>
    <t>Workbench Enterprise 2.0 | 実装ガイド</t>
  </si>
  <si>
    <t>000005303</t>
  </si>
  <si>
    <t>Workbench Partition Support</t>
  </si>
  <si>
    <t>Workbench 5.1パーティションサポート</t>
  </si>
  <si>
    <t>000004879</t>
  </si>
  <si>
    <t>000005797</t>
  </si>
  <si>
    <t>WuFoo Connector</t>
  </si>
  <si>
    <t>000005764</t>
  </si>
  <si>
    <t>Zalando Connector</t>
  </si>
  <si>
    <t>000005275</t>
  </si>
  <si>
    <t>Zendesk Support Connector with Upsert</t>
  </si>
  <si>
    <t>000003270</t>
  </si>
  <si>
    <t>| Domo Bricks | Overview</t>
  </si>
  <si>
    <t>| Domo Bricks | 概要</t>
  </si>
  <si>
    <t>| Workflows | Overview</t>
  </si>
  <si>
    <t>| ワークフロー | 概要</t>
  </si>
  <si>
    <t>000005108</t>
  </si>
  <si>
    <t>コネクター（使用頻度）</t>
    <rPh sb="6" eb="10">
      <t>シヨウヒンド</t>
    </rPh>
    <phoneticPr fontId="5"/>
  </si>
  <si>
    <t>Connector Hub - Domo</t>
  </si>
  <si>
    <t>FY26</t>
  </si>
  <si>
    <t>SFDC - KB report</t>
    <phoneticPr fontId="5"/>
  </si>
  <si>
    <t xml:space="preserve"> Localized Articles</t>
    <phoneticPr fontId="5"/>
  </si>
  <si>
    <t>Total # of EN articles</t>
    <phoneticPr fontId="5"/>
  </si>
  <si>
    <t>Unlocalized articles</t>
    <phoneticPr fontId="5"/>
  </si>
  <si>
    <t>JP articles</t>
    <phoneticPr fontId="5"/>
  </si>
  <si>
    <t xml:space="preserve">Total </t>
    <phoneticPr fontId="5"/>
  </si>
  <si>
    <t>FY26Q1-02</t>
    <phoneticPr fontId="5"/>
  </si>
  <si>
    <t>C:\____Projects___Education\___KB-Project management\FY23-Status</t>
  </si>
  <si>
    <t>C:\__Data\_____Finance\Toin\Invoicing summary</t>
    <phoneticPr fontId="5"/>
  </si>
  <si>
    <t>FY26Q1-04</t>
  </si>
  <si>
    <t>C:\__Data\_____Finance\Toin\Invoice\FY24</t>
    <phoneticPr fontId="5"/>
  </si>
  <si>
    <t>FY26Q2-05</t>
    <phoneticPr fontId="5"/>
  </si>
  <si>
    <t>C:\__Data\_____Finance\Toin\Quote</t>
  </si>
  <si>
    <t>Quote-Toin.xlsx</t>
    <phoneticPr fontId="5"/>
  </si>
  <si>
    <t>FY26Q2-06</t>
  </si>
  <si>
    <t>C:\Users\Masaaki.Hori\OneDrive - Domo Inc\_____01_KB Project management\Report to Ranjeet</t>
    <phoneticPr fontId="5"/>
  </si>
  <si>
    <t>Report to Ranjeet</t>
  </si>
  <si>
    <t>FY26Q2-07</t>
  </si>
  <si>
    <t>https://domosoftware-my.sharepoint.com/:f:/g/personal/masaaki_hori_domo_com/EgANZoCc7lZGivOP6gdzXLsBIN4HebVIOo-KyWYiDAlmag?e=hY7pmZ</t>
  </si>
  <si>
    <t>Localization Status</t>
    <phoneticPr fontId="5"/>
  </si>
  <si>
    <t>FY26Q3-08</t>
    <phoneticPr fontId="5"/>
  </si>
  <si>
    <t>C:\_____1_Change_Requests＆Issues\修正リクエスト</t>
    <phoneticPr fontId="5"/>
  </si>
  <si>
    <t>_Change Requests.xlsx</t>
    <phoneticPr fontId="5"/>
  </si>
  <si>
    <t>FY26Q3-09</t>
  </si>
  <si>
    <t>C:\__Data\_____Finance\___FY23\Toin\Invoice</t>
  </si>
  <si>
    <t>DOMO_未請求_221122.xlsx</t>
    <phoneticPr fontId="5"/>
  </si>
  <si>
    <t>FY26Q3-10</t>
  </si>
  <si>
    <t>FY26Q4-11</t>
    <phoneticPr fontId="5"/>
  </si>
  <si>
    <t>FY26Q4-12</t>
  </si>
  <si>
    <t>FY26Q4-01</t>
    <phoneticPr fontId="5"/>
  </si>
  <si>
    <t>FY26 Q1 Total</t>
    <phoneticPr fontId="5"/>
  </si>
  <si>
    <t>ー</t>
    <phoneticPr fontId="5"/>
  </si>
  <si>
    <t>FY26 Q2 Total</t>
  </si>
  <si>
    <t>FY26 Q3 Total</t>
  </si>
  <si>
    <t>FY26 Q4 Total</t>
  </si>
  <si>
    <t>FY26 Total</t>
    <phoneticPr fontId="5"/>
  </si>
  <si>
    <t xml:space="preserve">FY26 Budget </t>
  </si>
  <si>
    <t xml:space="preserve">KB Articles: $102,000.00 </t>
  </si>
  <si>
    <t>FY26 Plan</t>
    <phoneticPr fontId="5"/>
  </si>
  <si>
    <t>Planed</t>
    <phoneticPr fontId="5"/>
  </si>
  <si>
    <t>Note</t>
    <phoneticPr fontId="5"/>
  </si>
  <si>
    <t xml:space="preserve">Release related articles/assets: $15,000.00 </t>
  </si>
  <si>
    <t>FY26-Q1</t>
    <phoneticPr fontId="5"/>
  </si>
  <si>
    <t xml:space="preserve">Learn domo: $30,000.00 </t>
  </si>
  <si>
    <t>FY26-Q2</t>
  </si>
  <si>
    <t>Total: 147,000</t>
    <phoneticPr fontId="5"/>
  </si>
  <si>
    <t>FY26-Q3</t>
  </si>
  <si>
    <t>FY26-Q4</t>
  </si>
  <si>
    <t>KB Budget ($8,000/month)</t>
    <phoneticPr fontId="5"/>
  </si>
  <si>
    <t>Toin</t>
  </si>
  <si>
    <t>Balance</t>
  </si>
  <si>
    <t>FY26Q2-05</t>
  </si>
  <si>
    <t>FY26Q3-08</t>
  </si>
  <si>
    <t>FY26Q4-11</t>
  </si>
  <si>
    <t>FY26Q4-01</t>
  </si>
  <si>
    <t xml:space="preserve">FY26 Total </t>
  </si>
  <si>
    <t>Learn Domo/CS Budget</t>
    <phoneticPr fontId="5"/>
  </si>
  <si>
    <t>FY26 Q1</t>
  </si>
  <si>
    <t>FY26 Q2</t>
  </si>
  <si>
    <t>FY26 Q3</t>
  </si>
  <si>
    <t>FY26 Q4</t>
  </si>
  <si>
    <t>July</t>
    <phoneticPr fontId="5"/>
  </si>
  <si>
    <t>MKTG</t>
    <phoneticPr fontId="5"/>
  </si>
  <si>
    <t>FY25</t>
    <phoneticPr fontId="5"/>
  </si>
  <si>
    <t>FY25Q1-02</t>
    <phoneticPr fontId="5"/>
  </si>
  <si>
    <t>FY25Q2-05</t>
    <phoneticPr fontId="5"/>
  </si>
  <si>
    <t>C:\_____01_KB Project management\Report to Ranjeet</t>
    <phoneticPr fontId="5"/>
  </si>
  <si>
    <t>FY25Q3-08</t>
    <phoneticPr fontId="5"/>
  </si>
  <si>
    <t>FY25Q4-01</t>
    <phoneticPr fontId="5"/>
  </si>
  <si>
    <t>FY25 Q1 Total</t>
  </si>
  <si>
    <t>FY25 Q2 Total</t>
  </si>
  <si>
    <t>FY25 Q3 Total</t>
  </si>
  <si>
    <t>FY25 Q4 Total</t>
  </si>
  <si>
    <t>FY25 Total</t>
  </si>
  <si>
    <t xml:space="preserve">FY25 Budget </t>
    <phoneticPr fontId="5"/>
  </si>
  <si>
    <t>KB: 96000</t>
    <phoneticPr fontId="5"/>
  </si>
  <si>
    <t>FY25 Plan</t>
  </si>
  <si>
    <t>Education asets: 25000</t>
    <phoneticPr fontId="5"/>
  </si>
  <si>
    <t>FY25-Q1</t>
  </si>
  <si>
    <t>FY25-Q2</t>
  </si>
  <si>
    <t>FY25-Q3</t>
  </si>
  <si>
    <t>FY25-Q4</t>
  </si>
  <si>
    <t>FY25</t>
  </si>
  <si>
    <t>Additional request via asana</t>
    <phoneticPr fontId="5"/>
  </si>
  <si>
    <t xml:space="preserve">FY25 Total </t>
  </si>
  <si>
    <t>FY25 Q1</t>
  </si>
  <si>
    <t>FY25 Q2</t>
  </si>
  <si>
    <t>FY25 Q3</t>
  </si>
  <si>
    <t>FY25 Q4</t>
  </si>
  <si>
    <t>C:\__Data\_____Finance\Budget\Budget Balance</t>
    <phoneticPr fontId="5"/>
  </si>
  <si>
    <t>PO 残高</t>
    <rPh sb="3" eb="5">
      <t>ザンダカ</t>
    </rPh>
    <phoneticPr fontId="5"/>
  </si>
  <si>
    <t>PO#</t>
    <phoneticPr fontId="5"/>
  </si>
  <si>
    <t>Opening in Coupa</t>
    <phoneticPr fontId="5"/>
  </si>
  <si>
    <t>Invoiced/To be invoiced</t>
    <phoneticPr fontId="5"/>
  </si>
  <si>
    <t>Valance</t>
    <phoneticPr fontId="5"/>
  </si>
  <si>
    <t>Current Invoicing Summary</t>
    <phoneticPr fontId="5"/>
  </si>
  <si>
    <t>Expected final valance</t>
    <phoneticPr fontId="5"/>
  </si>
  <si>
    <t>19082</t>
  </si>
  <si>
    <t>2,442.44 </t>
  </si>
  <si>
    <t>18799</t>
  </si>
  <si>
    <t>6,334.13 </t>
  </si>
  <si>
    <t>18454</t>
  </si>
  <si>
    <t>312.10 </t>
  </si>
  <si>
    <t>17435</t>
    <phoneticPr fontId="5"/>
  </si>
  <si>
    <t>17773</t>
    <phoneticPr fontId="5"/>
  </si>
  <si>
    <t>_____Finance</t>
  </si>
  <si>
    <t>Budget</t>
    <phoneticPr fontId="5"/>
  </si>
  <si>
    <t>KB management FY23</t>
    <phoneticPr fontId="5"/>
  </si>
  <si>
    <t>C:\____Projects___Education\___KB-Project management\FY23</t>
    <phoneticPr fontId="5"/>
  </si>
  <si>
    <t>Quote</t>
    <phoneticPr fontId="5"/>
  </si>
  <si>
    <t>C:\__Data\_____Finance\___FY23\Toin\Quote</t>
    <phoneticPr fontId="5"/>
  </si>
  <si>
    <t>Report to Ranjeet</t>
    <phoneticPr fontId="5"/>
  </si>
  <si>
    <t>C:\____Projects___Education\___KB-Project management\Report to Ranjeet</t>
    <phoneticPr fontId="5"/>
  </si>
  <si>
    <t>FY_Q(Budget status)</t>
    <phoneticPr fontId="5"/>
  </si>
  <si>
    <t>Busuiness Unit</t>
    <phoneticPr fontId="5"/>
  </si>
  <si>
    <t xml:space="preserve">YY(FY)+MM </t>
    <phoneticPr fontId="5"/>
  </si>
  <si>
    <t>File name</t>
    <phoneticPr fontId="5"/>
  </si>
  <si>
    <t>Language</t>
    <phoneticPr fontId="5"/>
  </si>
  <si>
    <t>Batch</t>
    <phoneticPr fontId="5"/>
  </si>
  <si>
    <t>Project name</t>
  </si>
  <si>
    <t>New/Update</t>
    <phoneticPr fontId="5"/>
  </si>
  <si>
    <t>CS</t>
    <phoneticPr fontId="5"/>
  </si>
  <si>
    <t>Customer Service</t>
    <phoneticPr fontId="5"/>
  </si>
  <si>
    <t>ACSM</t>
    <phoneticPr fontId="5"/>
  </si>
  <si>
    <t>rollout_plan_template.docx</t>
    <phoneticPr fontId="5"/>
  </si>
  <si>
    <t>AL</t>
    <phoneticPr fontId="5"/>
  </si>
  <si>
    <t xml:space="preserve"> Batch-</t>
    <phoneticPr fontId="5"/>
  </si>
  <si>
    <t>Support</t>
    <phoneticPr fontId="5"/>
  </si>
  <si>
    <t>Kicked off</t>
    <phoneticPr fontId="5"/>
  </si>
  <si>
    <t>SC</t>
    <phoneticPr fontId="5"/>
  </si>
  <si>
    <t>indd</t>
    <phoneticPr fontId="5"/>
  </si>
  <si>
    <t>EN</t>
    <phoneticPr fontId="5"/>
  </si>
  <si>
    <t>MO</t>
    <phoneticPr fontId="5"/>
  </si>
  <si>
    <t xml:space="preserve"> Bugfix</t>
    <phoneticPr fontId="5"/>
  </si>
  <si>
    <t>XTM created-ToBe Kickedoff</t>
    <phoneticPr fontId="5"/>
  </si>
  <si>
    <t>PS</t>
    <phoneticPr fontId="5"/>
  </si>
  <si>
    <t>Partner</t>
    <phoneticPr fontId="5"/>
  </si>
  <si>
    <t>WP</t>
    <phoneticPr fontId="5"/>
  </si>
  <si>
    <t xml:space="preserve"> New</t>
    <phoneticPr fontId="5"/>
  </si>
  <si>
    <t>Release</t>
    <phoneticPr fontId="5"/>
  </si>
  <si>
    <t>N/A</t>
    <phoneticPr fontId="5"/>
  </si>
  <si>
    <t>AE</t>
    <phoneticPr fontId="5"/>
  </si>
  <si>
    <t>Education</t>
    <phoneticPr fontId="5"/>
  </si>
  <si>
    <t xml:space="preserve"> Update</t>
    <phoneticPr fontId="5"/>
  </si>
  <si>
    <t>asana-support</t>
    <phoneticPr fontId="5"/>
  </si>
  <si>
    <t>Waited for JA publishing</t>
    <phoneticPr fontId="5"/>
  </si>
  <si>
    <t>MK</t>
    <phoneticPr fontId="5"/>
  </si>
  <si>
    <t>Marketing</t>
    <phoneticPr fontId="5"/>
  </si>
  <si>
    <t>Learn Domo</t>
    <phoneticPr fontId="5"/>
  </si>
  <si>
    <t>Domo</t>
    <phoneticPr fontId="5"/>
  </si>
  <si>
    <t xml:space="preserve"> New Batch-</t>
    <phoneticPr fontId="5"/>
  </si>
  <si>
    <t>Delivered</t>
    <phoneticPr fontId="5"/>
  </si>
  <si>
    <t>Updated after kickoff</t>
    <phoneticPr fontId="5"/>
  </si>
  <si>
    <t>Waiting for EN publishing</t>
    <phoneticPr fontId="5"/>
  </si>
  <si>
    <t xml:space="preserve"> Update Batch-</t>
    <phoneticPr fontId="5"/>
  </si>
  <si>
    <t>Waiting for JA publishing</t>
    <phoneticPr fontId="5"/>
  </si>
  <si>
    <t>SA</t>
    <phoneticPr fontId="5"/>
  </si>
  <si>
    <t>Sales</t>
    <phoneticPr fontId="5"/>
  </si>
  <si>
    <t>KB-Support</t>
    <phoneticPr fontId="5"/>
  </si>
  <si>
    <t>Canceled</t>
    <phoneticPr fontId="5"/>
  </si>
  <si>
    <t xml:space="preserve">Requested by: </t>
    <phoneticPr fontId="5"/>
  </si>
  <si>
    <t>US</t>
    <phoneticPr fontId="5"/>
  </si>
  <si>
    <t>US budgets</t>
    <phoneticPr fontId="5"/>
  </si>
  <si>
    <t>KB-US</t>
    <phoneticPr fontId="5"/>
  </si>
  <si>
    <t>SFDC NEW</t>
    <phoneticPr fontId="5"/>
  </si>
  <si>
    <t>JP</t>
    <phoneticPr fontId="5"/>
  </si>
  <si>
    <t>JP mixed projects</t>
    <phoneticPr fontId="5"/>
  </si>
  <si>
    <t>KB-asana</t>
    <phoneticPr fontId="5"/>
  </si>
  <si>
    <t>No-XTM</t>
    <phoneticPr fontId="5"/>
  </si>
  <si>
    <t>Waiting for EN Publishing</t>
    <phoneticPr fontId="5"/>
  </si>
  <si>
    <t>EN needs update</t>
    <phoneticPr fontId="5"/>
  </si>
  <si>
    <t>SO</t>
    <phoneticPr fontId="5"/>
  </si>
  <si>
    <t>Sales Ops</t>
    <phoneticPr fontId="5"/>
  </si>
  <si>
    <t>KB-Release</t>
    <phoneticPr fontId="5"/>
  </si>
  <si>
    <t>Waiting for old JA Publishing</t>
    <phoneticPr fontId="5"/>
  </si>
  <si>
    <t>Needs testing before publishing</t>
    <phoneticPr fontId="5"/>
  </si>
  <si>
    <t>KB-Request</t>
    <phoneticPr fontId="5"/>
  </si>
  <si>
    <t>Waiting for Approval</t>
    <phoneticPr fontId="5"/>
  </si>
  <si>
    <t>KB-JIRA</t>
    <phoneticPr fontId="5"/>
  </si>
  <si>
    <t>Needs followup</t>
    <phoneticPr fontId="5"/>
  </si>
  <si>
    <t>PressRelease</t>
    <phoneticPr fontId="5"/>
  </si>
  <si>
    <t>Assinged to MH</t>
    <phoneticPr fontId="5"/>
  </si>
  <si>
    <t>Web</t>
    <phoneticPr fontId="5"/>
  </si>
  <si>
    <t xml:space="preserve">EN version Updated </t>
    <phoneticPr fontId="5"/>
  </si>
  <si>
    <t>Kicked off in another project</t>
    <phoneticPr fontId="5"/>
  </si>
  <si>
    <t>App-PLC</t>
    <phoneticPr fontId="5"/>
  </si>
  <si>
    <t>SalesPlays</t>
    <phoneticPr fontId="5"/>
  </si>
  <si>
    <t>XTM Finished</t>
    <phoneticPr fontId="5"/>
  </si>
  <si>
    <t>Seismic</t>
    <phoneticPr fontId="5"/>
  </si>
  <si>
    <t>PPT</t>
    <phoneticPr fontId="5"/>
  </si>
  <si>
    <t>Enablement</t>
    <phoneticPr fontId="5"/>
  </si>
  <si>
    <t>Report</t>
    <phoneticPr fontId="5"/>
  </si>
  <si>
    <t>UI</t>
    <phoneticPr fontId="5"/>
  </si>
  <si>
    <t>FY24</t>
    <phoneticPr fontId="5"/>
  </si>
  <si>
    <t>FY24 Q1-02</t>
    <phoneticPr fontId="5"/>
  </si>
  <si>
    <t>FY24 Q1-03</t>
  </si>
  <si>
    <t>FY24 Q1-04</t>
  </si>
  <si>
    <t>FY24 Q2-05</t>
    <phoneticPr fontId="5"/>
  </si>
  <si>
    <t>FY24 Q2-06</t>
    <phoneticPr fontId="5"/>
  </si>
  <si>
    <t>FY24 Q2-07</t>
    <phoneticPr fontId="5"/>
  </si>
  <si>
    <t>Public/Localization/Budget:</t>
    <phoneticPr fontId="5"/>
  </si>
  <si>
    <t>FY24 Q3-08</t>
    <phoneticPr fontId="5"/>
  </si>
  <si>
    <t>FY24 Q3-09</t>
    <phoneticPr fontId="5"/>
  </si>
  <si>
    <t>FY24 Q3-10</t>
    <phoneticPr fontId="5"/>
  </si>
  <si>
    <t>FY24 Q4-11</t>
    <phoneticPr fontId="5"/>
  </si>
  <si>
    <t>FY24 Q4-12</t>
    <phoneticPr fontId="5"/>
  </si>
  <si>
    <t>FY24 Q4-01</t>
    <phoneticPr fontId="5"/>
  </si>
  <si>
    <t>FY24 Q1 Total</t>
  </si>
  <si>
    <t>FY24 Q2 Total</t>
  </si>
  <si>
    <t>FY24 Q3 Total</t>
  </si>
  <si>
    <t>FY24 Q4 Total</t>
  </si>
  <si>
    <t>FY24 Total</t>
  </si>
  <si>
    <t>FY24 Plan</t>
    <phoneticPr fontId="5"/>
  </si>
  <si>
    <t>FY24-Q1</t>
    <phoneticPr fontId="5"/>
  </si>
  <si>
    <t>FY24-Q2</t>
  </si>
  <si>
    <t>FY24-Q3</t>
    <phoneticPr fontId="5"/>
  </si>
  <si>
    <t>FY24-Q4</t>
    <phoneticPr fontId="5"/>
  </si>
  <si>
    <t>FY24 Q1 - 02</t>
    <phoneticPr fontId="5"/>
  </si>
  <si>
    <t>FY24 Q1 - 03</t>
    <phoneticPr fontId="5"/>
  </si>
  <si>
    <t>FY24 Q1 - 04</t>
  </si>
  <si>
    <t>FY24 Q2 - 05</t>
  </si>
  <si>
    <t>FY24 Q2 - 06</t>
  </si>
  <si>
    <t>FY24 Q2 - 07</t>
  </si>
  <si>
    <t>FY24 Q3 - 08</t>
  </si>
  <si>
    <t>FY24 Q3 - 09</t>
  </si>
  <si>
    <t>FY24 Q3 - 10</t>
  </si>
  <si>
    <t>FY24 Q4 - 11</t>
  </si>
  <si>
    <t>FY24 Q4 - 12</t>
  </si>
  <si>
    <t>FY24 Q4 - 01</t>
  </si>
  <si>
    <t xml:space="preserve">FY24 Total </t>
  </si>
  <si>
    <t>FY24 Q1</t>
    <phoneticPr fontId="5"/>
  </si>
  <si>
    <t>FY24 Q2</t>
  </si>
  <si>
    <t>FY24 Q3</t>
  </si>
  <si>
    <t>FY24 Q4</t>
  </si>
  <si>
    <t>FY24 plan</t>
    <phoneticPr fontId="5"/>
  </si>
  <si>
    <t>FY24 prediction:</t>
    <phoneticPr fontId="5"/>
  </si>
  <si>
    <t>KB Articles</t>
    <phoneticPr fontId="5"/>
  </si>
  <si>
    <t>KB  </t>
  </si>
  <si>
    <t xml:space="preserve">96K (8K/month) </t>
  </si>
  <si>
    <t>Training contents, apps and movies</t>
  </si>
  <si>
    <t>14K</t>
  </si>
  <si>
    <t>Learn domo</t>
    <phoneticPr fontId="5"/>
  </si>
  <si>
    <t>Videos</t>
    <phoneticPr fontId="5"/>
  </si>
  <si>
    <t>Education Exam/</t>
    <phoneticPr fontId="5"/>
  </si>
  <si>
    <t>Learndomo.domo.com</t>
    <phoneticPr fontId="5"/>
  </si>
  <si>
    <t>Training Apps</t>
  </si>
  <si>
    <t>Learn domo total</t>
    <phoneticPr fontId="5"/>
  </si>
  <si>
    <t>Education total</t>
    <phoneticPr fontId="5"/>
  </si>
  <si>
    <t>Total budget plan for FY24</t>
    <phoneticPr fontId="5"/>
  </si>
  <si>
    <t>Actual budget for FY24</t>
    <phoneticPr fontId="5"/>
  </si>
  <si>
    <t>FY23</t>
    <phoneticPr fontId="5"/>
  </si>
  <si>
    <t xml:space="preserve"> Zendesk KB EN &amp; JP - Base report</t>
    <phoneticPr fontId="5"/>
  </si>
  <si>
    <t xml:space="preserve">FY23 Q1 </t>
    <phoneticPr fontId="5"/>
  </si>
  <si>
    <t>FY23 Q2-05</t>
    <phoneticPr fontId="5"/>
  </si>
  <si>
    <t>FY23 Q2-06</t>
  </si>
  <si>
    <t>FY22</t>
    <phoneticPr fontId="5"/>
  </si>
  <si>
    <t>FY23 Q2-07</t>
  </si>
  <si>
    <t>Items</t>
    <phoneticPr fontId="5"/>
  </si>
  <si>
    <t># of articles as of FY22 Q1</t>
    <phoneticPr fontId="5"/>
  </si>
  <si>
    <t>FY23 Q3-08</t>
    <phoneticPr fontId="5"/>
  </si>
  <si>
    <t>Number of EN KB articles in the system</t>
    <phoneticPr fontId="5"/>
  </si>
  <si>
    <t>FY23 Q3-09</t>
    <phoneticPr fontId="5"/>
  </si>
  <si>
    <t>Number of localized articles (since FY20)</t>
    <phoneticPr fontId="5"/>
  </si>
  <si>
    <t>FY23 Q3-10</t>
  </si>
  <si>
    <t>Number of untranslated articles</t>
    <phoneticPr fontId="5"/>
  </si>
  <si>
    <t>FY23 Q4-11</t>
    <phoneticPr fontId="5"/>
  </si>
  <si>
    <t>ー</t>
  </si>
  <si>
    <t>Localized articles in FY22</t>
    <phoneticPr fontId="5"/>
  </si>
  <si>
    <t>FY23 Q4-12</t>
  </si>
  <si>
    <t>Updated EN articles (Since FY20)</t>
    <phoneticPr fontId="5"/>
  </si>
  <si>
    <t>FY23 Q4-01</t>
    <phoneticPr fontId="5"/>
  </si>
  <si>
    <t>Total cost for KB in FY22</t>
    <phoneticPr fontId="5"/>
  </si>
  <si>
    <t>FY23 Q1 Total</t>
    <phoneticPr fontId="5"/>
  </si>
  <si>
    <t>C:\_____01_KB Project management\Report to Ranjeet</t>
  </si>
  <si>
    <t>FY23 Q2 Total</t>
    <phoneticPr fontId="5"/>
  </si>
  <si>
    <t>FY23 Q3 Total</t>
    <phoneticPr fontId="5"/>
  </si>
  <si>
    <t>FY23 Q4 Total</t>
    <phoneticPr fontId="5"/>
  </si>
  <si>
    <t>FY23 Total</t>
    <phoneticPr fontId="5"/>
  </si>
  <si>
    <t>未請求額</t>
  </si>
  <si>
    <t>Invoice額</t>
  </si>
  <si>
    <t>FY23 Plan</t>
    <phoneticPr fontId="5"/>
  </si>
  <si>
    <t xml:space="preserve">Completed/Ongoing </t>
  </si>
  <si>
    <t>Planed</t>
  </si>
  <si>
    <t>11月22日時点未請求額</t>
  </si>
  <si>
    <t>Q1</t>
  </si>
  <si>
    <t>11月30日時点未請求額</t>
  </si>
  <si>
    <t>Q2</t>
  </si>
  <si>
    <t>100 relocalized for republishing</t>
    <phoneticPr fontId="5"/>
  </si>
  <si>
    <t>12月6日時点未請求額</t>
    <phoneticPr fontId="5"/>
  </si>
  <si>
    <t>Q3</t>
  </si>
  <si>
    <t>upto $8k</t>
    <phoneticPr fontId="5"/>
  </si>
  <si>
    <t>12月20日時点未請求額</t>
    <phoneticPr fontId="5"/>
  </si>
  <si>
    <t>Q4</t>
  </si>
  <si>
    <t>150 +</t>
  </si>
  <si>
    <t>Budget</t>
  </si>
  <si>
    <t>Alpha</t>
  </si>
  <si>
    <t>Total</t>
    <phoneticPr fontId="5"/>
  </si>
  <si>
    <t>FY23 Q1 - 2/1</t>
  </si>
  <si>
    <t>FY23 Q1 - 04</t>
    <phoneticPr fontId="5"/>
  </si>
  <si>
    <t>Invoiced</t>
    <phoneticPr fontId="5"/>
  </si>
  <si>
    <t>FY23 Q2 - 05</t>
    <phoneticPr fontId="5"/>
  </si>
  <si>
    <t>FY23 Q2 - 06</t>
  </si>
  <si>
    <t>FY23 Q2 - 07</t>
    <phoneticPr fontId="5"/>
  </si>
  <si>
    <t>FY23 Q3 - 08</t>
    <phoneticPr fontId="5"/>
  </si>
  <si>
    <t>FY23 Q3 - 09</t>
    <phoneticPr fontId="5"/>
  </si>
  <si>
    <t>FY23 Q3 - 10</t>
    <phoneticPr fontId="5"/>
  </si>
  <si>
    <t>FY23 Q4 - 11</t>
    <phoneticPr fontId="5"/>
  </si>
  <si>
    <t>FY23 Q4 - 12</t>
  </si>
  <si>
    <t>FY23 Q4 - 01</t>
    <phoneticPr fontId="5"/>
  </si>
  <si>
    <t xml:space="preserve">FY23 Total </t>
    <phoneticPr fontId="5"/>
  </si>
  <si>
    <t>FY23 plan</t>
    <phoneticPr fontId="5"/>
  </si>
  <si>
    <t>FY22 actual expense (As of November 12 )</t>
    <phoneticPr fontId="5"/>
  </si>
  <si>
    <t>Sales/CS/Partner</t>
    <phoneticPr fontId="5"/>
  </si>
  <si>
    <t xml:space="preserve">Sales Enablement/Sales Plays </t>
    <phoneticPr fontId="5"/>
  </si>
  <si>
    <t>SA2210_Seismic-Industry App Enablement - Use Case Document-JA_AL</t>
    <phoneticPr fontId="5"/>
  </si>
  <si>
    <t>Sales total</t>
    <phoneticPr fontId="5"/>
  </si>
  <si>
    <t>SA2209_SalesPlays-Domo Value Framework-JA_MO</t>
  </si>
  <si>
    <t>CS2208_SalesPlays-Domo Everywhere - PPTX+INDD-JA</t>
  </si>
  <si>
    <t>CS2208_SalesPlays-Customer Story - Media and Entertainment-JA</t>
  </si>
  <si>
    <t>CS2208_Movie-Domo Everywhere-JA</t>
  </si>
  <si>
    <t>CS2208_indd-Enterprise+Apps-Take Domo to the next level with Enterprise Apps.-JA</t>
  </si>
  <si>
    <t>CS2207_SalesPlays_indd-Customer Stories_Domo Everywhere -2</t>
  </si>
  <si>
    <t>CS2203_Sales_Plays_ppt_Additional_DTP</t>
  </si>
  <si>
    <t>CS2203_Sales_Plays_ppt</t>
    <phoneticPr fontId="5"/>
  </si>
  <si>
    <t>CS2202_ACSM_rollout_plan_template.docx</t>
  </si>
  <si>
    <t>ED2211_KB-Projects 20211117-JA_AL</t>
  </si>
  <si>
    <t>Total budget plan for FY23</t>
    <phoneticPr fontId="5"/>
  </si>
  <si>
    <t>ED2211_KB-Google Analytics Advanced Connector-JA_AL</t>
  </si>
  <si>
    <t>ED2211_KB-FY22-Q2_Zendesk-Priority_High-JA_AL_Batch-6</t>
  </si>
  <si>
    <t>Actual budget for FY23</t>
    <phoneticPr fontId="5"/>
  </si>
  <si>
    <t>ED2209_KB-FY22-Q2_Zendesk-Priority_High-JA_AL_Batch-5</t>
  </si>
  <si>
    <t>ED2209_KB-FY22-Q2_Zendesk-Priority_High-JA_AL_Batch-4</t>
  </si>
  <si>
    <t>ED2209_KB-FY22-Q2_Zendesk-Priority_High-JA_AL_Batch-3</t>
  </si>
  <si>
    <t>ED2206_KB-FY22-Q2_Zendesk-Priority_High-JA_Batch-2</t>
  </si>
  <si>
    <t>ED2206_KB-FY22-Q2_Zendesk-Priority_High-JA_Batch-1</t>
  </si>
  <si>
    <t>ED2206_KB-FY21-Q2_Mindtouch-Zendesk-JA_Batch-4</t>
  </si>
  <si>
    <t>ED2206_KB-FY21-Q2_Mindtouch-Zendesk-JA_Batch-3</t>
  </si>
  <si>
    <t>ED2204_KB-JP_FY21-Q2_Mindtouch-Zendesk_JA-Batch-2</t>
  </si>
  <si>
    <t>ED2203_KB-JP_FY21-Q2_Mindtouch-Zendesk_JA-Batch-1</t>
  </si>
  <si>
    <t>ED2203_KB-Articles-SUMO_Zendesk JP</t>
  </si>
  <si>
    <t>ED2010_KB-Managing Pages-JA_AL</t>
  </si>
  <si>
    <t>KB total (Y to D)</t>
    <phoneticPr fontId="5"/>
  </si>
  <si>
    <t>Expected KB in Q4 Nov - Jan</t>
    <phoneticPr fontId="5"/>
  </si>
  <si>
    <t>KB x 300-400 files in FY22-Q4</t>
    <phoneticPr fontId="5"/>
  </si>
  <si>
    <t>FY22 KB total</t>
    <phoneticPr fontId="5"/>
  </si>
  <si>
    <t>ED Zendesk Japanese - Connector Permissioning in Domo</t>
  </si>
  <si>
    <t>ED PLC localization - Live Training Modules - Beast Mode Governance-New</t>
  </si>
  <si>
    <t>ED Domo Partners Content Text - Batch 2</t>
  </si>
  <si>
    <t>ED2211_App-PLC-October 2021 Release Update-JA_AL</t>
  </si>
  <si>
    <t>ED2207_App-Using Domo Embed-JA_MO</t>
  </si>
  <si>
    <t>ED2206_Learn Domo-Domo University exam courses-JA</t>
  </si>
  <si>
    <t>FY22 Learn Domo total</t>
    <phoneticPr fontId="5"/>
  </si>
  <si>
    <t>FY22 Total</t>
    <phoneticPr fontId="5"/>
  </si>
  <si>
    <t># of EN articles</t>
    <phoneticPr fontId="5"/>
  </si>
  <si>
    <t>Unlocalized articles</t>
  </si>
  <si>
    <t>JP articles</t>
  </si>
  <si>
    <t>Total Localized</t>
    <phoneticPr fontId="5"/>
  </si>
  <si>
    <t>未請求額</t>
    <rPh sb="0" eb="4">
      <t>ミセイキュウガク</t>
    </rPh>
    <phoneticPr fontId="5"/>
  </si>
  <si>
    <t>Invoice額</t>
    <rPh sb="7" eb="8">
      <t>ガク</t>
    </rPh>
    <phoneticPr fontId="5"/>
  </si>
  <si>
    <t>Q1</t>
    <phoneticPr fontId="5"/>
  </si>
  <si>
    <t>11月22日時点未請求額</t>
    <rPh sb="2" eb="3">
      <t>ガツ</t>
    </rPh>
    <rPh sb="5" eb="6">
      <t>ニチ</t>
    </rPh>
    <rPh sb="6" eb="8">
      <t>ジテン</t>
    </rPh>
    <rPh sb="8" eb="11">
      <t>ミセイキュウ</t>
    </rPh>
    <rPh sb="11" eb="12">
      <t>ガク</t>
    </rPh>
    <phoneticPr fontId="5"/>
  </si>
  <si>
    <t>Q2-05</t>
    <phoneticPr fontId="5"/>
  </si>
  <si>
    <t>11月30日時点未請求額</t>
    <rPh sb="2" eb="3">
      <t>ガツ</t>
    </rPh>
    <rPh sb="5" eb="6">
      <t>ニチ</t>
    </rPh>
    <rPh sb="6" eb="8">
      <t>ジテン</t>
    </rPh>
    <rPh sb="8" eb="11">
      <t>ミセイキュウ</t>
    </rPh>
    <rPh sb="11" eb="12">
      <t>ガク</t>
    </rPh>
    <phoneticPr fontId="5"/>
  </si>
  <si>
    <t>Q2-06</t>
    <phoneticPr fontId="5"/>
  </si>
  <si>
    <t>12月6日時点未請求額</t>
    <rPh sb="2" eb="3">
      <t>ガツ</t>
    </rPh>
    <rPh sb="4" eb="5">
      <t>ニチ</t>
    </rPh>
    <rPh sb="5" eb="7">
      <t>ジテン</t>
    </rPh>
    <rPh sb="7" eb="11">
      <t>ミセイキュウガク</t>
    </rPh>
    <phoneticPr fontId="5"/>
  </si>
  <si>
    <t>Q2-07(0707)</t>
    <phoneticPr fontId="5"/>
  </si>
  <si>
    <t>Q3-08</t>
    <phoneticPr fontId="5"/>
  </si>
  <si>
    <t>Q3-09</t>
  </si>
  <si>
    <t>Q3-10</t>
  </si>
  <si>
    <t>Q4-11</t>
    <phoneticPr fontId="5"/>
  </si>
  <si>
    <t>Q4-12</t>
  </si>
  <si>
    <t>Q4-01</t>
    <phoneticPr fontId="5"/>
  </si>
  <si>
    <t>YYMM (Requested in)</t>
    <phoneticPr fontId="5"/>
  </si>
  <si>
    <t>[Business Unit][YYMM][Asset Type][File Name][Language][Assignee][Batch# (Optional)]</t>
    <phoneticPr fontId="5"/>
  </si>
  <si>
    <t>[Business Unit][YYMM][Project Name][Language][Batch# (Optional)]</t>
    <phoneticPr fontId="5"/>
  </si>
  <si>
    <t>MK2224_DOMO-Palooza-2022_indd</t>
    <phoneticPr fontId="5"/>
  </si>
  <si>
    <t>ED2203_KB-JP_FY21-Q2-Batch-1_Mindtouch-Zendesk_JA</t>
    <phoneticPr fontId="5"/>
  </si>
  <si>
    <t>MK2203_DP21-ReleaseNotes_docx_JA</t>
    <phoneticPr fontId="5"/>
  </si>
  <si>
    <t>ED2203_KB-Articles-SUMO_Zendesk_JA</t>
    <phoneticPr fontId="5"/>
  </si>
  <si>
    <t>ED2203_KB-JP_FY21-Q2-Batch-1_Mindtouch-Zendesk_JA-Batch1</t>
    <phoneticPr fontId="5"/>
  </si>
  <si>
    <t>ED2203_KB-JP_FY21-Q2-Batch-1_Mindtouch-Zendesk_JA-Batch2</t>
    <phoneticPr fontId="5"/>
  </si>
  <si>
    <t>ED2204_KB-Articles-Data flows_Zendesk_JA</t>
    <phoneticPr fontId="5"/>
  </si>
  <si>
    <t>ED2205_KB-JP_Upgrading to Magic ETL v2 (Beta)_JA</t>
    <phoneticPr fontId="5"/>
  </si>
  <si>
    <t>ED2205_KB-JP_Applying Page-Level Filters with Filter Views (Beta)_JA</t>
    <phoneticPr fontId="5"/>
  </si>
  <si>
    <t>Error when accessing a KB article</t>
    <phoneticPr fontId="5"/>
  </si>
  <si>
    <t xml:space="preserve">The article requires sign and seems that only domo.domo.com users can sign in, but when customers try to open the article in their instances, they are redirected to the sign in page but opening the article fails after they signed in. </t>
    <phoneticPr fontId="5"/>
  </si>
  <si>
    <t>Adding a Microsoft Sharepoint Online Rest OAuth Config</t>
    <phoneticPr fontId="5"/>
  </si>
  <si>
    <t>07</t>
    <phoneticPr fontId="5"/>
  </si>
  <si>
    <t>ED2604-07-TO-KB-Support-Adding a Microsoft Sharepoint Online Rest OAuth Config-JA</t>
    <phoneticPr fontId="5"/>
  </si>
  <si>
    <t>09</t>
    <phoneticPr fontId="5"/>
  </si>
  <si>
    <t>ED2604-09-TO-KB-asana-Use AI Chat-JA</t>
  </si>
  <si>
    <t>Infusionsoft by Keap Rest Connector</t>
  </si>
  <si>
    <t>InfusionSoft Connector</t>
  </si>
  <si>
    <t>Infusionsoft REST Hook Connector</t>
  </si>
  <si>
    <t>Infusionsoft/Infusionsoft Enterprise Connector</t>
  </si>
  <si>
    <t>000005389</t>
  </si>
  <si>
    <t>000005385</t>
  </si>
  <si>
    <t>000003757</t>
  </si>
  <si>
    <t>000003685</t>
  </si>
  <si>
    <t>Certify Cards and DataSets</t>
    <phoneticPr fontId="5"/>
  </si>
  <si>
    <t>10</t>
  </si>
  <si>
    <t>ED2604-10-TO-KB-asana-Certify Cards and DataSets-JA</t>
  </si>
  <si>
    <t>Bugfix</t>
  </si>
  <si>
    <t>ED2604-10-MH-KB-Use AI Chat-JA Update</t>
    <phoneticPr fontId="5"/>
  </si>
  <si>
    <t>Use Instance Templates</t>
    <phoneticPr fontId="5"/>
  </si>
  <si>
    <t>Use Instance Templates</t>
    <phoneticPr fontId="5"/>
  </si>
  <si>
    <t>ED2604-10-TO-KB-asana-Use Instance Templates-JA</t>
  </si>
  <si>
    <t>000005786</t>
    <phoneticPr fontId="5"/>
  </si>
  <si>
    <t>000005373</t>
    <phoneticPr fontId="5"/>
  </si>
  <si>
    <t>Explore Data with Table Elements in App Studio</t>
    <phoneticPr fontId="5"/>
  </si>
  <si>
    <t>000004336</t>
    <phoneticPr fontId="5"/>
  </si>
  <si>
    <t>15</t>
    <phoneticPr fontId="5"/>
  </si>
  <si>
    <t>ED2604-15-MH-KB-White Papers-JA Bugfix</t>
  </si>
  <si>
    <t>Domo training 2025 April</t>
    <phoneticPr fontId="5"/>
  </si>
  <si>
    <t>16</t>
    <phoneticPr fontId="5"/>
  </si>
  <si>
    <t>ED2604-16-TO-Movie-Domo training 2025 April-JA</t>
    <phoneticPr fontId="5"/>
  </si>
  <si>
    <t>GMT20250325-150229_Recording_2560x1440.mp4</t>
    <phoneticPr fontId="5"/>
  </si>
  <si>
    <t>April</t>
    <phoneticPr fontId="5"/>
  </si>
  <si>
    <t xml:space="preserve"> Batch-1</t>
    <phoneticPr fontId="5"/>
  </si>
  <si>
    <t>ED2604-17-TO-KB-April-JA Batch-1</t>
  </si>
  <si>
    <t>ED2604-17-TO-KB-April-JA Batch-3</t>
  </si>
  <si>
    <t>ED2604-17-TO-KB-April-JA Batch-1</t>
    <phoneticPr fontId="5"/>
  </si>
  <si>
    <t>ED2604-17-TO-KB-asana-April-JA Batch-1</t>
    <phoneticPr fontId="5"/>
  </si>
  <si>
    <t xml:space="preserve"> Batch-2</t>
    <phoneticPr fontId="5"/>
  </si>
  <si>
    <t>ED2604-17-TO-KB-April-JA Batch-2</t>
    <phoneticPr fontId="5"/>
  </si>
  <si>
    <t>Box Advanced Connector</t>
    <phoneticPr fontId="5"/>
  </si>
  <si>
    <t>ED2604-17-TO-KB-April-JA Batch-4</t>
  </si>
  <si>
    <t>ED2604-17-TO-KB-April-JA Batch-5</t>
  </si>
  <si>
    <t>ED2604-17-TO-KB-April-JA Batch-6</t>
  </si>
  <si>
    <t>ED2604-17-TO-KB-April-JA Batch-7</t>
  </si>
  <si>
    <t>Databricks Write - DRAFT</t>
    <phoneticPr fontId="5"/>
  </si>
  <si>
    <t>Sample DataSets</t>
    <phoneticPr fontId="5"/>
  </si>
  <si>
    <t>Latitude-Longitude Map</t>
    <phoneticPr fontId="5"/>
  </si>
  <si>
    <t>Heat Map</t>
    <phoneticPr fontId="5"/>
  </si>
  <si>
    <t>ED2604-17-TO-KB-Adding a Microsoft Sharepoint Online Rest OAuth Config-JA Bugfix</t>
  </si>
  <si>
    <t>000003969</t>
    <phoneticPr fontId="5"/>
  </si>
  <si>
    <t>000003578</t>
    <phoneticPr fontId="5"/>
  </si>
  <si>
    <t xml:space="preserve"> Batch-4</t>
    <phoneticPr fontId="5"/>
  </si>
  <si>
    <t>ED2604-17-TO-KB-April-JA Batch-5</t>
    <phoneticPr fontId="5"/>
  </si>
  <si>
    <t>Handling Memory Limits with Python and R Scripting Tiles in Magic ETL v2</t>
    <phoneticPr fontId="5"/>
  </si>
  <si>
    <t>Adobe Advertising Cloud Connector</t>
    <phoneticPr fontId="5"/>
  </si>
  <si>
    <t>Powering a Visualization Card with Data</t>
    <phoneticPr fontId="5"/>
  </si>
  <si>
    <t>Use Instance Templates (Beta)</t>
  </si>
  <si>
    <t>JIRA On Prem Writeback Connector</t>
  </si>
  <si>
    <t>Lingotek Connector</t>
  </si>
  <si>
    <t>DNT Creating and Updating Articles in Salesforce</t>
  </si>
  <si>
    <t>2019 Release 3 | April</t>
  </si>
  <si>
    <t>Bump Chart</t>
  </si>
  <si>
    <t>2019 Release 1 | January</t>
  </si>
  <si>
    <t>2019 Release 2 | March</t>
  </si>
  <si>
    <t>Google Maps Pinboard | Implementation Guide</t>
  </si>
  <si>
    <t>Snowflake Dashboard | Installation Guide</t>
  </si>
  <si>
    <t>DataSet Backup</t>
  </si>
  <si>
    <t>000004920</t>
  </si>
  <si>
    <t>000004656</t>
  </si>
  <si>
    <t>000004477</t>
  </si>
  <si>
    <t>000004426</t>
  </si>
  <si>
    <t>000004424</t>
  </si>
  <si>
    <t>000004262</t>
  </si>
  <si>
    <t>000004151</t>
  </si>
  <si>
    <t>000004125</t>
  </si>
  <si>
    <t>000004070</t>
  </si>
  <si>
    <t>000003035</t>
  </si>
  <si>
    <t>000003020</t>
  </si>
  <si>
    <t>Vimeo Dashboard App</t>
  </si>
  <si>
    <t>Webtrends Dashboard App</t>
  </si>
  <si>
    <t>Workfront Dashboard App</t>
  </si>
  <si>
    <t>000005013</t>
  </si>
  <si>
    <t>000005011</t>
  </si>
  <si>
    <t>000005010</t>
  </si>
  <si>
    <t>000005007</t>
  </si>
  <si>
    <t>000005001</t>
  </si>
  <si>
    <t>000004998</t>
  </si>
  <si>
    <t>Top Ways to Engage Your Content</t>
  </si>
  <si>
    <t>Dashboard Design Best Practices</t>
  </si>
  <si>
    <t>Dashboard Maturity</t>
  </si>
  <si>
    <t>Effective Summary Numbers</t>
  </si>
  <si>
    <t>000005815</t>
  </si>
  <si>
    <t>000005814</t>
    <phoneticPr fontId="5"/>
  </si>
  <si>
    <t>Partner Upgrade Path (Beta)</t>
    <phoneticPr fontId="5"/>
  </si>
  <si>
    <t>Requested by Support team and Hiro: [KB翻訳依頼]Domo Everywhere：ルーティング、作成、マッピングの日本語記事修正について</t>
    <phoneticPr fontId="5"/>
  </si>
  <si>
    <t>000004982</t>
    <phoneticPr fontId="5"/>
  </si>
  <si>
    <t>Snowflake Pass-Through SQL in Magic ETL</t>
    <phoneticPr fontId="5"/>
  </si>
  <si>
    <t>ED2604-21-TO-KB-asana-April-JA Batch-2</t>
  </si>
  <si>
    <t>ED2604-21-TO-KB-asana-April-JA Batch-2</t>
    <phoneticPr fontId="5"/>
  </si>
  <si>
    <t>Routing, Creation, and Mapping</t>
  </si>
  <si>
    <t>ED2604-22-TO-KB-Support-Routing, Creation, and Mapping-JA</t>
  </si>
  <si>
    <t>ED2604-22-TO-KB-asana-April-JA Batch-3</t>
    <phoneticPr fontId="5"/>
  </si>
  <si>
    <t>Relocalized in ED2604-22-TO-KB-asana-April-JA Batch-3</t>
    <phoneticPr fontId="5"/>
  </si>
  <si>
    <t>Custom Charts</t>
    <phoneticPr fontId="5"/>
  </si>
  <si>
    <t>000004723</t>
    <phoneticPr fontId="5"/>
  </si>
  <si>
    <t>ED2604-23-TO-KB-Support-Custom Charts-JA</t>
    <phoneticPr fontId="5"/>
  </si>
  <si>
    <t>Requested by Yasuhiro Itonaga：[KB翻訳依頼]「カスタムチャート」の日本語記事修正について</t>
    <phoneticPr fontId="5"/>
  </si>
  <si>
    <t>Partner Upgrade Path</t>
    <phoneticPr fontId="5"/>
  </si>
  <si>
    <t>AI Readiness</t>
    <phoneticPr fontId="5"/>
  </si>
  <si>
    <t>000005561</t>
    <phoneticPr fontId="5"/>
  </si>
  <si>
    <t>Data.ai Connector</t>
    <phoneticPr fontId="5"/>
  </si>
  <si>
    <t>000003536</t>
    <phoneticPr fontId="5"/>
  </si>
  <si>
    <t>Beast Mode AI Assistant</t>
    <phoneticPr fontId="5"/>
  </si>
  <si>
    <t>AI</t>
    <phoneticPr fontId="5"/>
  </si>
  <si>
    <t>ED2604-23-TO-KB-asana-AI-JA</t>
  </si>
  <si>
    <t>Snowflake Key Pair Authentication Connector</t>
    <phoneticPr fontId="5"/>
  </si>
  <si>
    <t>Snowflake Key Pair Authentication Writeback Connector</t>
    <phoneticPr fontId="5"/>
  </si>
  <si>
    <t>000004004</t>
    <phoneticPr fontId="5"/>
  </si>
  <si>
    <t>000003872</t>
    <phoneticPr fontId="5"/>
  </si>
  <si>
    <t>Japanese articles need update</t>
    <phoneticPr fontId="5"/>
  </si>
  <si>
    <t>Snowflake Pass-Through SQL BETA</t>
    <phoneticPr fontId="5"/>
  </si>
  <si>
    <t>Decertifying content</t>
    <phoneticPr fontId="5"/>
  </si>
  <si>
    <t>Snowflake Key Pair Authentication Connector</t>
    <phoneticPr fontId="5"/>
  </si>
  <si>
    <t>ED2604-23-TO-KB-asana-Snowflake Key Pair Authentication Connector-JA</t>
  </si>
  <si>
    <t>ED2604-23-TO-KB-asana-Scheduled Reports Overview-JA</t>
    <phoneticPr fontId="5"/>
  </si>
  <si>
    <t>Talkdesk Connector</t>
    <phoneticPr fontId="5"/>
  </si>
  <si>
    <t>Facebook Connector</t>
    <phoneticPr fontId="5"/>
  </si>
  <si>
    <t>000003477</t>
    <phoneticPr fontId="5"/>
  </si>
  <si>
    <t>000003198</t>
    <phoneticPr fontId="5"/>
  </si>
  <si>
    <t>https://onjira.domo.com/browse/DOMO-448273</t>
    <phoneticPr fontId="5"/>
  </si>
  <si>
    <t>JIRA</t>
    <phoneticPr fontId="5"/>
  </si>
  <si>
    <t>May 2025 Release Notes - JA</t>
  </si>
  <si>
    <t>May 2025 Release Notes 5-12 - JA</t>
    <phoneticPr fontId="5"/>
  </si>
  <si>
    <t xml:space="preserve">	000005830</t>
    <phoneticPr fontId="5"/>
  </si>
  <si>
    <t xml:space="preserve">	May 2025 Release Notes</t>
    <phoneticPr fontId="5"/>
  </si>
  <si>
    <t>000003947</t>
    <phoneticPr fontId="5"/>
  </si>
  <si>
    <t>Update role description. Tobe relocalized</t>
    <phoneticPr fontId="5"/>
  </si>
  <si>
    <t>System Roles | Reference</t>
    <phoneticPr fontId="5"/>
  </si>
  <si>
    <t>Campaigner Connector</t>
  </si>
  <si>
    <t>000003793</t>
    <phoneticPr fontId="5"/>
  </si>
  <si>
    <t>Project was not properly pushed back from XTM to SFDC</t>
    <phoneticPr fontId="5"/>
  </si>
  <si>
    <t>Scheduled Reports | Overview</t>
  </si>
  <si>
    <t>Control Access to Cards and Dashboards</t>
    <phoneticPr fontId="5"/>
  </si>
  <si>
    <t>copy architecture info to Oracle</t>
    <phoneticPr fontId="5"/>
  </si>
  <si>
    <t>&gt; Domo on Databricks (RECOMMENDED)</t>
    <phoneticPr fontId="5"/>
  </si>
  <si>
    <t>Anaplan Connector (DEPRECATED)</t>
    <phoneticPr fontId="5"/>
  </si>
  <si>
    <t>Kapost Connector</t>
    <phoneticPr fontId="5"/>
  </si>
  <si>
    <t>Arun Raj</t>
    <phoneticPr fontId="5"/>
  </si>
  <si>
    <t>WordPress Connector</t>
    <phoneticPr fontId="5"/>
  </si>
  <si>
    <t>Waited for EN publishing. Relocalized</t>
    <phoneticPr fontId="5"/>
  </si>
  <si>
    <t>Domo on Amazon Athena (Beta)</t>
    <phoneticPr fontId="5"/>
  </si>
  <si>
    <t>JIRA Dashboard App</t>
    <phoneticPr fontId="5"/>
  </si>
  <si>
    <t>ED2501-21-TO-KB-January-JA Batch-6</t>
    <phoneticPr fontId="5"/>
  </si>
  <si>
    <t>ED2501-28-TO-KB-January-JA Batch-9</t>
    <phoneticPr fontId="5"/>
  </si>
  <si>
    <t>&gt; Domo on Amazon Redshift (RECOMMENDED)</t>
  </si>
  <si>
    <t>Relocalized</t>
  </si>
  <si>
    <t xml:space="preserve">	Old Magic ETL Tiles: Data Science</t>
    <phoneticPr fontId="5"/>
  </si>
  <si>
    <t>000002991</t>
    <phoneticPr fontId="5"/>
  </si>
  <si>
    <t>May</t>
    <phoneticPr fontId="5"/>
  </si>
  <si>
    <t xml:space="preserve"> Batch-1</t>
    <phoneticPr fontId="5"/>
  </si>
  <si>
    <t>ED2605-20-TO-KB-May-JA Batch-1</t>
  </si>
  <si>
    <t>ED2605-20-TO-KB-May-JA Batch-2</t>
  </si>
  <si>
    <t>ED2605-20-TO-KB-May-JA Batch-3</t>
  </si>
  <si>
    <t>ED2605-20-TO-KB-May-JA Batch-4</t>
  </si>
  <si>
    <t>ED2605-20-TO-KB-May-JA Batch-5</t>
  </si>
  <si>
    <t>Gong Domo Connector</t>
    <phoneticPr fontId="5"/>
  </si>
  <si>
    <t>000005441</t>
    <phoneticPr fontId="5"/>
  </si>
  <si>
    <t>000005117</t>
    <phoneticPr fontId="5"/>
  </si>
  <si>
    <t>000002988</t>
    <phoneticPr fontId="5"/>
  </si>
  <si>
    <t>000003805</t>
    <phoneticPr fontId="5"/>
  </si>
  <si>
    <t>000004753</t>
    <phoneticPr fontId="5"/>
  </si>
  <si>
    <t>Asset Manager</t>
    <phoneticPr fontId="5"/>
  </si>
  <si>
    <t>000005000</t>
    <phoneticPr fontId="5"/>
  </si>
  <si>
    <t>000005812</t>
    <phoneticPr fontId="5"/>
  </si>
  <si>
    <t>ED2605-20-TO-KB-May-JA Batch-6</t>
  </si>
  <si>
    <t>ED2605-20-TO-KB-May-JA Batch-7</t>
  </si>
  <si>
    <t>000005760</t>
    <phoneticPr fontId="5"/>
  </si>
  <si>
    <t>000005759</t>
    <phoneticPr fontId="5"/>
  </si>
  <si>
    <t>000005072</t>
    <phoneticPr fontId="5"/>
  </si>
  <si>
    <t>ED2605-21-TO-KB-May-JA Batch-8</t>
  </si>
  <si>
    <t>ED2605-21-TO-KB-May-JA Batch-9</t>
  </si>
  <si>
    <t>000005850</t>
  </si>
  <si>
    <t>Article Title</t>
  </si>
  <si>
    <t>000005851</t>
  </si>
  <si>
    <t>AI Reporting</t>
  </si>
  <si>
    <t>000005847</t>
  </si>
  <si>
    <t>Workflows Troubleshooting</t>
  </si>
  <si>
    <t>Template Article Title</t>
  </si>
  <si>
    <t>Entrata Via API Key Connector</t>
  </si>
  <si>
    <t>Snowflake OAuth Unload V2 Connector</t>
  </si>
  <si>
    <t>Role Settings: Default Role and Roles Allowlist</t>
  </si>
  <si>
    <t>000005846</t>
  </si>
  <si>
    <t>000005844</t>
  </si>
  <si>
    <t>000005842</t>
  </si>
  <si>
    <t>000005841</t>
  </si>
  <si>
    <t>000005839</t>
  </si>
  <si>
    <t xml:space="preserve"> Batch-10</t>
  </si>
  <si>
    <t>SCIM in Domo</t>
  </si>
  <si>
    <t>Domo SSO (Beta)</t>
  </si>
  <si>
    <t>Workflows Test Run</t>
    <phoneticPr fontId="5"/>
  </si>
  <si>
    <t>Subset Processing for Magic ETL on Snowflake</t>
    <phoneticPr fontId="5"/>
  </si>
  <si>
    <t>Deliver Customized Reports with Report Builder</t>
    <phoneticPr fontId="5"/>
  </si>
  <si>
    <t>May</t>
    <phoneticPr fontId="5"/>
  </si>
  <si>
    <t>000005849</t>
  </si>
  <si>
    <t>Use FileSets to Gather Information from Unstructured Data (Beta)</t>
    <phoneticPr fontId="5"/>
  </si>
  <si>
    <t>000004340</t>
    <phoneticPr fontId="5"/>
  </si>
  <si>
    <t>ED2605-24-TO-KB-System Requirements-JA</t>
  </si>
  <si>
    <t>000005741</t>
    <phoneticPr fontId="5"/>
  </si>
  <si>
    <t>000005241</t>
  </si>
  <si>
    <t>000005827</t>
    <phoneticPr fontId="5"/>
  </si>
  <si>
    <t>000005831</t>
    <phoneticPr fontId="5"/>
  </si>
  <si>
    <t>Elevation for Sensitive Changes</t>
    <phoneticPr fontId="5"/>
  </si>
  <si>
    <t>000005826</t>
    <phoneticPr fontId="5"/>
  </si>
  <si>
    <t>000005829</t>
    <phoneticPr fontId="5"/>
  </si>
  <si>
    <t>ED2605-27-TO-KB-May-JA Batch-10</t>
  </si>
  <si>
    <t>ED2605-27-TO-KB-Release-May-JA Batch-1</t>
  </si>
  <si>
    <t>ED2605-27-TO-KB-Release-May-JA Batch-2</t>
  </si>
  <si>
    <t>ED2605-27-TO-KB-Release-May-JA Batch-3</t>
  </si>
  <si>
    <t>https://domosoftware-my.sharepoint.com/:f:/g/personal/masaaki_hori_domo_com/EgANZoCc7lZGivOP6gdzXLsBIN4HebVIOo-KyWYiDAlmag?e=pE8jZr</t>
    <phoneticPr fontId="5"/>
  </si>
  <si>
    <t>\Report to Ranjeet</t>
  </si>
  <si>
    <t>Design Your Workflow-CB</t>
    <phoneticPr fontId="5"/>
  </si>
  <si>
    <t>02</t>
    <phoneticPr fontId="5"/>
  </si>
  <si>
    <t>June</t>
    <phoneticPr fontId="5"/>
  </si>
  <si>
    <t>ED2606-02-TO-App-June-JA</t>
    <phoneticPr fontId="5"/>
  </si>
  <si>
    <t>Resize Cards on a Standard Page</t>
  </si>
  <si>
    <t>Resizing cards</t>
    <phoneticPr fontId="5"/>
  </si>
  <si>
    <t>ED2605-20-TO-KB-May-JA Batch-1</t>
    <phoneticPr fontId="5"/>
  </si>
  <si>
    <t>Standard Pages and Card Collections</t>
    <phoneticPr fontId="5"/>
  </si>
  <si>
    <t>000004098</t>
    <phoneticPr fontId="5"/>
  </si>
  <si>
    <t>Business in a Box updates</t>
    <phoneticPr fontId="5"/>
  </si>
  <si>
    <t xml:space="preserve">Form Builder note </t>
  </si>
  <si>
    <t>&gt; Domo on Snowflake (RECOMMENDED)</t>
    <phoneticPr fontId="5"/>
  </si>
  <si>
    <t xml:space="preserve"> Batch-1</t>
    <phoneticPr fontId="5"/>
  </si>
  <si>
    <t>ED2606-02-TO-KB-asana-June-JA Batch-1</t>
  </si>
  <si>
    <t>ED2606-02-TO-KB-asana-June-JA Batch-1</t>
    <phoneticPr fontId="5"/>
  </si>
  <si>
    <t>ED2501-28-TO-KB-January-JA Batch-7</t>
    <phoneticPr fontId="5"/>
  </si>
  <si>
    <t>ED2605-21-TO-KB-May-JA Batch-9</t>
    <phoneticPr fontId="5"/>
  </si>
  <si>
    <t>ED2602-21-TO-KB-Connectors-JA Batch-1</t>
    <phoneticPr fontId="5"/>
  </si>
  <si>
    <t>Azure Data Lake Gen2 OAuth Writeback Connector</t>
    <phoneticPr fontId="5"/>
  </si>
  <si>
    <t>ED2602-21-TO-KB-Connectors-JA Batch-3</t>
    <phoneticPr fontId="5"/>
  </si>
  <si>
    <t>000005237</t>
  </si>
  <si>
    <t>&gt; Domo on Google BigQuery (RECOMMENDED)</t>
    <phoneticPr fontId="5"/>
  </si>
  <si>
    <t>Latitude-Longitude Route Map</t>
    <phoneticPr fontId="5"/>
  </si>
  <si>
    <t>000004704</t>
    <phoneticPr fontId="5"/>
  </si>
  <si>
    <t>Requested:</t>
    <phoneticPr fontId="5"/>
  </si>
  <si>
    <t>Release related (Included in KB budget)</t>
    <phoneticPr fontId="5"/>
  </si>
  <si>
    <t>&gt; Map Charts</t>
    <phoneticPr fontId="5"/>
  </si>
  <si>
    <t>Getting Started With AI Agents</t>
    <phoneticPr fontId="5"/>
  </si>
  <si>
    <t>000005853</t>
    <phoneticPr fontId="5"/>
  </si>
  <si>
    <t>Properties Available for Most Charts</t>
    <phoneticPr fontId="5"/>
  </si>
  <si>
    <t>Relocalzed</t>
    <phoneticPr fontId="5"/>
  </si>
  <si>
    <t>000003607</t>
    <phoneticPr fontId="5"/>
  </si>
  <si>
    <t>EN was Draft</t>
    <phoneticPr fontId="5"/>
  </si>
  <si>
    <t>Xero Custom Connector</t>
    <phoneticPr fontId="5"/>
  </si>
  <si>
    <t>000005246</t>
    <phoneticPr fontId="5"/>
  </si>
  <si>
    <t>Amazon DynamoDB Assume Role Connector</t>
    <phoneticPr fontId="5"/>
  </si>
  <si>
    <t>Sales Leaderboard | Implementation Guide</t>
    <phoneticPr fontId="5"/>
  </si>
  <si>
    <t>000004074</t>
    <phoneticPr fontId="5"/>
  </si>
  <si>
    <t>Google BigQuery Workload Identity Federation Connector</t>
    <phoneticPr fontId="5"/>
  </si>
  <si>
    <t>Combining DataSets Using DataFusion</t>
    <phoneticPr fontId="5"/>
  </si>
  <si>
    <t>000004562</t>
    <phoneticPr fontId="5"/>
  </si>
  <si>
    <t>ED2603-24-TO-KB-Release- March 2025 release-JA Update Batch-3</t>
    <phoneticPr fontId="5"/>
  </si>
  <si>
    <t>000004732</t>
    <phoneticPr fontId="5"/>
  </si>
  <si>
    <t>000005276</t>
    <phoneticPr fontId="5"/>
  </si>
  <si>
    <t>000003906</t>
    <phoneticPr fontId="5"/>
  </si>
  <si>
    <t>Waited for EN publishing Update to OAuth in Snowflake</t>
    <phoneticPr fontId="5"/>
  </si>
  <si>
    <t>ED2606-11-TO-KB-June-JA Batch-1</t>
  </si>
  <si>
    <t>ED2606-11-TO-KB-June-JA Batch-2</t>
  </si>
  <si>
    <t>ED2606-11-TO-KB-June-JA Batch-4</t>
  </si>
  <si>
    <t>ED2606-11-TO-KB-asana-June-JA Batch-2</t>
  </si>
  <si>
    <t>ED2606-11-TO-KB-June-JA Batch-3</t>
    <phoneticPr fontId="5"/>
  </si>
  <si>
    <t>000004488</t>
  </si>
  <si>
    <t>000004478</t>
    <phoneticPr fontId="5"/>
  </si>
  <si>
    <t>000004479</t>
  </si>
  <si>
    <t>000004473</t>
  </si>
  <si>
    <t>Create an Alert for a Visualization Card</t>
    <phoneticPr fontId="5"/>
  </si>
  <si>
    <t>20962</t>
    <phoneticPr fontId="5"/>
  </si>
  <si>
    <t>PII Vault Protection and Compliance  </t>
  </si>
  <si>
    <t xml:space="preserve">Creating an Alert for a Visualization Card </t>
    <phoneticPr fontId="5"/>
  </si>
  <si>
    <t xml:space="preserve">000004352 </t>
    <phoneticPr fontId="5"/>
  </si>
  <si>
    <t>000004709</t>
    <phoneticPr fontId="5"/>
  </si>
  <si>
    <t>000004054</t>
    <phoneticPr fontId="5"/>
  </si>
  <si>
    <t>still working on. Hopefully published within the next month or so</t>
    <phoneticPr fontId="5"/>
  </si>
  <si>
    <t xml:space="preserve">this article is not publicly available. Article is internal only and has not been approved for publishing. </t>
    <phoneticPr fontId="5"/>
  </si>
  <si>
    <t>this article is not publicly available. Article is internal only and has not been approved for publishing. </t>
  </si>
  <si>
    <t>AI Service Layer Settings</t>
    <phoneticPr fontId="5"/>
  </si>
  <si>
    <t>Akamai Connector</t>
  </si>
  <si>
    <t>000003606</t>
    <phoneticPr fontId="5"/>
  </si>
  <si>
    <t>Airtable Connector</t>
    <phoneticPr fontId="5"/>
  </si>
  <si>
    <t>Airtable OAuth Connector</t>
    <phoneticPr fontId="5"/>
  </si>
  <si>
    <t>AirNow Connector</t>
    <phoneticPr fontId="5"/>
  </si>
  <si>
    <t>000003222</t>
    <phoneticPr fontId="5"/>
  </si>
  <si>
    <t>000005361</t>
    <phoneticPr fontId="5"/>
  </si>
  <si>
    <t>&gt; Line Charts</t>
    <phoneticPr fontId="5"/>
  </si>
  <si>
    <t>000004740</t>
    <phoneticPr fontId="5"/>
  </si>
  <si>
    <t>&gt; Area Charts</t>
    <phoneticPr fontId="5"/>
  </si>
  <si>
    <t>000004737</t>
    <phoneticPr fontId="5"/>
  </si>
  <si>
    <t>&gt; Bar Charts</t>
    <phoneticPr fontId="5"/>
  </si>
  <si>
    <t>000004739</t>
    <phoneticPr fontId="5"/>
  </si>
  <si>
    <t>&gt; Data Science Charts</t>
  </si>
  <si>
    <t>000004731</t>
    <phoneticPr fontId="5"/>
  </si>
  <si>
    <t>&gt; Domo on MySQL (Beta - RECOMMENDED)</t>
    <phoneticPr fontId="5"/>
  </si>
  <si>
    <t>000005451</t>
    <phoneticPr fontId="5"/>
  </si>
  <si>
    <t>&gt; Domo on PostgreSQL (Beta - RECOMMENDED)</t>
    <phoneticPr fontId="5"/>
  </si>
  <si>
    <t>&gt; Filter Charts</t>
    <phoneticPr fontId="5"/>
  </si>
  <si>
    <t>&gt; Gauges</t>
    <phoneticPr fontId="5"/>
  </si>
  <si>
    <t>&gt; Governance Settings Overview</t>
    <phoneticPr fontId="5"/>
  </si>
  <si>
    <t>&gt; Lollipop Charts</t>
    <phoneticPr fontId="5"/>
  </si>
  <si>
    <t>000004738</t>
    <phoneticPr fontId="5"/>
  </si>
  <si>
    <t>&gt; Workbench Install, Update, and Repair | Guide</t>
    <phoneticPr fontId="5"/>
  </si>
  <si>
    <t>000004874</t>
    <phoneticPr fontId="5"/>
  </si>
  <si>
    <t>&gt; Pie-Type Charts</t>
    <phoneticPr fontId="5"/>
  </si>
  <si>
    <t>000004735</t>
    <phoneticPr fontId="5"/>
  </si>
  <si>
    <t>&gt; Period-over-Period Charts</t>
    <phoneticPr fontId="5"/>
  </si>
  <si>
    <t>000004736</t>
    <phoneticPr fontId="5"/>
  </si>
  <si>
    <t>&gt; Miscellaneous Charts</t>
    <phoneticPr fontId="5"/>
  </si>
  <si>
    <t>000004730</t>
    <phoneticPr fontId="5"/>
  </si>
  <si>
    <t>10,000ft Connector</t>
    <phoneticPr fontId="5"/>
  </si>
  <si>
    <t>3-Metric Bar Charts</t>
    <phoneticPr fontId="5"/>
  </si>
  <si>
    <t>000004746</t>
  </si>
  <si>
    <t>Act-On Connector</t>
    <phoneticPr fontId="5"/>
  </si>
  <si>
    <t>000003810</t>
    <phoneticPr fontId="5"/>
  </si>
  <si>
    <t>AD EBiS Connector</t>
    <phoneticPr fontId="5"/>
  </si>
  <si>
    <t>000003812</t>
    <phoneticPr fontId="5"/>
  </si>
  <si>
    <t>AD EBiS REST Connector</t>
    <phoneticPr fontId="5"/>
  </si>
  <si>
    <t>000005546</t>
    <phoneticPr fontId="5"/>
  </si>
  <si>
    <t>HubSpot Connector</t>
    <phoneticPr fontId="5"/>
  </si>
  <si>
    <t>000003759</t>
    <phoneticPr fontId="5"/>
  </si>
  <si>
    <t>Combine DataSets Using DataFusion (Deprecated)</t>
    <phoneticPr fontId="5"/>
  </si>
  <si>
    <t>Reddit Ads Connector</t>
    <phoneticPr fontId="5"/>
  </si>
  <si>
    <t>000005242</t>
    <phoneticPr fontId="5"/>
  </si>
  <si>
    <t>Enable SSO with Entra ID Directory</t>
    <phoneticPr fontId="5"/>
  </si>
  <si>
    <t>000003051</t>
    <phoneticPr fontId="5"/>
  </si>
  <si>
    <t>Enabling SSO with Google</t>
    <phoneticPr fontId="5"/>
  </si>
  <si>
    <t>000003050</t>
    <phoneticPr fontId="5"/>
  </si>
  <si>
    <t>000003052</t>
    <phoneticPr fontId="5"/>
  </si>
  <si>
    <t>Troubleshoot Single Sign-On Using SAML</t>
    <phoneticPr fontId="5"/>
  </si>
  <si>
    <t>000003045</t>
    <phoneticPr fontId="5"/>
  </si>
  <si>
    <t>Powering Up Multi Account Connectors</t>
    <phoneticPr fontId="5"/>
  </si>
  <si>
    <t>000005825</t>
    <phoneticPr fontId="5"/>
  </si>
  <si>
    <t>Entrata Via API Key Connector</t>
    <phoneticPr fontId="5"/>
  </si>
  <si>
    <t>Asana Connector</t>
  </si>
  <si>
    <t>000003431</t>
    <phoneticPr fontId="5"/>
  </si>
  <si>
    <t>Workbench Enterprise | Implementation Guide</t>
  </si>
  <si>
    <t>Workbench Enterprise | Implementation Guide</t>
    <phoneticPr fontId="5"/>
  </si>
  <si>
    <t>Manage API Clients</t>
    <phoneticPr fontId="5"/>
  </si>
  <si>
    <t>000005240</t>
    <phoneticPr fontId="5"/>
  </si>
  <si>
    <t>000004162</t>
  </si>
  <si>
    <t>000004188</t>
  </si>
  <si>
    <t>Productivity Indicators App</t>
  </si>
  <si>
    <t>000004132</t>
  </si>
  <si>
    <t>Sales Leaderboard App</t>
    <phoneticPr fontId="5"/>
  </si>
  <si>
    <t>000004171</t>
    <phoneticPr fontId="5"/>
  </si>
  <si>
    <t>Digital Traffic App</t>
    <phoneticPr fontId="5"/>
  </si>
  <si>
    <t>000005043</t>
    <phoneticPr fontId="5"/>
  </si>
  <si>
    <t>000003618</t>
    <phoneticPr fontId="5"/>
  </si>
  <si>
    <t>Connecting to QuickBooks Data in Workbench 5</t>
    <phoneticPr fontId="5"/>
  </si>
  <si>
    <t>Connecting to QuickBooks Data in Workbench 5.1</t>
    <phoneticPr fontId="5"/>
  </si>
  <si>
    <t>000003833</t>
    <phoneticPr fontId="5"/>
  </si>
  <si>
    <t>QuickBooks Multi Account Connector</t>
    <phoneticPr fontId="5"/>
  </si>
  <si>
    <t>000003187</t>
    <phoneticPr fontId="5"/>
  </si>
  <si>
    <t>Workbench 5.1 Training Topics</t>
    <phoneticPr fontId="5"/>
  </si>
  <si>
    <t>000004843</t>
    <phoneticPr fontId="5"/>
  </si>
  <si>
    <t>Workbench 5 Training Topics</t>
    <phoneticPr fontId="5"/>
  </si>
  <si>
    <t>000004810</t>
    <phoneticPr fontId="5"/>
  </si>
  <si>
    <t>Workbench 5.1 Overview</t>
    <phoneticPr fontId="5"/>
  </si>
  <si>
    <t>000004840</t>
    <phoneticPr fontId="5"/>
  </si>
  <si>
    <t>Shopify Custom App Connector</t>
    <phoneticPr fontId="5"/>
  </si>
  <si>
    <t>000005100</t>
    <phoneticPr fontId="5"/>
  </si>
  <si>
    <t>Workiva Connector</t>
  </si>
  <si>
    <t>000003916</t>
    <phoneticPr fontId="5"/>
  </si>
  <si>
    <t>Workiva Writeback Connector</t>
    <phoneticPr fontId="5"/>
  </si>
  <si>
    <t>000004021</t>
    <phoneticPr fontId="5"/>
  </si>
  <si>
    <t>Quandl Connector</t>
  </si>
  <si>
    <t>Quandl Stock Reports Connector</t>
    <phoneticPr fontId="5"/>
  </si>
  <si>
    <t>000003610</t>
    <phoneticPr fontId="5"/>
  </si>
  <si>
    <t>000005399</t>
    <phoneticPr fontId="5"/>
  </si>
  <si>
    <t>Quandl Dashboard App</t>
    <phoneticPr fontId="5"/>
  </si>
  <si>
    <t>000004181</t>
    <phoneticPr fontId="5"/>
  </si>
  <si>
    <t>Quandl Advanced Connector</t>
    <phoneticPr fontId="5"/>
  </si>
  <si>
    <t>000003375</t>
    <phoneticPr fontId="5"/>
  </si>
  <si>
    <t>Retail Store Performance</t>
    <phoneticPr fontId="5"/>
  </si>
  <si>
    <t>000004178</t>
    <phoneticPr fontId="5"/>
  </si>
  <si>
    <t>RetailNext Connector</t>
    <phoneticPr fontId="5"/>
  </si>
  <si>
    <t>000003669</t>
    <phoneticPr fontId="5"/>
  </si>
  <si>
    <t>Domo API</t>
  </si>
  <si>
    <t>000004624</t>
    <phoneticPr fontId="5"/>
  </si>
  <si>
    <t>RunKeeper Dashboard App</t>
  </si>
  <si>
    <t>000004170</t>
  </si>
  <si>
    <t>RunKeeper Connector</t>
  </si>
  <si>
    <t>000003337</t>
    <phoneticPr fontId="5"/>
  </si>
  <si>
    <t>Qualtrics Dashboard App</t>
    <phoneticPr fontId="5"/>
  </si>
  <si>
    <t xml:space="preserve"> Batch-11</t>
    <phoneticPr fontId="5"/>
  </si>
  <si>
    <t>ED2605-27-TO-KB-May-JA Batch-11</t>
  </si>
  <si>
    <t>Deliver Customized Reports with App Studio Report Builder</t>
  </si>
  <si>
    <t>AppNexus Log Level Data Connector</t>
  </si>
  <si>
    <t>Explore Data with Table Elements in App Studio</t>
  </si>
  <si>
    <t>Customize Domo Mobile App</t>
  </si>
  <si>
    <t>Domo Add-ins for Microsoft Office 365 Apps | User Guide</t>
  </si>
  <si>
    <t>Design with App Studio Themes</t>
  </si>
  <si>
    <t>Applying DataSet Columns to Your Chart</t>
  </si>
  <si>
    <t>000005829</t>
  </si>
  <si>
    <t>000004981</t>
  </si>
  <si>
    <t>000003594</t>
  </si>
  <si>
    <t>000003223</t>
  </si>
  <si>
    <t>000005500</t>
  </si>
  <si>
    <t>000005648</t>
  </si>
  <si>
    <t>000005543</t>
  </si>
  <si>
    <t>000005396</t>
  </si>
  <si>
    <t>000004623</t>
  </si>
  <si>
    <t>000004004</t>
  </si>
  <si>
    <t xml:space="preserve"> Batch-5</t>
    <phoneticPr fontId="5"/>
  </si>
  <si>
    <t>ED2606-11-TO-KB-June-JA Batch-5</t>
  </si>
  <si>
    <t>ED2606-16-TO-KB-June-JA Batch-6</t>
  </si>
  <si>
    <t>ED2606-16-TO-KB-June-JA Batch-7</t>
  </si>
  <si>
    <t>ED2606-16-TO-KB-June-JA Batch-8</t>
  </si>
  <si>
    <t>App</t>
    <phoneticPr fontId="5"/>
  </si>
  <si>
    <t xml:space="preserve"> Batch-1</t>
    <phoneticPr fontId="5"/>
  </si>
  <si>
    <t>ED2606-16-TO-KB-App-JA Batch-1</t>
  </si>
  <si>
    <t>000003307</t>
    <phoneticPr fontId="5"/>
  </si>
  <si>
    <t>ED2606-16-TO-KB-App-JA Batch-2</t>
  </si>
  <si>
    <t>Restrict Access to a SQL DataFlow</t>
  </si>
  <si>
    <t>000004589</t>
    <phoneticPr fontId="5"/>
  </si>
  <si>
    <t>ED2606-19-TO-KB-Support-Restrict Access to a SQL DataFlow-JA</t>
    <phoneticPr fontId="5"/>
  </si>
  <si>
    <t>Knowledge
Use the Meta Select and Get Schema Tiles</t>
    <phoneticPr fontId="5"/>
  </si>
  <si>
    <t>000005860</t>
    <phoneticPr fontId="5"/>
  </si>
  <si>
    <t>MapQuest Traffic Connector</t>
  </si>
  <si>
    <t>000003383</t>
  </si>
  <si>
    <t>Unleashed Connector</t>
  </si>
  <si>
    <t>000003355</t>
  </si>
  <si>
    <t>DataGov Connector</t>
  </si>
  <si>
    <t>000003385</t>
  </si>
  <si>
    <t>Sportradar Connector</t>
  </si>
  <si>
    <t>000003351</t>
  </si>
  <si>
    <t>Openfire Connector</t>
  </si>
  <si>
    <t>000003398</t>
  </si>
  <si>
    <t>Clarizen Connector</t>
  </si>
  <si>
    <t>000003423</t>
  </si>
  <si>
    <t>000003421</t>
  </si>
  <si>
    <t>Harvest Connector</t>
  </si>
  <si>
    <t>000003419</t>
  </si>
  <si>
    <t>Encrypting Data with Domo's Bring Your Own Key (BYOK)</t>
    <phoneticPr fontId="5"/>
  </si>
  <si>
    <t>000003026</t>
    <phoneticPr fontId="5"/>
  </si>
  <si>
    <t>Snowflake KeyPair Partition Connector</t>
  </si>
  <si>
    <t>Snowflake KeyPair Unload Connector</t>
  </si>
  <si>
    <t>Domo Snowflake Partner Connect</t>
  </si>
  <si>
    <t>Snowflake KeyPair Unload V2 Connector</t>
  </si>
  <si>
    <t>Snowflake Key Pair Authentication Connector</t>
  </si>
  <si>
    <t>Snowflake Enterprise OAuth Connector</t>
  </si>
  <si>
    <t>Snowflake Unload Connector</t>
  </si>
  <si>
    <t>Snowflake Partition Connector</t>
  </si>
  <si>
    <t>Snowflake Domo Managed High Bandwidth Connector</t>
  </si>
  <si>
    <t>Snowflake Managed Unload Connector</t>
  </si>
  <si>
    <t>Snowflake KeyPair Internal Managed Unload Connector</t>
  </si>
  <si>
    <t>Snowflake High Bandwidth With Advanced Partitions Connector</t>
  </si>
  <si>
    <t>Snowflake Pass-Through SQL in Magic ETL (Beta)</t>
  </si>
  <si>
    <t>Snowflake Key Pair High Bandwidth Advanced Partitions Connector</t>
  </si>
  <si>
    <t>2024 Release 5 | September</t>
  </si>
  <si>
    <t>Alert center + Subscribe / Subscription</t>
    <phoneticPr fontId="5"/>
  </si>
  <si>
    <t>000004017</t>
    <phoneticPr fontId="5"/>
  </si>
  <si>
    <t>27</t>
    <phoneticPr fontId="5"/>
  </si>
  <si>
    <t>Snowflake Connectors</t>
    <phoneticPr fontId="5"/>
  </si>
  <si>
    <t>ED2606-27-TO-KB-Support-Snowflake Connectors-JA</t>
  </si>
  <si>
    <t>000003857</t>
    <phoneticPr fontId="5"/>
  </si>
  <si>
    <t>000003861</t>
  </si>
  <si>
    <t>000005841</t>
    <phoneticPr fontId="5"/>
  </si>
  <si>
    <t>000003999</t>
    <phoneticPr fontId="5"/>
  </si>
  <si>
    <t>000003858</t>
    <phoneticPr fontId="5"/>
  </si>
  <si>
    <t>000003869</t>
    <phoneticPr fontId="5"/>
  </si>
  <si>
    <t>000003151</t>
    <phoneticPr fontId="5"/>
  </si>
  <si>
    <t>000003871</t>
    <phoneticPr fontId="5"/>
  </si>
  <si>
    <t>000003860</t>
    <phoneticPr fontId="5"/>
  </si>
  <si>
    <t>000003958</t>
    <phoneticPr fontId="5"/>
  </si>
  <si>
    <t>000003873</t>
    <phoneticPr fontId="5"/>
  </si>
  <si>
    <t>Snowflake Unload V2 Connector</t>
    <phoneticPr fontId="5"/>
  </si>
  <si>
    <t>000003878</t>
    <phoneticPr fontId="5"/>
  </si>
  <si>
    <t>000003981</t>
    <phoneticPr fontId="5"/>
  </si>
  <si>
    <t>000005497</t>
    <phoneticPr fontId="5"/>
  </si>
  <si>
    <t>000005477</t>
    <phoneticPr fontId="5"/>
  </si>
  <si>
    <t>Snowflake Enterprise OAuth Connector</t>
    <phoneticPr fontId="5"/>
  </si>
  <si>
    <t>000005534</t>
    <phoneticPr fontId="5"/>
  </si>
  <si>
    <t>000003870</t>
    <phoneticPr fontId="5"/>
  </si>
  <si>
    <t>000003038</t>
    <phoneticPr fontId="5"/>
  </si>
  <si>
    <t>000003856</t>
  </si>
  <si>
    <t>000003983</t>
    <phoneticPr fontId="5"/>
  </si>
  <si>
    <t>000004072</t>
    <phoneticPr fontId="5"/>
  </si>
  <si>
    <t>000003971</t>
    <phoneticPr fontId="5"/>
  </si>
  <si>
    <t>000005815</t>
    <phoneticPr fontId="5"/>
  </si>
  <si>
    <t>000005353</t>
    <phoneticPr fontId="5"/>
  </si>
  <si>
    <t>000005832</t>
    <phoneticPr fontId="5"/>
  </si>
  <si>
    <t>Snowflake update</t>
    <phoneticPr fontId="5"/>
  </si>
  <si>
    <t>01</t>
    <phoneticPr fontId="5"/>
  </si>
  <si>
    <t xml:space="preserve"> Batch-1</t>
    <phoneticPr fontId="5"/>
  </si>
  <si>
    <t>ED2607-01-TO-KB-Snowflake update-JA Batch-1</t>
  </si>
  <si>
    <t>ED2607-01-TO-KB-Snowflake update-JA Batch-2</t>
  </si>
  <si>
    <t>ED2607-01-TO-KB-Snowflake update-JA Batch-3</t>
  </si>
  <si>
    <t>ED2607-01-TO-KB-Snowflake update-JA Batch-4</t>
  </si>
  <si>
    <t>ED2607-01-TO-KB-Snowflake update-JA Batch-5</t>
  </si>
  <si>
    <t>000005785 will be relocalized. Copy architecture to Dremio article: Waited for EN publishing</t>
    <phoneticPr fontId="5"/>
  </si>
  <si>
    <t>Dremio and Cloud Amplifier DRAFT</t>
  </si>
  <si>
    <t>000005785</t>
    <phoneticPr fontId="5"/>
  </si>
  <si>
    <t>Needs to be relocalized.</t>
    <phoneticPr fontId="5"/>
  </si>
  <si>
    <t>000005239</t>
    <phoneticPr fontId="5"/>
  </si>
  <si>
    <t>Bureau of Labor Statistics Connector</t>
    <phoneticPr fontId="5"/>
  </si>
  <si>
    <t>000003380</t>
    <phoneticPr fontId="5"/>
  </si>
  <si>
    <t>Data.ai Connector</t>
  </si>
  <si>
    <t>000003536</t>
  </si>
  <si>
    <t>Facebook Advanced Connector</t>
    <phoneticPr fontId="5"/>
  </si>
  <si>
    <t>000003478</t>
    <phoneticPr fontId="5"/>
  </si>
  <si>
    <t>Domo on Oracle Cloud (Beta - RECOMMENDED)</t>
    <phoneticPr fontId="5"/>
  </si>
  <si>
    <t>Updates</t>
    <phoneticPr fontId="5"/>
  </si>
  <si>
    <t>ED2607-01-MH-KB-Updates-JA</t>
  </si>
  <si>
    <t>Data Processing and Tools Best Practices</t>
    <phoneticPr fontId="5"/>
  </si>
  <si>
    <t>2025 Release 1 | January</t>
    <phoneticPr fontId="5"/>
  </si>
  <si>
    <t>Snowflake Dashboard | Installation Guide</t>
    <phoneticPr fontId="5"/>
  </si>
  <si>
    <t>To be relocalized. Waited for JA publishing Edit Report Change</t>
    <phoneticPr fontId="5"/>
  </si>
  <si>
    <t>Train and Deploy Models with AutoML (Automated Machine Learning)</t>
    <phoneticPr fontId="5"/>
  </si>
  <si>
    <t>Yammer Dashboard App</t>
    <phoneticPr fontId="5"/>
  </si>
  <si>
    <t>asana : Edit Report Change</t>
    <phoneticPr fontId="5"/>
  </si>
  <si>
    <t>asana: Update AutoML article</t>
    <phoneticPr fontId="5"/>
  </si>
  <si>
    <t>asana: AWS support for BYOK</t>
    <phoneticPr fontId="5"/>
  </si>
  <si>
    <t xml:space="preserve"> Batch-1</t>
    <phoneticPr fontId="5"/>
  </si>
  <si>
    <t>ED2607-07-TO-KB-asana-Janualy-JA Batch-1</t>
  </si>
  <si>
    <t>Manage Dashboards</t>
    <phoneticPr fontId="5"/>
  </si>
  <si>
    <t>Domo SSO (Beta)</t>
    <phoneticPr fontId="5"/>
  </si>
  <si>
    <t>To be relocalized:Not properly published</t>
    <phoneticPr fontId="5"/>
  </si>
  <si>
    <t>July</t>
    <phoneticPr fontId="5"/>
  </si>
  <si>
    <t>ED2607-07-TO-KB-July-JA Batch-1</t>
  </si>
  <si>
    <t>ED2607-07-TO-KB-July-JA Batch-2</t>
  </si>
  <si>
    <t>ED2607-07-TO-KB-July-JA Batch-3</t>
  </si>
  <si>
    <t>ED2607-07-TO-KB-July-JA Batch-1</t>
    <phoneticPr fontId="5"/>
  </si>
  <si>
    <t>Snowflake Connector</t>
    <phoneticPr fontId="5"/>
  </si>
  <si>
    <t>ED2607-07-TO-KB-asana-Janualy-JA Batch-1</t>
    <phoneticPr fontId="5"/>
  </si>
  <si>
    <t>Janualy</t>
    <phoneticPr fontId="5"/>
  </si>
  <si>
    <t>ED2607-09-TO-KB-Snowflake Connector-JA Update</t>
  </si>
  <si>
    <t>Fixed directly in XTM.</t>
    <phoneticPr fontId="5"/>
  </si>
  <si>
    <t>asana: AI Projects</t>
    <phoneticPr fontId="5"/>
  </si>
  <si>
    <t>ED2607-09-TO-KB-asana-Manage AI Models and Projects-JA</t>
    <phoneticPr fontId="5"/>
  </si>
  <si>
    <t>Fiscal Calendar Guide</t>
    <phoneticPr fontId="5"/>
  </si>
  <si>
    <t>000004514</t>
    <phoneticPr fontId="5"/>
  </si>
  <si>
    <t>Connector Authentication Troubleshooting</t>
    <phoneticPr fontId="5"/>
  </si>
  <si>
    <t>000004526</t>
    <phoneticPr fontId="5"/>
  </si>
  <si>
    <t>AI Reporting</t>
    <phoneticPr fontId="5"/>
  </si>
  <si>
    <t>000005851</t>
    <phoneticPr fontId="5"/>
  </si>
  <si>
    <t>User Management</t>
    <phoneticPr fontId="5"/>
  </si>
  <si>
    <t>日本語版への追記事項あり。roleId のFormat説明箇所の中にある以下の箇条書きの下に、「Null値は許容されません。」と追記をお願いします。</t>
    <rPh sb="0" eb="3">
      <t>ニホンゴ</t>
    </rPh>
    <rPh sb="3" eb="4">
      <t>バン</t>
    </rPh>
    <rPh sb="6" eb="10">
      <t>ツイキジコウ</t>
    </rPh>
    <phoneticPr fontId="5"/>
  </si>
  <si>
    <t>ED2607-09-TO-KB-Support-User Management-JA</t>
    <phoneticPr fontId="5"/>
  </si>
  <si>
    <t>July 2025 Release Notes - JA</t>
  </si>
  <si>
    <t>000005861</t>
    <phoneticPr fontId="5"/>
  </si>
  <si>
    <t>SCIM (System for Cross-domain Identity Management) in Domo</t>
    <phoneticPr fontId="5"/>
  </si>
  <si>
    <t>ED2607-10-TO-KB-SCIM (System for Cross-domain Identity Management) in Domo-JA</t>
    <phoneticPr fontId="5"/>
  </si>
  <si>
    <t>Manage Access Tokens</t>
  </si>
  <si>
    <t>BambooHR Dashboard App</t>
    <phoneticPr fontId="5"/>
  </si>
  <si>
    <t>Bureau of Labor Statistics Dashboard App</t>
    <phoneticPr fontId="5"/>
  </si>
  <si>
    <t>Approved: $121,000</t>
    <phoneticPr fontId="5"/>
  </si>
  <si>
    <t>ED2606-11-TO-KB-June-JA Batch-2</t>
    <phoneticPr fontId="5"/>
  </si>
  <si>
    <t>ED2607-07-TO-KB-July-JA Batch-2</t>
    <phoneticPr fontId="5"/>
  </si>
  <si>
    <t>16</t>
    <phoneticPr fontId="5"/>
  </si>
  <si>
    <t>ED2607-16-TO-KB-Data ai Connector-JA</t>
    <phoneticPr fontId="5"/>
  </si>
  <si>
    <t>Creating a project failed</t>
    <phoneticPr fontId="5"/>
  </si>
  <si>
    <t>17</t>
  </si>
  <si>
    <t>ED2607-17-TO-KB-Data ai Connector-JA</t>
    <phoneticPr fontId="5"/>
  </si>
  <si>
    <t>22</t>
    <phoneticPr fontId="5"/>
  </si>
  <si>
    <t>ED2607-22-TO-KB-Data ai Connector-JA Update</t>
    <phoneticPr fontId="5"/>
  </si>
  <si>
    <t>Test</t>
    <phoneticPr fontId="5"/>
  </si>
  <si>
    <t>ED2607-23-TO-KB-Data ai Connector-JATest</t>
    <phoneticPr fontId="5"/>
  </si>
  <si>
    <t>ED2607-23-TO-KB-Data ai Connector-JATest 2</t>
    <phoneticPr fontId="5"/>
  </si>
  <si>
    <t>ED2607-24-TO-KB-Data ai Connector-JATest 3</t>
    <phoneticPr fontId="5"/>
  </si>
  <si>
    <t>24</t>
    <phoneticPr fontId="5"/>
  </si>
  <si>
    <t>ED2606-11-TO-KB-June-JA Batch-4</t>
    <phoneticPr fontId="5"/>
  </si>
  <si>
    <t>TO-KB-June-JA Batch-4</t>
    <phoneticPr fontId="5"/>
  </si>
  <si>
    <t>ED2607-24-MH-KB-TO-KB-June-JA Batch-4-JA Update</t>
  </si>
  <si>
    <t>ED2607-24-MH-KB-TO-KB-June-JA Batch-2-JA Update</t>
  </si>
  <si>
    <t>ED2607-24-MH-KB-TO-KB-June-JA Batch-3-JA Update</t>
  </si>
  <si>
    <t>TO-KB-June-JA Batch-2</t>
    <phoneticPr fontId="5"/>
  </si>
  <si>
    <t>TO-KB-July-JA Batch-2</t>
    <phoneticPr fontId="5"/>
  </si>
  <si>
    <t>ED2607-24-MH-KB-TO-KB-July-JA Batch-2-JA Update</t>
  </si>
  <si>
    <t>ED2606-16-TO-KB-June-JA Batch-7</t>
    <phoneticPr fontId="5"/>
  </si>
  <si>
    <t>TO-KB-June-JA Batch-7</t>
    <phoneticPr fontId="5"/>
  </si>
  <si>
    <t>ED2607-24-MH-KB-TO-KB-June-JA Batch-7-JA Update</t>
  </si>
  <si>
    <t>TO-KB-June-JA Batch-3</t>
    <phoneticPr fontId="5"/>
  </si>
  <si>
    <t>Google Ad Manager Connector</t>
    <phoneticPr fontId="5"/>
  </si>
  <si>
    <t>July 2025 Release Notes - JA</t>
    <phoneticPr fontId="5"/>
  </si>
  <si>
    <t>ED2607-16-TO-KB-asana-Workbench Enterprise Implementation Guide-JA</t>
    <phoneticPr fontId="5"/>
  </si>
  <si>
    <t>Waited for ED2605-21-TO-KB-May-JA Batch-8</t>
    <phoneticPr fontId="5"/>
  </si>
  <si>
    <t>appdb admin user interface</t>
    <phoneticPr fontId="5"/>
  </si>
  <si>
    <t>Multi-Value Gauge</t>
    <phoneticPr fontId="5"/>
  </si>
  <si>
    <t>Use the (Legacy) Domo PowerPoint Plugin</t>
  </si>
  <si>
    <t>30</t>
    <phoneticPr fontId="5"/>
  </si>
  <si>
    <t>August urgent</t>
    <phoneticPr fontId="5"/>
  </si>
  <si>
    <t>000003005</t>
    <phoneticPr fontId="5"/>
  </si>
  <si>
    <t>ED2607-30-TO-KB-asana-August urgent-JA</t>
    <phoneticPr fontId="5"/>
  </si>
  <si>
    <t>Magic ETL Tiles: Text</t>
    <phoneticPr fontId="5"/>
  </si>
  <si>
    <t>&gt; Data Science Charts</t>
    <phoneticPr fontId="5"/>
  </si>
  <si>
    <t>Published -EN Draft</t>
    <phoneticPr fontId="5"/>
  </si>
  <si>
    <t>July 2025 Updated Release Notes - JA</t>
    <phoneticPr fontId="5"/>
  </si>
  <si>
    <t>Published with EN Draft</t>
  </si>
  <si>
    <t>Published with EN Draft</t>
    <phoneticPr fontId="5"/>
  </si>
  <si>
    <t>Domo on Dremio</t>
    <phoneticPr fontId="5"/>
  </si>
  <si>
    <t>000005150</t>
  </si>
  <si>
    <t>Data Selection in Magic ETL</t>
    <phoneticPr fontId="5"/>
  </si>
  <si>
    <t>Magic ETL v2 Scripting Tile Environments</t>
    <phoneticPr fontId="5"/>
  </si>
  <si>
    <t>000004086</t>
    <phoneticPr fontId="5"/>
  </si>
  <si>
    <t>PostgreSQL SSH Connector</t>
    <phoneticPr fontId="5"/>
  </si>
  <si>
    <t>000003883</t>
    <phoneticPr fontId="5"/>
  </si>
  <si>
    <t>Snowflake OAuth Unload V2 Connector</t>
    <phoneticPr fontId="5"/>
  </si>
  <si>
    <t>Variables | Overview</t>
    <phoneticPr fontId="5"/>
  </si>
  <si>
    <t>000004978</t>
    <phoneticPr fontId="5"/>
  </si>
  <si>
    <t>000004697</t>
    <phoneticPr fontId="5"/>
  </si>
  <si>
    <r>
      <t>Article/Link</t>
    </r>
    <r>
      <rPr>
        <sz val="11"/>
        <color rgb="FF000000"/>
        <rFont val="Calibri"/>
        <family val="2"/>
      </rPr>
      <t> </t>
    </r>
  </si>
  <si>
    <r>
      <t>1.</t>
    </r>
    <r>
      <rPr>
        <u/>
        <sz val="11"/>
        <color theme="10"/>
        <rFont val="游ゴシック"/>
        <family val="3"/>
        <charset val="128"/>
        <scheme val="minor"/>
      </rPr>
      <t>                      Domo on PostgreSQL: https://domo-support.domo.com/s/article/000005756?language=en_US </t>
    </r>
  </si>
  <si>
    <r>
      <t>2.</t>
    </r>
    <r>
      <rPr>
        <u/>
        <sz val="11"/>
        <color theme="10"/>
        <rFont val="游ゴシック"/>
        <family val="3"/>
        <charset val="128"/>
        <scheme val="minor"/>
      </rPr>
      <t>                      Domo on Amazon Athena: https://domo-support.domo.com/s/article/000005744?language=en_US </t>
    </r>
  </si>
  <si>
    <r>
      <t>3.</t>
    </r>
    <r>
      <rPr>
        <u/>
        <sz val="11"/>
        <color theme="10"/>
        <rFont val="游ゴシック"/>
        <family val="3"/>
        <charset val="128"/>
        <scheme val="minor"/>
      </rPr>
      <t>                      Combine Data tiles: https://domo-support.domo.com/s/article/360044876194?language=en_US </t>
    </r>
  </si>
  <si>
    <r>
      <t>4.</t>
    </r>
    <r>
      <rPr>
        <u/>
        <sz val="11"/>
        <color theme="10"/>
        <rFont val="游ゴシック"/>
        <family val="3"/>
        <charset val="128"/>
        <scheme val="minor"/>
      </rPr>
      <t>                      File Data Type &amp; Fileset Data Type: https://domo-support.domo.com/s/article/000005797?language=en_US#data_types  </t>
    </r>
  </si>
  <si>
    <r>
      <t>5.</t>
    </r>
    <r>
      <rPr>
        <u/>
        <sz val="11"/>
        <color theme="10"/>
        <rFont val="游ゴシック"/>
        <family val="3"/>
        <charset val="128"/>
        <scheme val="minor"/>
      </rPr>
      <t>                      Workflow AI Agent Task 2.0: https://domo-support.domo.com/s/article/000005865?language=en_US </t>
    </r>
  </si>
  <si>
    <t>NEW ARTICLE </t>
  </si>
  <si>
    <r>
      <t>6.</t>
    </r>
    <r>
      <rPr>
        <u/>
        <sz val="11"/>
        <color theme="10"/>
        <rFont val="游ゴシック"/>
        <family val="3"/>
        <charset val="128"/>
        <scheme val="minor"/>
      </rPr>
      <t>                      API Client Management: https://domo-support.domo.com/s/article/000005240?language=en_US </t>
    </r>
  </si>
  <si>
    <r>
      <t>7.</t>
    </r>
    <r>
      <rPr>
        <u/>
        <sz val="11"/>
        <color theme="10"/>
        <rFont val="游ゴシック"/>
        <family val="3"/>
        <charset val="128"/>
        <scheme val="minor"/>
      </rPr>
      <t>                      SSO Config: https://domo-support.domo.com/s/article/000005827?language=en_US </t>
    </r>
  </si>
  <si>
    <r>
      <t>8.</t>
    </r>
    <r>
      <rPr>
        <u/>
        <sz val="11"/>
        <color theme="10"/>
        <rFont val="游ゴシック"/>
        <family val="3"/>
        <charset val="128"/>
        <scheme val="minor"/>
      </rPr>
      <t>                      Roles: Allowlist: https://domo-support.domo.com/s/article/000005839?language=en_US </t>
    </r>
  </si>
  <si>
    <r>
      <t>9.</t>
    </r>
    <r>
      <rPr>
        <u/>
        <sz val="11"/>
        <color theme="10"/>
        <rFont val="游ゴシック"/>
        <family val="3"/>
        <charset val="128"/>
        <scheme val="minor"/>
      </rPr>
      <t>                      Data Refresh Permissions: https://domo-support.domo.com/s/article/000005492?language=en_US </t>
    </r>
  </si>
  <si>
    <r>
      <t>10.</t>
    </r>
    <r>
      <rPr>
        <u/>
        <sz val="11"/>
        <color theme="10"/>
        <rFont val="游ゴシック"/>
        <family val="3"/>
        <charset val="128"/>
        <scheme val="minor"/>
      </rPr>
      <t>                  Enable Window Functions in SQL Tiles: https://domo-support.domo.com/s/article/360044876874?language=en_US#sql_tile </t>
    </r>
  </si>
  <si>
    <r>
      <t>11.</t>
    </r>
    <r>
      <rPr>
        <u/>
        <sz val="11"/>
        <color theme="10"/>
        <rFont val="游ゴシック"/>
        <family val="3"/>
        <charset val="128"/>
        <scheme val="minor"/>
      </rPr>
      <t>                  Add Formula tile: https://domo-support.domo.com/s/article/360044876874?language=en_US </t>
    </r>
  </si>
  <si>
    <r>
      <t>12.</t>
    </r>
    <r>
      <rPr>
        <u/>
        <sz val="11"/>
        <color theme="10"/>
        <rFont val="游ゴシック"/>
        <family val="3"/>
        <charset val="128"/>
        <scheme val="minor"/>
      </rPr>
      <t>                  Writing Formulas in Magic ETL: https://domo-support.domo.com/s/article/360044258533?language=en_US </t>
    </r>
  </si>
  <si>
    <r>
      <t>13.</t>
    </r>
    <r>
      <rPr>
        <u/>
        <sz val="11"/>
        <color theme="10"/>
        <rFont val="游ゴシック"/>
        <family val="3"/>
        <charset val="128"/>
        <scheme val="minor"/>
      </rPr>
      <t>                  Filter Rows tile: https://domo-support.domo.com/s/article/360044876614?language=en_US </t>
    </r>
  </si>
  <si>
    <r>
      <t>14.</t>
    </r>
    <r>
      <rPr>
        <u/>
        <sz val="11"/>
        <color theme="10"/>
        <rFont val="游ゴシック"/>
        <family val="3"/>
        <charset val="128"/>
        <scheme val="minor"/>
      </rPr>
      <t>                  Group By tile: https://domo-support.domo.com/s/article/360044876094?language=en_US </t>
    </r>
  </si>
  <si>
    <r>
      <t>15.</t>
    </r>
    <r>
      <rPr>
        <u/>
        <sz val="11"/>
        <color theme="10"/>
        <rFont val="游ゴシック"/>
        <family val="3"/>
        <charset val="128"/>
        <scheme val="minor"/>
      </rPr>
      <t>                  SQL Tile: https://domo-support.domo.com/s/article/360044876874?language=en_US </t>
    </r>
  </si>
  <si>
    <r>
      <t>16.</t>
    </r>
    <r>
      <rPr>
        <u/>
        <sz val="11"/>
        <color theme="10"/>
        <rFont val="游ゴシック"/>
        <family val="3"/>
        <charset val="128"/>
        <scheme val="minor"/>
      </rPr>
      <t>                  Pass-Through SQL in Magic ETL: https://domo-support.domo.com/s/article/000005815?language=en_US </t>
    </r>
  </si>
  <si>
    <t>Admin Settings</t>
    <phoneticPr fontId="5"/>
  </si>
  <si>
    <t>19</t>
    <phoneticPr fontId="5"/>
  </si>
  <si>
    <t>Admin Settings</t>
    <phoneticPr fontId="5"/>
  </si>
  <si>
    <t>000003010</t>
    <phoneticPr fontId="5"/>
  </si>
  <si>
    <t>000004059</t>
  </si>
  <si>
    <t>Manage User Roles and Grants</t>
    <phoneticPr fontId="5"/>
  </si>
  <si>
    <t>First 5 Things to Do in Domo</t>
    <phoneticPr fontId="5"/>
  </si>
  <si>
    <t>000005878</t>
    <phoneticPr fontId="5"/>
  </si>
  <si>
    <t>Domo SSO</t>
    <phoneticPr fontId="5"/>
  </si>
  <si>
    <t>Setting Up Publication Groups</t>
    <phoneticPr fontId="5"/>
  </si>
  <si>
    <t>000004260</t>
    <phoneticPr fontId="5"/>
  </si>
  <si>
    <t>Submitting or Approving a Request</t>
    <phoneticPr fontId="5"/>
  </si>
  <si>
    <t>000003013</t>
    <phoneticPr fontId="5"/>
  </si>
  <si>
    <t>July 2025 Release Update</t>
  </si>
  <si>
    <t>ED2608-19-TO-App-July 2025 Release Update-JA</t>
    <phoneticPr fontId="5"/>
  </si>
  <si>
    <t>The ETL Interface for Creating DataFlows-CB</t>
  </si>
  <si>
    <t>Creating DataFlows in Magic ETL-CB</t>
  </si>
  <si>
    <t>Getting Started in Domo-CB</t>
  </si>
  <si>
    <t>The Domo Interface-CB</t>
  </si>
  <si>
    <t>July 2025 Release Update.docx</t>
    <phoneticPr fontId="5"/>
  </si>
  <si>
    <t>Total spent</t>
    <phoneticPr fontId="5"/>
  </si>
  <si>
    <t>Total balance</t>
    <phoneticPr fontId="5"/>
  </si>
  <si>
    <t>ED2608-19-MH-KB-Support-Admin Settings-JA Update</t>
    <phoneticPr fontId="5"/>
  </si>
  <si>
    <t>Dependency Gantt Chart</t>
    <phoneticPr fontId="5"/>
  </si>
  <si>
    <t>000004661</t>
    <phoneticPr fontId="5"/>
  </si>
  <si>
    <t>Group Management</t>
    <phoneticPr fontId="5"/>
  </si>
  <si>
    <t>000003032</t>
    <phoneticPr fontId="5"/>
  </si>
  <si>
    <t>ED2608-27-MH-KB-Support-Admin Settings-JA Update</t>
  </si>
  <si>
    <t>Migration</t>
    <phoneticPr fontId="5"/>
  </si>
  <si>
    <t>01</t>
    <phoneticPr fontId="5"/>
  </si>
  <si>
    <t>September</t>
    <phoneticPr fontId="5"/>
  </si>
  <si>
    <t xml:space="preserve"> Batch-1</t>
    <phoneticPr fontId="5"/>
  </si>
  <si>
    <t>ED2609-01-TO-KB-September-JA Batch-1</t>
  </si>
  <si>
    <t>ED2609-01-TO-KB-September-JA Batch-2</t>
  </si>
  <si>
    <t>ED2609-01-TO-KB-September-JA Batch-3</t>
  </si>
  <si>
    <t>ED2609-01-TO-KB-September-JA Batch-4</t>
  </si>
  <si>
    <t>Note:s still working on. Should be able to publish in the next week or two</t>
    <phoneticPr fontId="5"/>
  </si>
  <si>
    <t xml:space="preserve">	Set Up Domo on Oracle Cloud</t>
    <phoneticPr fontId="5"/>
  </si>
  <si>
    <t>ED2609-01-TO-KB-September-JA Batch-1</t>
    <phoneticPr fontId="5"/>
  </si>
  <si>
    <t>ED2609-01-TO-KB-September-JA Batch-3</t>
    <phoneticPr fontId="5"/>
  </si>
  <si>
    <t>ED2609-01-TO-KB-September-JA Batch-4</t>
    <phoneticPr fontId="5"/>
  </si>
  <si>
    <t>ED2609-01-TO-KB-asana-September-JA</t>
    <phoneticPr fontId="5"/>
  </si>
  <si>
    <t>ED2609-01-TO-KB-Support-September-JA</t>
    <phoneticPr fontId="5"/>
  </si>
  <si>
    <t>September 2025 Release Notes - JA</t>
    <phoneticPr fontId="5"/>
  </si>
  <si>
    <t>September 2025 Release Notes - JA</t>
    <phoneticPr fontId="5"/>
  </si>
  <si>
    <t>ED2609-18-TO-KB-Release-September 2025 Release Notes - JA-JA</t>
  </si>
  <si>
    <t xml:space="preserve">
000005899</t>
    <phoneticPr fontId="5"/>
  </si>
  <si>
    <t>Use the (Legacy) Domo Excel Plugin</t>
    <phoneticPr fontId="5"/>
  </si>
  <si>
    <t>Use the (Legacy) Domo Word Plugin</t>
    <phoneticPr fontId="5"/>
  </si>
  <si>
    <t>000004256</t>
    <phoneticPr fontId="5"/>
  </si>
  <si>
    <t xml:space="preserve"> Batch-5</t>
    <phoneticPr fontId="5"/>
  </si>
  <si>
    <t>ED2609-19-TO-KB-September-JA Batch-5</t>
  </si>
  <si>
    <t>ED2609-19-TO-KB-September-JA Batch-6</t>
  </si>
  <si>
    <t>25</t>
    <phoneticPr fontId="5"/>
  </si>
  <si>
    <t>September 2025 Release Update</t>
    <phoneticPr fontId="5"/>
  </si>
  <si>
    <t>ED2609-25-TO-App-September 2025 Release Update-JA</t>
  </si>
  <si>
    <t>September 2025 Course Description.docx</t>
  </si>
  <si>
    <t>Release related: $9301.54</t>
    <phoneticPr fontId="5"/>
  </si>
  <si>
    <t>Release related: $1194.04</t>
    <phoneticPr fontId="5"/>
  </si>
  <si>
    <t>MongoDB Writeback Connector</t>
    <phoneticPr fontId="5"/>
  </si>
  <si>
    <t>NetSuite Writeback Connector</t>
    <phoneticPr fontId="5"/>
  </si>
  <si>
    <t>JIRA On Prem Writebackコネクター</t>
  </si>
  <si>
    <t>000005760</t>
  </si>
  <si>
    <t>JSON Advanced Writeback Connector</t>
  </si>
  <si>
    <t>000005715</t>
  </si>
  <si>
    <t>SharePoint Online Writebackコネクター</t>
  </si>
  <si>
    <t>Azure Data Lake Gen2 OAuth Writebackコネクター</t>
  </si>
  <si>
    <t>BigCommerce Writeback Connector</t>
  </si>
  <si>
    <t>000005516</t>
  </si>
  <si>
    <t>DomoのWritebackコネクターのリスト</t>
  </si>
  <si>
    <t>WorkbenchのODBCへのライトバック機能</t>
  </si>
  <si>
    <t>ADLS Gen 2 OAuth Writebackコネクター</t>
  </si>
  <si>
    <t>000005178</t>
  </si>
  <si>
    <t>Google Sheets Writeback Workload Identity Federation Connector</t>
  </si>
  <si>
    <t>000005169</t>
  </si>
  <si>
    <t>Build Your Own Writeback Connector</t>
  </si>
  <si>
    <t>独自のライトバックコネクターの作成</t>
  </si>
  <si>
    <t>000004628</t>
  </si>
  <si>
    <t>Power BI AAD Writeback Connector</t>
  </si>
  <si>
    <t>Microsoft Azure Data Lake Gen2 AAD Writebackコネクター</t>
  </si>
  <si>
    <t>000004005</t>
  </si>
  <si>
    <t>Snowflake Key Pair Authentication Writebackコネクター</t>
  </si>
  <si>
    <t>Workfront Writebackコネクター</t>
  </si>
  <si>
    <t>000003994</t>
  </si>
  <si>
    <t>MySQL SSH Writebackコネクター</t>
  </si>
  <si>
    <t>000004002</t>
  </si>
  <si>
    <t>Snowflake OAuth Writebackコネクター</t>
  </si>
  <si>
    <t>000003999</t>
  </si>
  <si>
    <t>Power BI Writebackコネクター</t>
  </si>
  <si>
    <t>000004001</t>
  </si>
  <si>
    <t>Amazon Redshift SSH Writebackコネクター</t>
  </si>
  <si>
    <t>Google BigQuery Enterprise OAuth Writebackコネクター</t>
  </si>
  <si>
    <t>000003997</t>
  </si>
  <si>
    <t>Enabling Writeback Connectors</t>
  </si>
  <si>
    <t>Writebackコネクターを有効にする</t>
  </si>
  <si>
    <t>000004532</t>
  </si>
  <si>
    <t>Firebase Writeback Connector</t>
  </si>
  <si>
    <t>000004038</t>
  </si>
  <si>
    <t>Google Drive Writeback Connector</t>
  </si>
  <si>
    <t>000004037</t>
  </si>
  <si>
    <t>Google Drive Enterprise Writeback Connector</t>
  </si>
  <si>
    <t>Google Drive Enterprise Writebackコネクター</t>
  </si>
  <si>
    <t>000004040</t>
  </si>
  <si>
    <t>Azure Blob Storage Writeback Connector</t>
  </si>
  <si>
    <t>Microsoft Azure Blob Storage Writeback Connector</t>
  </si>
  <si>
    <t>000004036</t>
  </si>
  <si>
    <t>JSON Post Writeback Connector</t>
  </si>
  <si>
    <t>000004032</t>
  </si>
  <si>
    <t>Google Sheets Writebackコネクター</t>
  </si>
  <si>
    <t>000004035</t>
  </si>
  <si>
    <t>MariaDB Writeback Connector</t>
  </si>
  <si>
    <t>000004033</t>
  </si>
  <si>
    <t>Marketo Writeback Connector</t>
  </si>
  <si>
    <t>Marketo Writebackコネクター</t>
  </si>
  <si>
    <t>000004012</t>
  </si>
  <si>
    <t>DHL Writeback Connector</t>
  </si>
  <si>
    <t>DHL Writebackコネクター</t>
  </si>
  <si>
    <t>000004016</t>
  </si>
  <si>
    <t>Splunk Writebackコネクター</t>
  </si>
  <si>
    <t>000003992</t>
  </si>
  <si>
    <t>Databricks AWS Writebackコネクター</t>
  </si>
  <si>
    <t>000003989</t>
  </si>
  <si>
    <t>000003987</t>
  </si>
  <si>
    <t>Microsoft SQL Server Writebackコネクター</t>
  </si>
  <si>
    <t>MySQL Advanced Writebackコネクター</t>
  </si>
  <si>
    <t>000003985</t>
  </si>
  <si>
    <t>data.world Writebackコネクター</t>
  </si>
  <si>
    <t>000003990</t>
  </si>
  <si>
    <t>Emarsys Sales Writeback Connector</t>
  </si>
  <si>
    <t>000003984</t>
  </si>
  <si>
    <t>Emarsys Contacts Writeback Connector</t>
  </si>
  <si>
    <t>000003991</t>
  </si>
  <si>
    <t>Outreach Writeback Connector</t>
  </si>
  <si>
    <t>000004024</t>
  </si>
  <si>
    <t>NetSuite Writeback Connector</t>
  </si>
  <si>
    <t>NetSuite Writebackコネクター</t>
  </si>
  <si>
    <t>000004023</t>
  </si>
  <si>
    <t>Oracle Database Writeback Connector</t>
  </si>
  <si>
    <t>000004027</t>
  </si>
  <si>
    <t>000004028</t>
  </si>
  <si>
    <t>Microsoft SQL Writebackコネクター</t>
  </si>
  <si>
    <t>000004029</t>
  </si>
  <si>
    <t>MySQL Writebackコネクター</t>
  </si>
  <si>
    <t>000004022</t>
  </si>
  <si>
    <t>Microsoft OneDrive Writebackコネクター</t>
  </si>
  <si>
    <t>000004030</t>
  </si>
  <si>
    <t>SFTP Writebackコネクター</t>
  </si>
  <si>
    <t>000004025</t>
  </si>
  <si>
    <t>Salesforce Writebackコネクター</t>
  </si>
  <si>
    <t>000004018</t>
  </si>
  <si>
    <t>Smartsheet Writeback Connector</t>
  </si>
  <si>
    <t>Smartsheet Writebackコネクター</t>
  </si>
  <si>
    <t>000004019</t>
  </si>
  <si>
    <t>Workiva Writeback Connector</t>
  </si>
  <si>
    <t>000004021</t>
  </si>
  <si>
    <t>FedEx Writeback Connector</t>
  </si>
  <si>
    <t>000004020</t>
  </si>
  <si>
    <t>Label Traxx Writebackコネクター</t>
  </si>
  <si>
    <t>000004010</t>
  </si>
  <si>
    <t>Amazon S3 AssumeRole Writeback Connector</t>
  </si>
  <si>
    <t>Amazon S3 AssumeRole Writebackコネクター</t>
  </si>
  <si>
    <t>Azure DataLake Gen2 SAS Token Writeback Connector</t>
  </si>
  <si>
    <t>Microsoft Azure Data Lake Gen2 SAS Token Writebackコネクター</t>
  </si>
  <si>
    <t>000004011</t>
  </si>
  <si>
    <t>Azure Data Lake Storage Gen2 WriteBack</t>
  </si>
  <si>
    <t>Microsoft Azure Data Lake Gen2 Writebackコネクター</t>
  </si>
  <si>
    <t>000004013</t>
  </si>
  <si>
    <t>Google Sheets Enterprise WriteBack Connector</t>
  </si>
  <si>
    <t>GoogleスプレッドシートEnterprise Writebackコネクター</t>
  </si>
  <si>
    <t>000004008</t>
  </si>
  <si>
    <t>HL7 Writeback Connector</t>
  </si>
  <si>
    <t>000004007</t>
  </si>
  <si>
    <t>Amazon Aurora Writeback Connector</t>
  </si>
  <si>
    <t>000004044</t>
  </si>
  <si>
    <t>Box Writebackコネクター</t>
  </si>
  <si>
    <t>Amazon S3 Writebackコネクター</t>
  </si>
  <si>
    <t>Dropbox Writeback Connector</t>
  </si>
  <si>
    <t>000004050</t>
  </si>
  <si>
    <t>Eloqua Writebackコネクター</t>
  </si>
  <si>
    <t>Amazon Redshift Writeback Connector</t>
  </si>
  <si>
    <t>000004047</t>
  </si>
  <si>
    <t>Power BI MSAL Writeback Connector</t>
    <phoneticPr fontId="5"/>
  </si>
  <si>
    <t>MySQL Writeback Connector</t>
    <phoneticPr fontId="5"/>
  </si>
  <si>
    <t>000004015</t>
    <phoneticPr fontId="5"/>
  </si>
  <si>
    <t>Visualize Data in Domo</t>
    <phoneticPr fontId="5"/>
  </si>
  <si>
    <t>02</t>
    <phoneticPr fontId="5"/>
  </si>
  <si>
    <t>ED2610-02-TO-KB-Visualize Data in Domo-JA</t>
  </si>
  <si>
    <t>Visualize Data in Domo.txt</t>
    <phoneticPr fontId="5"/>
  </si>
  <si>
    <t>The article not found anymore</t>
    <phoneticPr fontId="5"/>
  </si>
  <si>
    <t>https://domo-support.domo.com/s/topic/0TO5w000000ZamoGAC/visualize-data-in-domo?language=ja</t>
    <phoneticPr fontId="5"/>
  </si>
  <si>
    <t>KB category. Waiting for the page update</t>
    <phoneticPr fontId="5"/>
  </si>
  <si>
    <t>October</t>
    <phoneticPr fontId="5"/>
  </si>
  <si>
    <t xml:space="preserve"> Batch-1</t>
    <phoneticPr fontId="5"/>
  </si>
  <si>
    <t>ED2610-06-TO-KB-October-JA Batch-1</t>
  </si>
  <si>
    <t>ED2610-06-TO-KB-October-JA Batch-2</t>
  </si>
  <si>
    <t>ED2610-06-TO-KB-October-JA Batch-3</t>
  </si>
  <si>
    <t>ED2610-06-TO-KB-October-JA Batch-4</t>
  </si>
  <si>
    <t>ED2610-06-TO-KB-October-JA Batch-5</t>
  </si>
  <si>
    <t>ED2610-06-TO-KB-October-JA Batch-1</t>
    <phoneticPr fontId="5"/>
  </si>
  <si>
    <t>ED2610-06-TO-KB-October-JA Batch-6</t>
  </si>
  <si>
    <t>ED2610-06-TO-KB-October-JA Batch-2</t>
    <phoneticPr fontId="5"/>
  </si>
  <si>
    <t>ED2610-07-TO-KB-October-JA Batch-7</t>
  </si>
  <si>
    <t>zh-CN</t>
  </si>
  <si>
    <t>Domoガイドブック</t>
    <phoneticPr fontId="5"/>
  </si>
  <si>
    <t>https://domo-custom-training-jp.domo.com/page/383675890</t>
    <phoneticPr fontId="5"/>
  </si>
  <si>
    <t>ED2610-08-TO-Document-Domoガイドブック-zh-CN</t>
    <phoneticPr fontId="5"/>
  </si>
  <si>
    <t xml:space="preserve"> Batch-8</t>
    <phoneticPr fontId="5"/>
  </si>
  <si>
    <t>ED2610-09-TO-KB-October-JA Batch-8</t>
  </si>
  <si>
    <t>ED2610-09-TO-KB-October-JA Batch-9</t>
  </si>
  <si>
    <t>ED2610-09-TO-KB-October-JA Batch-10</t>
  </si>
  <si>
    <t>ED2610-09-TO-KB-October-JA Batch-11</t>
  </si>
  <si>
    <t>ED2610-09-TO-KB-October-JA Batch-12</t>
  </si>
  <si>
    <t xml:space="preserve"> Batch-11</t>
  </si>
  <si>
    <t xml:space="preserve"> Batch-12</t>
  </si>
  <si>
    <t>ED2610-09-TO-KB-October-JA Batch-12</t>
    <phoneticPr fontId="5"/>
  </si>
  <si>
    <t>ED2610-09-TO-KB-October-JA Batch-9</t>
    <phoneticPr fontId="5"/>
  </si>
  <si>
    <t>ED2610-09-TO-KB-October-JA Batch-11</t>
    <phoneticPr fontId="5"/>
  </si>
  <si>
    <t>Meltwater Connector</t>
    <phoneticPr fontId="5"/>
  </si>
  <si>
    <t>000003279</t>
    <phoneticPr fontId="5"/>
  </si>
  <si>
    <t>Sysomos Heartbeat Connector</t>
    <phoneticPr fontId="5"/>
  </si>
  <si>
    <t>000003699</t>
    <phoneticPr fontId="5"/>
  </si>
  <si>
    <t>Sysomos Connector</t>
    <phoneticPr fontId="5"/>
  </si>
  <si>
    <t>000003537</t>
    <phoneticPr fontId="5"/>
  </si>
  <si>
    <t>000004025</t>
    <phoneticPr fontId="5"/>
  </si>
  <si>
    <t>Amazon S3 Writeback Connector</t>
    <phoneticPr fontId="5"/>
  </si>
  <si>
    <t>000004042</t>
    <phoneticPr fontId="5"/>
  </si>
  <si>
    <t>Smartsheet Writeback Connector</t>
    <phoneticPr fontId="5"/>
  </si>
  <si>
    <t>000004019</t>
    <phoneticPr fontId="5"/>
  </si>
  <si>
    <t>Snowflake OAuth Writeback Connector</t>
    <phoneticPr fontId="5"/>
  </si>
  <si>
    <t>Slideshows Overview</t>
    <phoneticPr fontId="5"/>
  </si>
  <si>
    <t xml:space="preserve"> Batch-13</t>
    <phoneticPr fontId="5"/>
  </si>
  <si>
    <t>ED2610-16-TO-KB-October-JA Batch-13</t>
  </si>
  <si>
    <t>ED2610-16-TO-KB-October-JA Batch-14</t>
  </si>
  <si>
    <t xml:space="preserve"> Batch-14</t>
    <phoneticPr fontId="5"/>
  </si>
  <si>
    <t xml:space="preserve">Total: FY25: $136K FY26: $147K - 8% increase YoY </t>
    <phoneticPr fontId="5"/>
  </si>
  <si>
    <t>Understanding Cards</t>
    <phoneticPr fontId="5"/>
  </si>
  <si>
    <t>Conductor Searchlight Connector</t>
  </si>
  <si>
    <t>000003786</t>
  </si>
  <si>
    <t>Seismic Direct Sign-Onコネクター</t>
  </si>
  <si>
    <t>000003189</t>
  </si>
  <si>
    <t>Exporting Dashboards to PDF or PowerPoint</t>
  </si>
  <si>
    <t>000004045</t>
  </si>
  <si>
    <t>Creating and Importing CourseBuilder Apps</t>
  </si>
  <si>
    <t>000004500</t>
  </si>
  <si>
    <t>Setting Up Direct Upload in Workbench 5</t>
  </si>
  <si>
    <t>000004829</t>
  </si>
  <si>
    <t>Changing the Font Size in Your Chart</t>
  </si>
  <si>
    <t>000005042</t>
  </si>
  <si>
    <t>Oracle CRM on Demand Connector</t>
  </si>
  <si>
    <t>000003494</t>
  </si>
  <si>
    <t>Gantt Chart</t>
  </si>
  <si>
    <t>000004714</t>
  </si>
  <si>
    <t>Grouped and Stacked Bar Chart</t>
  </si>
  <si>
    <t>000004710</t>
  </si>
  <si>
    <t>Grouped Bar Chart</t>
  </si>
  <si>
    <t>000004713</t>
  </si>
  <si>
    <t>Grouped Bar with Line Chart</t>
  </si>
  <si>
    <t>000004711</t>
  </si>
  <si>
    <t>Grouped and Stacked Bar with Line Chart</t>
  </si>
  <si>
    <t>000004712</t>
  </si>
  <si>
    <t>000004752</t>
  </si>
  <si>
    <t>Candlestick Chart</t>
  </si>
  <si>
    <t>000004758</t>
  </si>
  <si>
    <t>000004183</t>
  </si>
  <si>
    <t>HealthData Connector</t>
  </si>
  <si>
    <t>HealthDataコネクター</t>
  </si>
  <si>
    <t>000003237</t>
  </si>
  <si>
    <t>Square Multi Account Connector</t>
  </si>
  <si>
    <t>Square Multi Accountコネクター</t>
  </si>
  <si>
    <t>000003233</t>
  </si>
  <si>
    <t>Pipeline Velocity App</t>
  </si>
  <si>
    <t>パイプライン速度App</t>
  </si>
  <si>
    <t>000004179</t>
  </si>
  <si>
    <t>OfficeRnDコネクター</t>
  </si>
  <si>
    <t>000003183</t>
  </si>
  <si>
    <t>Asana Personal Access Tokenコネクター</t>
  </si>
  <si>
    <t>000003190</t>
  </si>
  <si>
    <t>Connecting to SAP BW in Domo</t>
  </si>
  <si>
    <t>DomoでSAP BWに接続する</t>
  </si>
  <si>
    <t>000003164</t>
  </si>
  <si>
    <t>Apple News Publisher Connector</t>
  </si>
  <si>
    <t>Apple News Publisherコネクター</t>
  </si>
  <si>
    <t>000003807</t>
  </si>
  <si>
    <t>Silverpopコネクター</t>
  </si>
  <si>
    <t>000003712</t>
  </si>
  <si>
    <t>Category Scatter Chart</t>
  </si>
  <si>
    <t>層別散布図</t>
  </si>
  <si>
    <t>000004727</t>
  </si>
  <si>
    <t>Tree Map</t>
  </si>
  <si>
    <t>ツリーマップ</t>
  </si>
  <si>
    <t>000004668</t>
  </si>
  <si>
    <t>パブリケーショングループとユーザー：厳密に限定的ではないプライマー</t>
  </si>
  <si>
    <t>000004259</t>
  </si>
  <si>
    <t>JSON Connector with Custom Parsing</t>
  </si>
  <si>
    <t>カスタム解析を使用したJSONコネクター</t>
  </si>
  <si>
    <t>000003926</t>
  </si>
  <si>
    <t>Microsoft Excel SFTP Connector</t>
  </si>
  <si>
    <t>000003930</t>
  </si>
  <si>
    <t>Microsoft Excel コネクター</t>
  </si>
  <si>
    <t>000003931</t>
  </si>
  <si>
    <t>Microsoft Excel SFTP Push Connector</t>
  </si>
  <si>
    <t>000003927</t>
  </si>
  <si>
    <t>Setting User-Specific Landing Pages</t>
  </si>
  <si>
    <t>ユーザー固有のランディングページを設定する</t>
  </si>
  <si>
    <t>000004327</t>
  </si>
  <si>
    <t>000003337</t>
  </si>
  <si>
    <t>Advanced Tools Launch Center</t>
  </si>
  <si>
    <t>Advanced Tools Launchセンター</t>
  </si>
  <si>
    <t>000004890</t>
  </si>
  <si>
    <t>Strava Connector</t>
  </si>
  <si>
    <t>000003344</t>
  </si>
  <si>
    <t>Area Overlay Chart</t>
  </si>
  <si>
    <t>面オーバーレイグラフ</t>
  </si>
  <si>
    <t>000004741</t>
  </si>
  <si>
    <t>Amazon AQUA Connector</t>
  </si>
  <si>
    <t>Amazon AQUAコネクター</t>
  </si>
  <si>
    <t>000003259</t>
  </si>
  <si>
    <t>Microsoft Teams Webhook Connector</t>
  </si>
  <si>
    <t>Microsoft Teams Webhookコネクター</t>
  </si>
  <si>
    <t>000003257</t>
  </si>
  <si>
    <t>Bullet Chart</t>
  </si>
  <si>
    <t>ブレットチャート</t>
  </si>
  <si>
    <t>000004742</t>
  </si>
  <si>
    <t>Exporting Embedded Content</t>
  </si>
  <si>
    <t>組み込みコンテンツのエクスポート</t>
  </si>
  <si>
    <t>000004248</t>
  </si>
  <si>
    <t>Why Use CourseBuilder?</t>
  </si>
  <si>
    <t>CourseBuilderを使用する理由</t>
  </si>
  <si>
    <t>000004502</t>
  </si>
  <si>
    <t>Installing CourseBuilder</t>
  </si>
  <si>
    <t>CourseBuilderをインストールする</t>
  </si>
  <si>
    <t>000004503</t>
  </si>
  <si>
    <t>CourseBuilder FAQs</t>
  </si>
  <si>
    <t>CourseBuilderに関するよくある質問</t>
  </si>
  <si>
    <t>000004499</t>
  </si>
  <si>
    <t>Understanding the CourseBuilder Layout</t>
  </si>
  <si>
    <t>CourseBuilderのレイアウトについて</t>
  </si>
  <si>
    <t>000004501</t>
  </si>
  <si>
    <t>Best Practices for Using CourseBuilder</t>
  </si>
  <si>
    <t>CourseBuilderの使用に関するベストプラクティス</t>
  </si>
  <si>
    <t>000004504</t>
  </si>
  <si>
    <t>Jobvite Connector</t>
  </si>
  <si>
    <t>000003638</t>
  </si>
  <si>
    <t>Managing Your Personal Photos</t>
  </si>
  <si>
    <t>個人写真を管理する</t>
  </si>
  <si>
    <t>000004390</t>
  </si>
  <si>
    <t>Amazon CloudWatch Connector</t>
  </si>
  <si>
    <t>Amazon CloudWatchコネクター</t>
  </si>
  <si>
    <t>000003600</t>
  </si>
  <si>
    <t>Sumo Logic Connector</t>
  </si>
  <si>
    <t>Sumo Logicコネクター</t>
  </si>
  <si>
    <t>000003555</t>
  </si>
  <si>
    <t>XY Line Chart</t>
  </si>
  <si>
    <t>XY 折れ線グラフ</t>
  </si>
  <si>
    <t>000004663</t>
  </si>
  <si>
    <t>Splunk Connector</t>
  </si>
  <si>
    <t>Splunkコネクター</t>
  </si>
  <si>
    <t>000003552</t>
  </si>
  <si>
    <t>Downloading a Document from Domo</t>
  </si>
  <si>
    <t>Domo からドキュメントをダウンロードする</t>
  </si>
  <si>
    <t>000004104</t>
  </si>
  <si>
    <t>Updating a Doc Card</t>
  </si>
  <si>
    <t>Doc Cardを更新する</t>
  </si>
  <si>
    <t>000004108</t>
  </si>
  <si>
    <t>Deleting a Document Version</t>
  </si>
  <si>
    <t>ドキュメントのバージョンを削除する</t>
  </si>
  <si>
    <t>000004103</t>
  </si>
  <si>
    <t>Opening a Sumo Card for Editing</t>
  </si>
  <si>
    <t>Sumoカードを開いて編集する</t>
  </si>
  <si>
    <t>000004118</t>
  </si>
  <si>
    <t>Previewing a Document</t>
  </si>
  <si>
    <t>ドキュメントをプレビューする</t>
  </si>
  <si>
    <t>000004102</t>
  </si>
  <si>
    <t>Workbench 5 Security Options</t>
  </si>
  <si>
    <t>Workbenchのセキュリティオプション</t>
  </si>
  <si>
    <t>000004811</t>
  </si>
  <si>
    <t>Building Custom Connectors in Domo</t>
  </si>
  <si>
    <t>Domoでのカスタムコネクタの作成</t>
  </si>
  <si>
    <t>000004627</t>
  </si>
  <si>
    <t>Understanding the Data Table in Analyzer</t>
  </si>
  <si>
    <t>Analyzerのデータ表について</t>
  </si>
  <si>
    <t>000004631</t>
  </si>
  <si>
    <t>GinzaMetrics Connector</t>
  </si>
  <si>
    <t>GinzaMetricsコネクター</t>
  </si>
  <si>
    <t>000003305</t>
  </si>
  <si>
    <t>DataFlow and DataFusion Troubleshooting and FAQs</t>
  </si>
  <si>
    <t>DataFlowとDataFusionのトラブルシューティングとよくある質問</t>
  </si>
  <si>
    <t>000004614</t>
  </si>
  <si>
    <t>Microsoft Word Connector</t>
  </si>
  <si>
    <t>Microsoft Wordコネクター</t>
  </si>
  <si>
    <t>000003921</t>
  </si>
  <si>
    <t>Microsoft Project Online Connector</t>
  </si>
  <si>
    <t>Microsoft Project Onlineコネクター</t>
  </si>
  <si>
    <t>000003277</t>
  </si>
  <si>
    <t>Brandwatch Connector</t>
  </si>
  <si>
    <t>000003545</t>
  </si>
  <si>
    <t>Yammer Connector</t>
  </si>
  <si>
    <t>000003445</t>
  </si>
  <si>
    <t>Dropbox for Business Connector</t>
  </si>
  <si>
    <t>000003439</t>
  </si>
  <si>
    <t>Adobe Sign Connector</t>
  </si>
  <si>
    <t>Adobe Signコネクター</t>
  </si>
  <si>
    <t>000003437</t>
  </si>
  <si>
    <t>Scheduler App</t>
  </si>
  <si>
    <t>000004126</t>
  </si>
  <si>
    <t>Backing Up Workbench 4 Jobs</t>
  </si>
  <si>
    <t>Workbench 4 のジョブをバックアップする</t>
  </si>
  <si>
    <t>000004785</t>
  </si>
  <si>
    <t>Adding an Account in Workbench 4</t>
  </si>
  <si>
    <t>Workbench 4 でアカウントを追加する</t>
  </si>
  <si>
    <t>000004789</t>
  </si>
  <si>
    <t>Connecting to CSV Data in Workbench 4</t>
  </si>
  <si>
    <t>Workbench 4でCSVデータに接続する</t>
  </si>
  <si>
    <t>000004781</t>
  </si>
  <si>
    <t>Connecting to an OLAP Cube in Workbench 4</t>
  </si>
  <si>
    <t>Workbench 4 で OLAP キューブに接続する</t>
  </si>
  <si>
    <t>000004786</t>
  </si>
  <si>
    <t>Setting Notifications in Workbench 4</t>
  </si>
  <si>
    <t>Workbench 4 で通知を設定する</t>
  </si>
  <si>
    <t>000004784</t>
  </si>
  <si>
    <t>Creating a Schedule Group in Workbench 4</t>
  </si>
  <si>
    <t>Workbench 4 でスケジュールグループを作成する</t>
  </si>
  <si>
    <t>000004787</t>
  </si>
  <si>
    <t>Managing Plugins in Workbench 4</t>
  </si>
  <si>
    <t>Workbench 4でプラグインを管理する</t>
  </si>
  <si>
    <t>000004780</t>
  </si>
  <si>
    <t>Creating a Job for Uploading Data Using Workbench 4</t>
  </si>
  <si>
    <t>Workbench 4 でデータアップロードのジョブを作成する</t>
  </si>
  <si>
    <t>000004788</t>
  </si>
  <si>
    <t>招待されたユーザーのための許可ドメインを指定する</t>
  </si>
  <si>
    <t>000003023</t>
  </si>
  <si>
    <t>Connecting to Excel Data in Workbench 4</t>
  </si>
  <si>
    <t>Workbench 4でExcelデータに接続する</t>
  </si>
  <si>
    <t>000004783</t>
  </si>
  <si>
    <t>Stacked Bar with Line Chart</t>
  </si>
  <si>
    <t>積上げ棒＋折れ線チャート</t>
  </si>
  <si>
    <t>000004748</t>
  </si>
  <si>
    <t>Domoにユーザーライセンスを追加する</t>
  </si>
  <si>
    <t>100 Percent Stacked Bar with Line Chart</t>
  </si>
  <si>
    <t>100%積上げ棒チャート＋折れ線チャート</t>
  </si>
  <si>
    <t>000004747</t>
  </si>
  <si>
    <t>Stacked Bar Chart</t>
  </si>
  <si>
    <t>積上げ棒チャート</t>
  </si>
  <si>
    <t>000004749</t>
  </si>
  <si>
    <t>ログイン画面のユーザー名のオートコンプリートを無効にする</t>
  </si>
  <si>
    <t>000003019</t>
  </si>
  <si>
    <t>キャンペーンで日付や日時形式のタグを作成する方法</t>
  </si>
  <si>
    <t>000004129</t>
  </si>
  <si>
    <t>営業日による日付の差</t>
  </si>
  <si>
    <t>000004604</t>
  </si>
  <si>
    <t>Amazon Aurora Partition Connector</t>
  </si>
  <si>
    <t>Amazon Aurora Partitionコネクター</t>
  </si>
  <si>
    <t>000003975</t>
  </si>
  <si>
    <t>MySQL Partition Connector</t>
  </si>
  <si>
    <t>MySQLパーティションコネクター</t>
  </si>
  <si>
    <t>000003974</t>
  </si>
  <si>
    <t>MongoDB Partitionコネクター</t>
  </si>
  <si>
    <t>000003959</t>
  </si>
  <si>
    <t>Oracle Database Partition Connector</t>
  </si>
  <si>
    <t>Oracle Databaseパーティションコネクター</t>
  </si>
  <si>
    <t>000003979</t>
  </si>
  <si>
    <t>PostgreSQL Partition Connector</t>
  </si>
  <si>
    <t>PostgreSQLパーティションコネクター</t>
  </si>
  <si>
    <t>000003982</t>
  </si>
  <si>
    <t>Sybase Partition Connector</t>
  </si>
  <si>
    <t>Sybaseパーティションコネクター</t>
  </si>
  <si>
    <t>000003973</t>
  </si>
  <si>
    <t>IBM DB2パーティションコネクター</t>
  </si>
  <si>
    <t>000003976</t>
  </si>
  <si>
    <t>Dropbox File Connector</t>
  </si>
  <si>
    <t>Dropbox Fileコネクター</t>
  </si>
  <si>
    <t>000003939</t>
  </si>
  <si>
    <t>CSV Upload Connector</t>
  </si>
  <si>
    <t>CSVアップロードコネクター</t>
  </si>
  <si>
    <t>000003943</t>
  </si>
  <si>
    <t>Previewing and Exporting Your CourseBuilder App</t>
  </si>
  <si>
    <t>CourseBuilder Appのプレビューとエクスポートを実行する</t>
  </si>
  <si>
    <t>000004495</t>
  </si>
  <si>
    <t>Customizing or Branding Your CourseBuilder App</t>
  </si>
  <si>
    <t>CourseBuilder Appをカスタマイズ、ブランディングする</t>
  </si>
  <si>
    <t>000004496</t>
  </si>
  <si>
    <t>Removing White Space from Text Strings</t>
  </si>
  <si>
    <t>テキスト文字列から余白を削除する</t>
  </si>
  <si>
    <t>000004594</t>
  </si>
  <si>
    <t>Excel to Domo Matrix（EDM）</t>
  </si>
  <si>
    <t>000004591</t>
  </si>
  <si>
    <t>Easy Indexing</t>
  </si>
  <si>
    <t>簡単なインデックス作成</t>
  </si>
  <si>
    <t>000004596</t>
  </si>
  <si>
    <t>Running Total Line Chart</t>
  </si>
  <si>
    <t>折れ線グラフ（累計）</t>
  </si>
  <si>
    <t>000004702</t>
  </si>
  <si>
    <t>Running Total Stacked Bar Chart</t>
  </si>
  <si>
    <t>積上げ縦棒グラフ（累計）</t>
  </si>
  <si>
    <t>000004705</t>
  </si>
  <si>
    <t>DataFusionパフォーマンス推奨</t>
  </si>
  <si>
    <t>000004567</t>
  </si>
  <si>
    <t>Copying a DataFlow</t>
  </si>
  <si>
    <t>DataFlowをコピーする</t>
  </si>
  <si>
    <t>000004561</t>
  </si>
  <si>
    <t>Configuring Notifications for Failed DataFlows</t>
  </si>
  <si>
    <t>不正なDataFlowの通知を設定する</t>
  </si>
  <si>
    <t>000004563</t>
  </si>
  <si>
    <t>Updating Your Workbench 5.1</t>
  </si>
  <si>
    <t>Workbench 5.1を更新する</t>
  </si>
  <si>
    <t>000004844</t>
  </si>
  <si>
    <t>Scheduling a Job in Workbench 5.1</t>
  </si>
  <si>
    <t>Workbench 5.1でジョブをスケジューリングする</t>
  </si>
  <si>
    <t>000004876</t>
  </si>
  <si>
    <t>Encrypting, Decrypting, and Hashing Workbench 5 Data</t>
  </si>
  <si>
    <t>Workbench 5データの暗号化、復号、ハッシングを行う</t>
  </si>
  <si>
    <t>000004834</t>
  </si>
  <si>
    <t>Setting the Time Zone for a Workbench 5 Job</t>
  </si>
  <si>
    <t>Workbench 5ジョブのタイムゾーンを設定する</t>
  </si>
  <si>
    <t>000004838</t>
  </si>
  <si>
    <t>Common Workbench 5 Errors</t>
  </si>
  <si>
    <t>Workbench 5のよくあるエラー</t>
  </si>
  <si>
    <t>000004837</t>
  </si>
  <si>
    <t>Filtering Columns in Workbench 5</t>
  </si>
  <si>
    <t>Workbench 5で列にフィルターをかける</t>
  </si>
  <si>
    <t>000004830</t>
  </si>
  <si>
    <t>Workbench 5で計算を使用して列を作成する</t>
  </si>
  <si>
    <t>000004833</t>
  </si>
  <si>
    <t>Pareto Chart</t>
  </si>
  <si>
    <t>パレート図</t>
  </si>
  <si>
    <t>000004688</t>
  </si>
  <si>
    <t>Combining DataSets in Workbench 5</t>
  </si>
  <si>
    <t>Workbench 5でDataSetを結合する</t>
  </si>
  <si>
    <t>000004832</t>
  </si>
  <si>
    <t>Overlay Bar Chart</t>
  </si>
  <si>
    <t>オーバーレイ棒グラフ</t>
  </si>
  <si>
    <t>000004689</t>
  </si>
  <si>
    <t>Outliers Chart</t>
  </si>
  <si>
    <t>外れ値グラフ</t>
  </si>
  <si>
    <t>000004690</t>
  </si>
  <si>
    <t>Connecting to an OLAP Cube in Workbench 5</t>
  </si>
  <si>
    <t>Workbench 5でOLAPキューブに接続する</t>
  </si>
  <si>
    <t>000004836</t>
  </si>
  <si>
    <t>Connecting to JSON Data in Workbench 5</t>
  </si>
  <si>
    <t>Workbench 5でJSONデータに接続する</t>
  </si>
  <si>
    <t>000004822</t>
  </si>
  <si>
    <t>Connecting to JIRA Data in Workbench 5</t>
  </si>
  <si>
    <t>Workbench 5でJIRAデータに接続する</t>
  </si>
  <si>
    <t>000004824</t>
  </si>
  <si>
    <t>Connecting to Excel Data in Workbench 5</t>
  </si>
  <si>
    <t>Workbench 5でExcelデータに接続する</t>
  </si>
  <si>
    <t>000004820</t>
  </si>
  <si>
    <t>Connecting to ODBC Data in Workbench 5</t>
  </si>
  <si>
    <t>Workbench 5でODBCデータに接続する</t>
  </si>
  <si>
    <t>000004825</t>
  </si>
  <si>
    <t>Connecting to CSV Data in Workbench 5</t>
  </si>
  <si>
    <t>Workbench 5でCSVデータに接続する</t>
  </si>
  <si>
    <t>000004821</t>
  </si>
  <si>
    <t>Connecting to XML Data in Workbench 5</t>
  </si>
  <si>
    <t>Workbench 5でXMLデータに接続する</t>
  </si>
  <si>
    <t>000004823</t>
  </si>
  <si>
    <t>Creating a Job for Uploading Data Using Workbench 5</t>
  </si>
  <si>
    <t>Workbench 5でデータアップロードのジョブを作成する</t>
  </si>
  <si>
    <t>000004827</t>
  </si>
  <si>
    <t>Dealing with Attribution Windows</t>
  </si>
  <si>
    <t>属性ウィンドウの操作</t>
  </si>
  <si>
    <t>000004600</t>
  </si>
  <si>
    <t>Pulling a Segment of Text from a Text String</t>
  </si>
  <si>
    <t>テキスト文字列からテキストのセグメントを抽出する</t>
  </si>
  <si>
    <t>000004602</t>
  </si>
  <si>
    <t>Mobile Widgets</t>
  </si>
  <si>
    <t>モバイルウィジェット</t>
  </si>
  <si>
    <t>000004322</t>
  </si>
  <si>
    <t>スライドショーを使ってコンテンツをシェアする</t>
  </si>
  <si>
    <t>Understanding the Connector Options Menu Items</t>
  </si>
  <si>
    <t>Connector のオプションメニューアイテムについて</t>
  </si>
  <si>
    <t>000004892</t>
  </si>
  <si>
    <t>Publications Page Layout</t>
  </si>
  <si>
    <t>パブリケーションページのレイアウト</t>
  </si>
  <si>
    <t>000004261</t>
  </si>
  <si>
    <t>Meetup Connector</t>
  </si>
  <si>
    <t>000003458</t>
  </si>
  <si>
    <t>Pinterest Connector</t>
  </si>
  <si>
    <t>Pinterestコネクター</t>
  </si>
  <si>
    <t>000003461</t>
  </si>
  <si>
    <t>Pinterest Enterprise Connector</t>
  </si>
  <si>
    <t>Pinterest Enterpriseコネクター</t>
  </si>
  <si>
    <t>000003460</t>
  </si>
  <si>
    <t>Predictive Modeling Chart</t>
  </si>
  <si>
    <t>予測モデリンググラフ</t>
  </si>
  <si>
    <t>000004681</t>
  </si>
  <si>
    <t>Radar Chart</t>
  </si>
  <si>
    <t>レーダーチャート</t>
  </si>
  <si>
    <t>000004679</t>
  </si>
  <si>
    <t>Microsoft Sharepoint ADFS Connector</t>
  </si>
  <si>
    <t>Microsoft SharePoint ADFSコネクター</t>
  </si>
  <si>
    <t>000003427</t>
  </si>
  <si>
    <t>Reddit Connector</t>
  </si>
  <si>
    <t>Redditコネクター</t>
  </si>
  <si>
    <t>000003465</t>
  </si>
  <si>
    <t>Dropbox for Business Advanced Connector</t>
  </si>
  <si>
    <t>Dropbox for Business Advancedコネクター</t>
  </si>
  <si>
    <t>000003434</t>
  </si>
  <si>
    <t>ElasticSearch Connector</t>
  </si>
  <si>
    <t>ElasticSearchコネクター</t>
  </si>
  <si>
    <t>000003242</t>
  </si>
  <si>
    <t>Sumoエディターのレイアウト</t>
  </si>
  <si>
    <t>000004115</t>
  </si>
  <si>
    <t>Adding a Sumo Card</t>
  </si>
  <si>
    <t>Sumoカードを追加する</t>
  </si>
  <si>
    <t>000004117</t>
  </si>
  <si>
    <t>Microsoft Reportsコネクター</t>
  </si>
  <si>
    <t>000003876</t>
  </si>
  <si>
    <t>Amazon Athena Unload Connector</t>
  </si>
  <si>
    <t>Amazon Athena Unloadコネクター</t>
  </si>
  <si>
    <t>000003863</t>
  </si>
  <si>
    <t>ファセットバーチャート</t>
  </si>
  <si>
    <t>000004657</t>
  </si>
  <si>
    <t>マルチ放射状進捗ゲージ</t>
  </si>
  <si>
    <t>000004655</t>
  </si>
  <si>
    <t>Google Tag Manager Service Connector</t>
  </si>
  <si>
    <t>Google Tag Manager Serviceコネクター</t>
  </si>
  <si>
    <t>000003273</t>
  </si>
  <si>
    <t>Facebook Ad Library Connector</t>
  </si>
  <si>
    <t>Facebook Ad Libraryコネクター</t>
  </si>
  <si>
    <t>000003272</t>
  </si>
  <si>
    <t>Toggl Connector</t>
  </si>
  <si>
    <t>000003412</t>
  </si>
  <si>
    <t>FluidSurveys Connector</t>
  </si>
  <si>
    <t>000003390</t>
  </si>
  <si>
    <t>OpenWeatherMap Connector</t>
  </si>
  <si>
    <t>OpenWeatherMapコネクター</t>
  </si>
  <si>
    <t>000003368</t>
  </si>
  <si>
    <t>NOAA Weather Connector</t>
  </si>
  <si>
    <t>NOAA気象コネクター</t>
  </si>
  <si>
    <t>000003371</t>
  </si>
  <si>
    <t>NOAA Weather Alerts Connector</t>
  </si>
  <si>
    <t>NOAA気象アラートコネクター</t>
  </si>
  <si>
    <t>000003372</t>
  </si>
  <si>
    <t>NASA Connector</t>
  </si>
  <si>
    <t>NASAコネクター</t>
  </si>
  <si>
    <t>000003367</t>
  </si>
  <si>
    <t>Mambuコネクター</t>
  </si>
  <si>
    <t>000003248</t>
  </si>
  <si>
    <t>Marimekko Chart</t>
  </si>
  <si>
    <t>マリメッコグラフ</t>
  </si>
  <si>
    <t>000004693</t>
  </si>
  <si>
    <t>Spark Bar Chart</t>
  </si>
  <si>
    <t>スパーク棒グラフ</t>
  </si>
  <si>
    <t>000004694</t>
  </si>
  <si>
    <t>Spark Line Chart</t>
  </si>
  <si>
    <t>スパークライングラフ</t>
  </si>
  <si>
    <t>000004696</t>
  </si>
  <si>
    <t>Running Total Bar Chart</t>
  </si>
  <si>
    <t>棒グラフ（累計）</t>
  </si>
  <si>
    <t>000004676</t>
  </si>
  <si>
    <t>Running Total Grouped Bar Chart</t>
  </si>
  <si>
    <t>集合縦棒グラフ（累計）</t>
  </si>
  <si>
    <t>000004675</t>
  </si>
  <si>
    <t>Stream Chart</t>
  </si>
  <si>
    <t>ストリームグラフ</t>
  </si>
  <si>
    <t>000004677</t>
  </si>
  <si>
    <t>Stream Funnel Chart</t>
  </si>
  <si>
    <t>ストリームファネルグラフ</t>
  </si>
  <si>
    <t>000004673</t>
  </si>
  <si>
    <t>Using Upsert in Workbench 5.1</t>
  </si>
  <si>
    <t>Workbench 5.1でUpsertを使用する</t>
  </si>
  <si>
    <t>000004882</t>
  </si>
  <si>
    <t>Lollipop Chart</t>
  </si>
  <si>
    <t>ロリポップチャート</t>
  </si>
  <si>
    <t>000004695</t>
  </si>
  <si>
    <t>Connecting to JIRA Data in Workbench 4</t>
  </si>
  <si>
    <t>Workbench 4 で JIRA データに接続する</t>
  </si>
  <si>
    <t>000004771</t>
  </si>
  <si>
    <t>Starting, Stopping, and Restarting the Workbench 4 Service</t>
  </si>
  <si>
    <t>Workbench 4 サービスを開始、停止または再起動する</t>
  </si>
  <si>
    <t>000004790</t>
  </si>
  <si>
    <t>Running Workbench 4</t>
  </si>
  <si>
    <t>Workbench 4 を実行する</t>
  </si>
  <si>
    <t>000004791</t>
  </si>
  <si>
    <t>Workbench 4 Training Topics</t>
  </si>
  <si>
    <t>Workbenchトレーニングトピック</t>
  </si>
  <si>
    <t>000004792</t>
  </si>
  <si>
    <t>Workbench 4 Overview</t>
  </si>
  <si>
    <t>Workbench 4 概要</t>
  </si>
  <si>
    <t>000004800</t>
  </si>
  <si>
    <t>Machine Learning Concepts to Help You be More Successful</t>
  </si>
  <si>
    <t>機械学習技術を活用して効率的な処理を行う</t>
  </si>
  <si>
    <t>000004881</t>
  </si>
  <si>
    <t>Simplified Server Migration in Workbench 5</t>
  </si>
  <si>
    <t>Workbench 5でのサーバー移行の簡略化</t>
  </si>
  <si>
    <t>000004799</t>
  </si>
  <si>
    <t>Migrating to Workbench 4 from Previous Versions</t>
  </si>
  <si>
    <t>以前のバージョンから Workbench 4 に移行する</t>
  </si>
  <si>
    <t>000004794</t>
  </si>
  <si>
    <t>Connecting to SAP HANA Data in Workbench 5</t>
  </si>
  <si>
    <t>Workbench 5でSAP HANAデータに接続する</t>
  </si>
  <si>
    <t>000004801</t>
  </si>
  <si>
    <t>Combining DataSets in Workbench 4</t>
  </si>
  <si>
    <t>Workbench 4 で DataSet を結合する</t>
  </si>
  <si>
    <t>000004772</t>
  </si>
  <si>
    <t>Connecting to JSON Data in Workbench 4</t>
  </si>
  <si>
    <t>Workbench 4 で JSON データに接続する</t>
  </si>
  <si>
    <t>000004779</t>
  </si>
  <si>
    <t>Connecting to XML Data in Workbench 4</t>
  </si>
  <si>
    <t>Workbench 4 で XML データに接続する</t>
  </si>
  <si>
    <t>000004778</t>
  </si>
  <si>
    <t>Connecting to QuickBooks Data in Workbench 4</t>
  </si>
  <si>
    <t>Workbench 4 で QuickBooks データに接続する</t>
  </si>
  <si>
    <t>000004775</t>
  </si>
  <si>
    <t>Creating Columns in Workbench 4 Using Calculations</t>
  </si>
  <si>
    <t>計算を使用して Workbench 4 で列を作成する</t>
  </si>
  <si>
    <t>000004770</t>
  </si>
  <si>
    <t>Filtering Columns in Workbench 4</t>
  </si>
  <si>
    <t>Workbench 4 で列をフィルターする</t>
  </si>
  <si>
    <t>000004776</t>
  </si>
  <si>
    <t>Encrypting and Decrypting Workbench 4 Data</t>
  </si>
  <si>
    <t>Workbench 4 でデータの暗号化と復号化を行う</t>
  </si>
  <si>
    <t>000004774</t>
  </si>
  <si>
    <t>Common Workbench 4 Errors</t>
  </si>
  <si>
    <t>一般的な Workbench のエラー</t>
  </si>
  <si>
    <t>000004769</t>
  </si>
  <si>
    <t>Replacing a Column Value in Workbench 4</t>
  </si>
  <si>
    <t>Workbench 4 で列の値を置き換える</t>
  </si>
  <si>
    <t>000004761</t>
  </si>
  <si>
    <t>Resolving Issues with Failing Jobs in Workbench 4</t>
  </si>
  <si>
    <t>Workbench 4 で失敗したジョブの問題を解決する</t>
  </si>
  <si>
    <t>000004766</t>
  </si>
  <si>
    <t>Setting a Custom Date Format on a Column in Workbench 4</t>
  </si>
  <si>
    <t>Workbench 4 で列にカスタマイズされた日付の形式を設定する</t>
  </si>
  <si>
    <t>000004767</t>
  </si>
  <si>
    <t>Setting the Time Zone for a Workbench 4 Job</t>
  </si>
  <si>
    <t>Workbench 4 ジョブのタイムゾーンを設定する</t>
  </si>
  <si>
    <t>000004763</t>
  </si>
  <si>
    <t>Setting Up Direct Upload in Workbench 4</t>
  </si>
  <si>
    <t>Setting Up Direct Upload in Workbench</t>
  </si>
  <si>
    <t>000004762</t>
  </si>
  <si>
    <t>接続パラメータを持つODBCジョブでWorkbench 5からWorkbench 4にロールバックする</t>
  </si>
  <si>
    <t>000004818</t>
  </si>
  <si>
    <t>Workbenchを更新する</t>
  </si>
  <si>
    <t>000004815</t>
  </si>
  <si>
    <t>Starting, Stopping, and Restarting the Workbench 5 Service</t>
  </si>
  <si>
    <t>Workbench 5サービスを開始、停止または再起動する</t>
  </si>
  <si>
    <t>000004814</t>
  </si>
  <si>
    <t>Taking Snapshots of Cards</t>
  </si>
  <si>
    <t>カードのスナップショットをとる</t>
  </si>
  <si>
    <t>000004764</t>
  </si>
  <si>
    <t>Configuring a DataSync Folder in Workbench 5</t>
  </si>
  <si>
    <t>Workbench 5でDataSyncフォルダーを設定する</t>
  </si>
  <si>
    <t>000004805</t>
  </si>
  <si>
    <t>Sunburst Chart</t>
  </si>
  <si>
    <t>サンバーストグラフ</t>
  </si>
  <si>
    <t>000004671</t>
  </si>
  <si>
    <t>データパフォーマンスを最適化する</t>
  </si>
  <si>
    <t>000004887</t>
  </si>
  <si>
    <t>Configuring the CData Driver for SAP in Workbench 5</t>
  </si>
  <si>
    <t>Workbench 5でCDataドライバーをSAP用に設定する</t>
  </si>
  <si>
    <t>000004803</t>
  </si>
  <si>
    <t>Symbol Chart</t>
  </si>
  <si>
    <t>記号グラフ</t>
  </si>
  <si>
    <t>000004672</t>
  </si>
  <si>
    <t>Symbol Overlay Chart</t>
  </si>
  <si>
    <t>記号オーバーレイグラフ</t>
  </si>
  <si>
    <t>000004670</t>
  </si>
  <si>
    <t>SPC Charts</t>
  </si>
  <si>
    <t>SPCチャート</t>
  </si>
  <si>
    <t>000004750</t>
  </si>
  <si>
    <t>Stacked Area Chart</t>
  </si>
  <si>
    <t>積上げ面グラフ</t>
  </si>
  <si>
    <t>000004751</t>
  </si>
  <si>
    <t>メモリのアップグレードをリクエストする</t>
  </si>
  <si>
    <t>000004578</t>
  </si>
  <si>
    <t>Integration Studio</t>
  </si>
  <si>
    <t>000004575</t>
  </si>
  <si>
    <t>Workbench 5.1の設定をバックアップする</t>
  </si>
  <si>
    <t>000004841</t>
  </si>
  <si>
    <t>Workbench 5.1 Training Topics</t>
  </si>
  <si>
    <t>Workbench 5.1のトレーニングに関するトピック</t>
  </si>
  <si>
    <t>000004843</t>
  </si>
  <si>
    <t>Domo JSON Connector</t>
  </si>
  <si>
    <t>Domo JSONコネクター</t>
  </si>
  <si>
    <t>000003588</t>
  </si>
  <si>
    <t>Open Exchange Rates Advanced Connector</t>
  </si>
  <si>
    <t>Open Exchange Rates Advancedコネクター</t>
  </si>
  <si>
    <t>000003624</t>
  </si>
  <si>
    <t>Coupa Connector</t>
  </si>
  <si>
    <t>Coupaコネクター</t>
  </si>
  <si>
    <t>000003625</t>
  </si>
  <si>
    <t>Viewing and Entering Peers in Your Company Org Chart</t>
  </si>
  <si>
    <t>会社の組織図で社員の閲覧と入力をする</t>
  </si>
  <si>
    <t>000004397</t>
  </si>
  <si>
    <t>Google Search Consoleコネクター</t>
  </si>
  <si>
    <t>000003589</t>
  </si>
  <si>
    <t>NetSuite SuiteAnalytics Connector</t>
  </si>
  <si>
    <t>000003564</t>
  </si>
  <si>
    <t>Oracle Autonomous Data Warehouse Cloudコネクター</t>
  </si>
  <si>
    <t>000003563</t>
  </si>
  <si>
    <t>Sorting the Data in Your Chart</t>
  </si>
  <si>
    <t>グラフのデータをソートする</t>
  </si>
  <si>
    <t>000004639</t>
  </si>
  <si>
    <t>PagerDuty Connector</t>
  </si>
  <si>
    <t>000003560</t>
  </si>
  <si>
    <t>Archiving Historical Data Using a DataFlow</t>
  </si>
  <si>
    <t>DataFlowを使用して履歴データをアーカイブする</t>
  </si>
  <si>
    <t>000004608</t>
  </si>
  <si>
    <t>Python SDKs</t>
  </si>
  <si>
    <t>Python SDK</t>
  </si>
  <si>
    <t>000004581</t>
  </si>
  <si>
    <t>Installing the R SDK</t>
  </si>
  <si>
    <t>R SDKをインストールする</t>
  </si>
  <si>
    <t>000004588</t>
  </si>
  <si>
    <t>スクリプティングタイルのメモリエラーのトラブルシューティング</t>
  </si>
  <si>
    <t>000004587</t>
  </si>
  <si>
    <t>Google BigQuery Serviceコネクター</t>
  </si>
  <si>
    <t>000003935</t>
  </si>
  <si>
    <t>Glu Connector</t>
  </si>
  <si>
    <t>000003936</t>
  </si>
  <si>
    <t>Importing Files into Your CourseBuilder App Project</t>
  </si>
  <si>
    <t>CourseBuilder Appプロジェクトにファイルをインポートする</t>
  </si>
  <si>
    <t>000004497</t>
  </si>
  <si>
    <t>Amazon Redshift Upsert Connector</t>
  </si>
  <si>
    <t>Amazon Redshift Upsertコネクター</t>
  </si>
  <si>
    <t>000003896</t>
  </si>
  <si>
    <t>MongoDBコネクター</t>
  </si>
  <si>
    <t>000003898</t>
  </si>
  <si>
    <t>Microsoft Dynamics CRM Connector</t>
  </si>
  <si>
    <t>Microsoft Dynamics CRMコネクター</t>
  </si>
  <si>
    <t>000003895</t>
  </si>
  <si>
    <t>Simba Spark JDBCコネクター</t>
  </si>
  <si>
    <t>000003847</t>
  </si>
  <si>
    <t>PostgreSQL Advancedコネクター</t>
  </si>
  <si>
    <t>000003850</t>
  </si>
  <si>
    <t>Changing a Job from Upsert to Replace in Workbench 5</t>
  </si>
  <si>
    <t>Workbench 5でジョブをUpsertから置換に変更</t>
  </si>
  <si>
    <t>000004802</t>
  </si>
  <si>
    <t>Analyzer Overview</t>
  </si>
  <si>
    <t>Analyzerの概要</t>
  </si>
  <si>
    <t>000004645</t>
  </si>
  <si>
    <t>Flurry Connector</t>
  </si>
  <si>
    <t>000003528</t>
  </si>
  <si>
    <t>チャートにフィルターを追加する</t>
  </si>
  <si>
    <t>000004643</t>
  </si>
  <si>
    <t>Google Analytics Management Connector</t>
  </si>
  <si>
    <t>Google Analytics Managementコネクター</t>
  </si>
  <si>
    <t>000003530</t>
  </si>
  <si>
    <t>Google Tag Manager Connector</t>
  </si>
  <si>
    <t>Google Tag Managerコネクター</t>
  </si>
  <si>
    <t>000003526</t>
  </si>
  <si>
    <t>Zendeskコネクター</t>
  </si>
  <si>
    <t>000003476</t>
  </si>
  <si>
    <t>Multi-Line Chart</t>
  </si>
  <si>
    <t>複数折れ線グラフ</t>
  </si>
  <si>
    <t>000004692</t>
  </si>
  <si>
    <t>Pie Chart</t>
  </si>
  <si>
    <t>円グラフ</t>
  </si>
  <si>
    <t>000004685</t>
  </si>
  <si>
    <t>Period-over-Period Charts</t>
  </si>
  <si>
    <t>前期比チャート</t>
  </si>
  <si>
    <t>000004684</t>
  </si>
  <si>
    <t>Percent of Total Chart</t>
  </si>
  <si>
    <t>全体の割合グラフ</t>
  </si>
  <si>
    <t>000004683</t>
  </si>
  <si>
    <t>Non-queryable DataSets</t>
  </si>
  <si>
    <t>クエリを実行できないDataSet</t>
  </si>
  <si>
    <t>000003153</t>
  </si>
  <si>
    <t>Workbench 4 FAQs</t>
  </si>
  <si>
    <t>Workbench 4 に関するよくある質問</t>
  </si>
  <si>
    <t>000004798</t>
  </si>
  <si>
    <t>Workbench 4 Release Notes</t>
  </si>
  <si>
    <t>Workbench 4 リリースノート</t>
  </si>
  <si>
    <t>000004795</t>
  </si>
  <si>
    <t>Workbench 4 Security Options</t>
  </si>
  <si>
    <t>000004797</t>
  </si>
  <si>
    <t>Understanding the Workbench 4 User Interface</t>
  </si>
  <si>
    <t>Workbench 4 ユーザーインターフェースについて</t>
  </si>
  <si>
    <t>000004796</t>
  </si>
  <si>
    <t>Enabling SSO with Okta</t>
  </si>
  <si>
    <t>OktaでSSOを有効にする</t>
  </si>
  <si>
    <t>000003052</t>
  </si>
  <si>
    <t>Beast Modeを使用してデータをバケット化する</t>
  </si>
  <si>
    <t>000004083</t>
  </si>
  <si>
    <t>カード作成の基本</t>
  </si>
  <si>
    <t>000004399</t>
  </si>
  <si>
    <t>Forecasting Chart</t>
  </si>
  <si>
    <t>000004717</t>
  </si>
  <si>
    <t>Funnel Chart</t>
  </si>
  <si>
    <t>縦型ファネルグラフ</t>
  </si>
  <si>
    <t>000004716</t>
  </si>
  <si>
    <t>Advanced Chart Properties Quick Reference</t>
  </si>
  <si>
    <t>詳細チャートのプロパティクイックリファレンス</t>
  </si>
  <si>
    <t>000004648</t>
  </si>
  <si>
    <t>Separating Staging and Production Data</t>
  </si>
  <si>
    <t>ステージングデータと製品データを分離する</t>
  </si>
  <si>
    <t>000004554</t>
  </si>
  <si>
    <t>Moving Tasks Through a Project Workflow</t>
  </si>
  <si>
    <t>プロジェクトのワークフローの中でタスクを移動する</t>
  </si>
  <si>
    <t>000004364</t>
  </si>
  <si>
    <t>Archiving Project Tasks and Lists</t>
  </si>
  <si>
    <t>プロジェクトのタスクとリストをアーカイブする</t>
  </si>
  <si>
    <t>000004361</t>
  </si>
  <si>
    <t>Filtering Project Tasks</t>
  </si>
  <si>
    <t>プロジェクトのタスクにフィルターをかける</t>
  </si>
  <si>
    <t>000004362</t>
  </si>
  <si>
    <t>Projects and Tasks Best Practices</t>
  </si>
  <si>
    <t>プロジェクトとタスクのベストプラクティス</t>
  </si>
  <si>
    <t>000004363</t>
  </si>
  <si>
    <t>Editing Project Tasks</t>
  </si>
  <si>
    <t>プロジェクトのタスクを編集する</t>
  </si>
  <si>
    <t>000004360</t>
  </si>
  <si>
    <t>Creating a Project</t>
  </si>
  <si>
    <t>プロジェクトを作成する</t>
  </si>
  <si>
    <t>000004367</t>
  </si>
  <si>
    <t>Editing or Deleting a Project</t>
  </si>
  <si>
    <t>プロジェクトを編集または削除する</t>
  </si>
  <si>
    <t>000004365</t>
  </si>
  <si>
    <t>Seeing Online Users in Domo</t>
  </si>
  <si>
    <t>Domoのオンラインユーザーを確認する</t>
  </si>
  <si>
    <t>000004316</t>
  </si>
  <si>
    <t>Downloading Files from Buzz</t>
  </si>
  <si>
    <t>Buzz からファイルをダウンロードする</t>
  </si>
  <si>
    <t>000004318</t>
  </si>
  <si>
    <t>Importing an Email Thread into Buzz</t>
  </si>
  <si>
    <t>Buzzにメールスレッドをインポートする</t>
  </si>
  <si>
    <t>000004317</t>
  </si>
  <si>
    <t>Unfollowing a Buzz Conversation</t>
  </si>
  <si>
    <t>Buzzチャットのフォローを解除する</t>
  </si>
  <si>
    <t>000004313</t>
  </si>
  <si>
    <t>Webtrends Connector</t>
  </si>
  <si>
    <t>000003696</t>
  </si>
  <si>
    <t>Quandl Stock Reports Connector</t>
  </si>
  <si>
    <t>000003610</t>
  </si>
  <si>
    <t>000003618</t>
  </si>
  <si>
    <t>Square DataSet Union Connector</t>
  </si>
  <si>
    <t>Square DataSet Unionコネクター</t>
  </si>
  <si>
    <t>000003612</t>
  </si>
  <si>
    <t>CloudHealth Connector</t>
  </si>
  <si>
    <t>000003593</t>
  </si>
  <si>
    <t>Domo ODBCデータドライバー</t>
  </si>
  <si>
    <t>000003162</t>
  </si>
  <si>
    <t>Amazon S3 Partition Connector</t>
  </si>
  <si>
    <t>Amazon S3 Partitionコネクター</t>
  </si>
  <si>
    <t>000003967</t>
  </si>
  <si>
    <t>Google AdSense Connector</t>
  </si>
  <si>
    <t>Google AdSenseコネクター</t>
  </si>
  <si>
    <t>000003768</t>
  </si>
  <si>
    <t>Google Ads via Google BigQuery Service Connector</t>
  </si>
  <si>
    <t>Google Ads via Google BigQuery Serviceコネクター</t>
  </si>
  <si>
    <t>000003773</t>
  </si>
  <si>
    <t>Domo Mobile Security</t>
  </si>
  <si>
    <t>Domoモバイルセキュリティ</t>
  </si>
  <si>
    <t>000004324</t>
  </si>
  <si>
    <t>Anaplan Audit Service Connector</t>
  </si>
  <si>
    <t>Anaplan Audit Serviceコネクター</t>
  </si>
  <si>
    <t>000003953</t>
  </si>
  <si>
    <t>Public DataSet Connectors</t>
  </si>
  <si>
    <t>パブリックDataSetコネクター</t>
  </si>
  <si>
    <t>000003360</t>
  </si>
  <si>
    <t>Docebo Connector</t>
  </si>
  <si>
    <t>Doceboコネクター</t>
  </si>
  <si>
    <t>000003320</t>
  </si>
  <si>
    <t>Sample Data Connector</t>
  </si>
  <si>
    <t>サンプルデータコネクター</t>
  </si>
  <si>
    <t>000003308</t>
  </si>
  <si>
    <t>You've Got Leads Connector</t>
  </si>
  <si>
    <t>You've Got Leadsコネクター</t>
  </si>
  <si>
    <t>000003315</t>
  </si>
  <si>
    <t>Greenhouse Demographic Connector</t>
  </si>
  <si>
    <t>Greenhouse Demographicコネクター</t>
  </si>
  <si>
    <t>000003310</t>
  </si>
  <si>
    <t>TrustYou Connector</t>
  </si>
  <si>
    <t>TrustYouコネクター</t>
  </si>
  <si>
    <t>000003263</t>
  </si>
  <si>
    <t>Open FEC Connector</t>
  </si>
  <si>
    <t>Open FECコネクター</t>
  </si>
  <si>
    <t>000003264</t>
  </si>
  <si>
    <t>Google Calendar Service Connector</t>
  </si>
  <si>
    <t>Google Calendar Serviceコネクター</t>
  </si>
  <si>
    <t>000003262</t>
  </si>
  <si>
    <t>OfficeSpace Connector</t>
  </si>
  <si>
    <t>OfficeSpaceコネクター</t>
  </si>
  <si>
    <t>000003269</t>
  </si>
  <si>
    <t>OnBrand360 Connector</t>
  </si>
  <si>
    <t>OnBrand360コネクター</t>
  </si>
  <si>
    <t>000003265</t>
  </si>
  <si>
    <t>Microsoft Reporting Service Connector</t>
  </si>
  <si>
    <t>Microsoft Reporting Servicesコネクター</t>
  </si>
  <si>
    <t>000003912</t>
  </si>
  <si>
    <t>Amazon Aurora Connector</t>
  </si>
  <si>
    <t>Amazon Auroraコネクター</t>
  </si>
  <si>
    <t>000003907</t>
  </si>
  <si>
    <t>Amazon Redshift Advanced Connector</t>
  </si>
  <si>
    <t>Amazon Redshift Advancedコネクター</t>
  </si>
  <si>
    <t>000003900</t>
  </si>
  <si>
    <t>Loggly Connector</t>
  </si>
  <si>
    <t>000003576</t>
  </si>
  <si>
    <t>Microsoft Azure Data Factory Connector</t>
  </si>
  <si>
    <t>Microsoft Azure Data Factoryコネクター</t>
  </si>
  <si>
    <t>000003572</t>
  </si>
  <si>
    <t>Amazon Redshift Unload V2 Connector</t>
  </si>
  <si>
    <t>Amazon Redshift Unload V2コネクター</t>
  </si>
  <si>
    <t>000003903</t>
  </si>
  <si>
    <t>Oracle Database Connector</t>
  </si>
  <si>
    <t>Oracle Databaseコネクター</t>
  </si>
  <si>
    <t>000003888</t>
  </si>
  <si>
    <t>SAP HANAコネクター</t>
  </si>
  <si>
    <t>000003884</t>
  </si>
  <si>
    <t>Vertica Partition Connector</t>
  </si>
  <si>
    <t>Vertica Partitionコネクター</t>
  </si>
  <si>
    <t>000003965</t>
  </si>
  <si>
    <t>MariaDB Partition Connector</t>
  </si>
  <si>
    <t>MariaDBパーティションコネクター</t>
  </si>
  <si>
    <t>000003963</t>
  </si>
  <si>
    <t>NetSuite SuiteAnalytics Partition Connector</t>
  </si>
  <si>
    <t>NetSuite SuiteAnalyticsパーティションコネクター</t>
  </si>
  <si>
    <t>000003972</t>
  </si>
  <si>
    <t>Adobe Analytics Data Warehouseに接続する</t>
  </si>
  <si>
    <t>000003170</t>
  </si>
  <si>
    <t>Changing Your Workbench Language Back to English</t>
  </si>
  <si>
    <t>Workbenchで使用する言語を英語に戻す</t>
  </si>
  <si>
    <t>000003168</t>
  </si>
  <si>
    <t>Connecting to Clicktale Data in Domo</t>
  </si>
  <si>
    <t>DomoでClicktaleデータに接続する</t>
  </si>
  <si>
    <t>000003169</t>
  </si>
  <si>
    <t>ワッフルチャート</t>
  </si>
  <si>
    <t>000004660</t>
  </si>
  <si>
    <t>Exporting Sumo Data</t>
  </si>
  <si>
    <t>Sumoデータをエクスポートする</t>
  </si>
  <si>
    <t>000004043</t>
  </si>
  <si>
    <t>000003814</t>
  </si>
  <si>
    <t>Domo Japan Connector for LINE (Messaging API)</t>
  </si>
  <si>
    <t>Domo Japan Connector for LINE(Messaging API)</t>
  </si>
  <si>
    <t>000003816</t>
  </si>
  <si>
    <t>000003819</t>
  </si>
  <si>
    <t>000003817</t>
  </si>
  <si>
    <t>freee Third Party Connector</t>
  </si>
  <si>
    <t>000003823</t>
  </si>
  <si>
    <t>BuzzSumo Connector</t>
  </si>
  <si>
    <t>BuzzSumoコネクター</t>
  </si>
  <si>
    <t>000003800</t>
  </si>
  <si>
    <t>MailChimpコネクター</t>
  </si>
  <si>
    <t>000003755</t>
  </si>
  <si>
    <t>Marketo Connector</t>
  </si>
  <si>
    <t>000003740</t>
  </si>
  <si>
    <t>OpenX Connector</t>
  </si>
  <si>
    <t>OpenXコネクター</t>
  </si>
  <si>
    <t>000003730</t>
  </si>
  <si>
    <t>Google Adwords Keyword Performance App</t>
  </si>
  <si>
    <t>000004200</t>
  </si>
  <si>
    <t>MYOBコネクター</t>
  </si>
  <si>
    <t>000003194</t>
  </si>
  <si>
    <t>Histogram</t>
  </si>
  <si>
    <t>ヒストグラム</t>
  </si>
  <si>
    <t>000004706</t>
  </si>
  <si>
    <t>IntelliShiftコネクター</t>
  </si>
  <si>
    <t>000003193</t>
  </si>
  <si>
    <t>Dialpad Enterpriseコネクター</t>
  </si>
  <si>
    <t>000003201</t>
  </si>
  <si>
    <t>SiteLink Reportingコネクター</t>
  </si>
  <si>
    <t>000003195</t>
  </si>
  <si>
    <t>Best Practices for Choosing Chart Types</t>
  </si>
  <si>
    <t>チャートタイプを選択するためのベストプラクティス</t>
  </si>
  <si>
    <t>000004486</t>
  </si>
  <si>
    <t>Reporting Issues with Cards</t>
  </si>
  <si>
    <t>カードの問題を報告する</t>
  </si>
  <si>
    <t>000004060</t>
  </si>
  <si>
    <t>Adding Dashboards as Favorites</t>
  </si>
  <si>
    <t>ページをお気に入りに追加する</t>
  </si>
  <si>
    <t>000004057</t>
  </si>
  <si>
    <t>Google Directions Connector</t>
  </si>
  <si>
    <t>Google Directionsコネクター</t>
  </si>
  <si>
    <t>000003377</t>
  </si>
  <si>
    <t>CNN RSS Connector</t>
  </si>
  <si>
    <t>CNN RSSコネクター</t>
  </si>
  <si>
    <t>000003384</t>
  </si>
  <si>
    <t>Nielsen Music Connect Connector</t>
  </si>
  <si>
    <t>Nielsen Music Connectコネクター</t>
  </si>
  <si>
    <t>000003349</t>
  </si>
  <si>
    <t>Creating a Rolling Average Period-over-Period DataFlow</t>
  </si>
  <si>
    <t>ローテーション平均前期比DataFlowの作成</t>
  </si>
  <si>
    <t>000004619</t>
  </si>
  <si>
    <t>Ooyala Connector</t>
  </si>
  <si>
    <t>000003348</t>
  </si>
  <si>
    <t>Rotten Tomatoes Connector</t>
  </si>
  <si>
    <t>000003353</t>
  </si>
  <si>
    <t>National Resources Conservation Service Connector</t>
  </si>
  <si>
    <t>National Resources Conservation Serviceコネクター</t>
  </si>
  <si>
    <t>000003291</t>
  </si>
  <si>
    <t>CA Agile Central Connector</t>
  </si>
  <si>
    <t>000003417</t>
  </si>
  <si>
    <t>CDC Connector</t>
  </si>
  <si>
    <t>CDCコネクター</t>
  </si>
  <si>
    <t>000003378</t>
  </si>
  <si>
    <t>Associated Press Connector</t>
  </si>
  <si>
    <t>AP通信Connector</t>
  </si>
  <si>
    <t>000003382</t>
  </si>
  <si>
    <t>Deltek Vision Connector</t>
  </si>
  <si>
    <t>Deltek Visionコネクター</t>
  </si>
  <si>
    <t>000003420</t>
  </si>
  <si>
    <t>Google Calendar Connector</t>
  </si>
  <si>
    <t>Google Calendarコネクター</t>
  </si>
  <si>
    <t>000003424</t>
  </si>
  <si>
    <t>Google Gmail Connector</t>
  </si>
  <si>
    <t>Google Gmailコネクター</t>
  </si>
  <si>
    <t>000003401</t>
  </si>
  <si>
    <t>DomoStats - プロジェクトとタスク</t>
  </si>
  <si>
    <t>000003039</t>
  </si>
  <si>
    <t>Google Contacts Connector</t>
  </si>
  <si>
    <t>Google Contactsコネクター</t>
  </si>
  <si>
    <t>000003403</t>
  </si>
  <si>
    <t>Google Contacts Service Connector</t>
  </si>
  <si>
    <t>Google Contacts Serviceコネクター</t>
  </si>
  <si>
    <t>000003396</t>
  </si>
  <si>
    <t>DomoStats - People</t>
  </si>
  <si>
    <t>DomoStatsユーザー</t>
  </si>
  <si>
    <t>000003043</t>
  </si>
  <si>
    <t>Title</t>
  </si>
  <si>
    <t>SF Prod Article Details (ja).Title</t>
  </si>
  <si>
    <t>Article Number</t>
  </si>
  <si>
    <t>000004180</t>
    <phoneticPr fontId="5"/>
  </si>
  <si>
    <t>Adding User Licenses in Domo</t>
    <phoneticPr fontId="5"/>
  </si>
  <si>
    <t>JIRA On Prem Writeback Connector</t>
    <phoneticPr fontId="5"/>
  </si>
  <si>
    <t>SharePoint Online Writeback Connector</t>
    <phoneticPr fontId="5"/>
  </si>
  <si>
    <t>Workbench Writeback to ODBC</t>
    <phoneticPr fontId="5"/>
  </si>
  <si>
    <t>ADLS Gen 2 OAuth Writeback Connector</t>
    <phoneticPr fontId="5"/>
  </si>
  <si>
    <t>000005698</t>
  </si>
  <si>
    <t>21</t>
    <phoneticPr fontId="5"/>
  </si>
  <si>
    <t>Category titles</t>
    <phoneticPr fontId="5"/>
  </si>
  <si>
    <t>ED2610-21-TO-KB-Category titles-JA</t>
    <phoneticPr fontId="5"/>
  </si>
  <si>
    <t>Category titles.docx</t>
    <phoneticPr fontId="5"/>
  </si>
  <si>
    <t>000004031</t>
    <phoneticPr fontId="5"/>
  </si>
  <si>
    <t>000004023</t>
    <phoneticPr fontId="5"/>
  </si>
  <si>
    <t xml:space="preserve"> Batch-15</t>
    <phoneticPr fontId="5"/>
  </si>
  <si>
    <t>ED2610-22-TO-KB-October-JA Batch-15</t>
  </si>
  <si>
    <t>ED2609-01-TO-KB-September-JA Batch-4 is open</t>
    <phoneticPr fontId="5"/>
  </si>
  <si>
    <t>ED2610-22-TO-KB-October-JA Batch-15</t>
    <phoneticPr fontId="5"/>
  </si>
  <si>
    <t>Closed in XTM but not in SFDC</t>
    <phoneticPr fontId="5"/>
  </si>
  <si>
    <t>　</t>
  </si>
  <si>
    <t xml:space="preserve"> Batch-16</t>
    <phoneticPr fontId="5"/>
  </si>
  <si>
    <t xml:space="preserve"> Batch-17</t>
    <phoneticPr fontId="5"/>
  </si>
  <si>
    <t>ED2610-28-TO-KB-October-JA Batch-16</t>
  </si>
  <si>
    <t>ED2610-28-TO-KB-October-JA Batch-17</t>
  </si>
  <si>
    <t>ED2610-28-TO-KB-October-JA Batch-18</t>
  </si>
  <si>
    <t>ED2610-28-TO-KB-October-JA Batch-19</t>
  </si>
  <si>
    <t xml:space="preserve"> Batch-18</t>
  </si>
  <si>
    <t xml:space="preserve"> Batch-19</t>
  </si>
  <si>
    <t xml:space="preserve"> Batch-20</t>
    <phoneticPr fontId="5"/>
  </si>
  <si>
    <t>インボイス名はED2610-06-TO-KB-October-JA Batch-11（十印のミス）</t>
    <rPh sb="5" eb="6">
      <t>メイ</t>
    </rPh>
    <rPh sb="43" eb="45">
      <t>トオイン</t>
    </rPh>
    <phoneticPr fontId="5"/>
  </si>
  <si>
    <t>000003624</t>
    <phoneticPr fontId="5"/>
  </si>
  <si>
    <t>Open Exchange Rates Dashboard App</t>
    <phoneticPr fontId="5"/>
  </si>
  <si>
    <t>000004184</t>
    <phoneticPr fontId="5"/>
  </si>
  <si>
    <t>CourseBuilder FAQs</t>
    <phoneticPr fontId="5"/>
  </si>
  <si>
    <t>Installing CourseBuilder</t>
    <phoneticPr fontId="5"/>
  </si>
  <si>
    <t>000004499</t>
    <phoneticPr fontId="5"/>
  </si>
  <si>
    <t>000004503</t>
    <phoneticPr fontId="5"/>
  </si>
  <si>
    <t>Understanding the Customer Support Portal</t>
  </si>
  <si>
    <t>000004370</t>
  </si>
  <si>
    <t>000005108</t>
    <phoneticPr fontId="5"/>
  </si>
  <si>
    <t>04</t>
    <phoneticPr fontId="5"/>
  </si>
  <si>
    <t>Requested by Tsuyoshi Fujii</t>
    <phoneticPr fontId="5"/>
  </si>
  <si>
    <t>Workflows Overview</t>
    <phoneticPr fontId="5"/>
  </si>
  <si>
    <t>ED2611-04-TO-KB-Support-Workflows Overview-JA</t>
    <phoneticPr fontId="5"/>
  </si>
  <si>
    <t>ServiceNow Enterprise OAuth Configuration Connector</t>
    <phoneticPr fontId="5"/>
  </si>
  <si>
    <t>000005697</t>
    <phoneticPr fontId="5"/>
  </si>
  <si>
    <t>Microsoft OneDrive Business Enterprise OAuth Configuration Connector</t>
    <phoneticPr fontId="5"/>
  </si>
  <si>
    <t>000005793</t>
    <phoneticPr fontId="5"/>
  </si>
  <si>
    <t>ServiceNow Connector</t>
    <phoneticPr fontId="5"/>
  </si>
  <si>
    <t>000003559</t>
  </si>
  <si>
    <t>000005295</t>
    <phoneticPr fontId="5"/>
  </si>
  <si>
    <t>ServiceNow OAuth Connector</t>
  </si>
  <si>
    <t>000005387</t>
    <phoneticPr fontId="5"/>
  </si>
  <si>
    <t>How to Request a Workspace (VCR)</t>
    <phoneticPr fontId="5"/>
  </si>
  <si>
    <t>000004537</t>
    <phoneticPr fontId="5"/>
  </si>
  <si>
    <t>Microsoft OneDrive for Business Connector</t>
    <phoneticPr fontId="5"/>
  </si>
  <si>
    <t>000003920</t>
    <phoneticPr fontId="5"/>
  </si>
  <si>
    <t>ED2611-05-TO-KB-Support-ServiceNow Enterprise OAuth Configuration Connector-JA</t>
    <phoneticPr fontId="5"/>
  </si>
  <si>
    <t>ServiceNow</t>
    <phoneticPr fontId="5"/>
  </si>
  <si>
    <t>ED2611-05-TO-KB-ServiceNow-JA</t>
  </si>
  <si>
    <t>ED2611-05-TO-KB-ServiceNow-JA</t>
    <phoneticPr fontId="5"/>
  </si>
  <si>
    <t>Geocoder | User Guide</t>
    <phoneticPr fontId="5"/>
  </si>
  <si>
    <t>Google Connectors</t>
    <phoneticPr fontId="5"/>
  </si>
  <si>
    <t xml:space="preserve"> Batch-1</t>
    <phoneticPr fontId="5"/>
  </si>
  <si>
    <t>ED2611-05-TO-KB-Google Connectors-JA Batch-1</t>
  </si>
  <si>
    <t>ED2611-05-TO-KB-Google Connectors-JA Batch-2</t>
  </si>
  <si>
    <t>ED2611-05-TO-KB-Google Connectors-JA Batch-3</t>
  </si>
  <si>
    <t xml:space="preserve"> Batch-2</t>
    <phoneticPr fontId="5"/>
  </si>
  <si>
    <t>ED2611-05-TO-KB-Google Connectors-JA Batch-3</t>
    <phoneticPr fontId="5"/>
  </si>
  <si>
    <t>ED2611-05-TO-KB-Google Connectors-JA Batch-1</t>
    <phoneticPr fontId="5"/>
  </si>
  <si>
    <t>ED2611-05-TO-KB-Google Connectors-JA Batch-2</t>
    <phoneticPr fontId="5"/>
  </si>
  <si>
    <t>New Relic Connector</t>
    <phoneticPr fontId="5"/>
  </si>
  <si>
    <t>000003513</t>
    <phoneticPr fontId="5"/>
  </si>
  <si>
    <t>New Relic NRQL Connector</t>
    <phoneticPr fontId="5"/>
  </si>
  <si>
    <t>000003515</t>
    <phoneticPr fontId="5"/>
  </si>
  <si>
    <t>New Relic NerdGraph Connector</t>
    <phoneticPr fontId="5"/>
  </si>
  <si>
    <t>000005347</t>
    <phoneticPr fontId="5"/>
  </si>
  <si>
    <t>New Relic Advanced Connector</t>
    <phoneticPr fontId="5"/>
  </si>
  <si>
    <t>000003525</t>
    <phoneticPr fontId="5"/>
  </si>
  <si>
    <t>Apple News Publisher Connector</t>
    <phoneticPr fontId="5"/>
  </si>
  <si>
    <t>000003807</t>
    <phoneticPr fontId="5"/>
  </si>
  <si>
    <t>New Relic Connectors</t>
    <phoneticPr fontId="5"/>
  </si>
  <si>
    <t>ED2611-05-TO-KB-New Relic Connectors-JA</t>
  </si>
  <si>
    <t>Machine Learning Concepts to Help You be More Successful</t>
    <phoneticPr fontId="5"/>
  </si>
  <si>
    <t>000004881</t>
    <phoneticPr fontId="5"/>
  </si>
  <si>
    <t>November</t>
    <phoneticPr fontId="5"/>
  </si>
  <si>
    <t>ED2611-06-TO-KB-November-JA Batch-1</t>
  </si>
  <si>
    <t>ED2611-06-TO-KB-November-JA Batch-1</t>
    <phoneticPr fontId="5"/>
  </si>
  <si>
    <t>Domo Free Quick Help Resources</t>
  </si>
  <si>
    <t>000004328</t>
  </si>
  <si>
    <t>Approvals Layout</t>
    <phoneticPr fontId="5"/>
  </si>
  <si>
    <t>000003012</t>
    <phoneticPr fontId="5"/>
  </si>
  <si>
    <t>Adding a DataSet Using a Connector</t>
    <phoneticPr fontId="5"/>
  </si>
  <si>
    <t>November 2025 Release Notes - JA</t>
    <phoneticPr fontId="5"/>
  </si>
  <si>
    <t>10</t>
    <phoneticPr fontId="5"/>
  </si>
  <si>
    <t xml:space="preserve">	000005913</t>
    <phoneticPr fontId="5"/>
  </si>
  <si>
    <t>freee Enterprise Connector</t>
    <phoneticPr fontId="5"/>
  </si>
  <si>
    <t>ED2611-10-TO-KB-freee Enterprise Connector-JA</t>
  </si>
  <si>
    <t>000005532</t>
    <phoneticPr fontId="5"/>
  </si>
  <si>
    <t>KB</t>
    <phoneticPr fontId="5"/>
  </si>
  <si>
    <t>freee Third Party Connector</t>
    <phoneticPr fontId="5"/>
  </si>
  <si>
    <t>000003823</t>
    <phoneticPr fontId="5"/>
  </si>
  <si>
    <t>000004717</t>
    <phoneticPr fontId="5"/>
  </si>
  <si>
    <t>ED2611-10-TO-KB-November-JA Batch-2</t>
  </si>
  <si>
    <t>DOMO-468111</t>
    <phoneticPr fontId="5"/>
  </si>
  <si>
    <t>000004040</t>
    <phoneticPr fontId="5"/>
  </si>
  <si>
    <t>Google Drive Enterprise Writeback Connector</t>
    <phoneticPr fontId="5"/>
  </si>
  <si>
    <t>Google Cloud Storage Writeback Connector</t>
    <phoneticPr fontId="5"/>
  </si>
  <si>
    <t>ED2609-01-TO-KB-September-JA Batch-4</t>
    <phoneticPr fontId="5"/>
  </si>
  <si>
    <t>Failed to return: ED2609-01-TO-KB-September-JA Batch-4</t>
    <phoneticPr fontId="5"/>
  </si>
  <si>
    <t>Relocalize</t>
    <phoneticPr fontId="5"/>
  </si>
  <si>
    <t>11</t>
    <phoneticPr fontId="5"/>
  </si>
  <si>
    <t>ED2611-11-TO-KB-Relocalize-JA</t>
  </si>
  <si>
    <t>ED2609-19-TO-KB-September-JA Batch-6</t>
    <phoneticPr fontId="5"/>
  </si>
  <si>
    <t>EN archived</t>
  </si>
  <si>
    <t>Apple Search Ads OAuth Connector</t>
    <phoneticPr fontId="5"/>
  </si>
  <si>
    <t>Updated November 2025 Release Notes - JA</t>
  </si>
  <si>
    <t>KB</t>
    <phoneticPr fontId="5"/>
  </si>
  <si>
    <t xml:space="preserve">	000005913</t>
    <phoneticPr fontId="5"/>
  </si>
  <si>
    <t>November 2025 Release Notes</t>
  </si>
  <si>
    <t>Requested by Ueno, Mandarin-Simplified、最終納品-12月</t>
    <rPh sb="39" eb="43">
      <t>サイシュウノウヒン</t>
    </rPh>
    <rPh sb="46" eb="47">
      <t>ガツ</t>
    </rPh>
    <phoneticPr fontId="5"/>
  </si>
  <si>
    <t>ED2611-13-TO-KB-November-JA Batch-3</t>
    <phoneticPr fontId="5"/>
  </si>
  <si>
    <t>ED2611-13-TO-KB-November-JA Batch-4</t>
  </si>
  <si>
    <t>ED2611-13-TO-KB-November-JA Batch-5</t>
  </si>
  <si>
    <t>ED2611-13-TO-KB-November-JA Batch-6</t>
  </si>
  <si>
    <t>ED2611-13-TO-KB-November-JA Batch-7</t>
  </si>
  <si>
    <t>ED2611-13-TO-KB-November-JA Batch-8</t>
  </si>
  <si>
    <t>ED2611-13-TO-KB-November-JA Batch-9</t>
  </si>
  <si>
    <t>ED2611-13-TO-KB-November-JA Batch-10</t>
  </si>
  <si>
    <t>ED2611-13-TO-KB-November-JA Batch-9</t>
    <phoneticPr fontId="5"/>
  </si>
  <si>
    <t>KB Updates for November 2025 GA Release</t>
    <phoneticPr fontId="5"/>
  </si>
  <si>
    <t>Create and Customize App Components in App Studio</t>
  </si>
  <si>
    <t>Use Instance Templates</t>
  </si>
  <si>
    <t>Domo on Snowflake</t>
    <phoneticPr fontId="5"/>
  </si>
  <si>
    <t>000005864</t>
    <phoneticPr fontId="5"/>
  </si>
  <si>
    <t>000005919</t>
    <phoneticPr fontId="5"/>
  </si>
  <si>
    <t>000005930</t>
    <phoneticPr fontId="5"/>
  </si>
  <si>
    <t>Snowflake Writeback Connector</t>
    <phoneticPr fontId="5"/>
  </si>
  <si>
    <t>Cloud Integrations (Cloud Amplifier) Troubleshooting</t>
  </si>
  <si>
    <t>000005871</t>
    <phoneticPr fontId="5"/>
  </si>
  <si>
    <t>Snowflake Key Pair Domo Managed Unload connector</t>
    <phoneticPr fontId="5"/>
  </si>
  <si>
    <t>000005921</t>
    <phoneticPr fontId="5"/>
  </si>
  <si>
    <t>Snowflake KeyPair Unload V2 Connector</t>
    <phoneticPr fontId="5"/>
  </si>
  <si>
    <t>Snowflake KeyPair Partition Connector</t>
    <phoneticPr fontId="5"/>
  </si>
  <si>
    <t>Snowflake KeyPair Unload Connector</t>
    <phoneticPr fontId="5"/>
  </si>
  <si>
    <t>000003885</t>
    <phoneticPr fontId="5"/>
  </si>
  <si>
    <t>Domo Platform Tour</t>
    <phoneticPr fontId="5"/>
  </si>
  <si>
    <t>000004332</t>
    <phoneticPr fontId="5"/>
  </si>
  <si>
    <t>Domo.AI Security and Privacy</t>
    <phoneticPr fontId="5"/>
  </si>
  <si>
    <t>03</t>
    <phoneticPr fontId="5"/>
  </si>
  <si>
    <t>CS2612-03-TO-Document-Domo.AI Security and Privacy-JA</t>
  </si>
  <si>
    <t>Domo.AI-and-DomoGPT-Security-and-Privacy-FAQ-Sept2024.pdf</t>
    <phoneticPr fontId="5"/>
  </si>
  <si>
    <t>Cloud Integrations (Cloud Amplifier) Troubleshooting</t>
    <phoneticPr fontId="5"/>
  </si>
  <si>
    <t>10</t>
    <phoneticPr fontId="5"/>
  </si>
  <si>
    <t>ED2612-10-TO-KB-Cloud Integrations (Cloud Amplifier) Troubleshooting-JA</t>
    <phoneticPr fontId="5"/>
  </si>
  <si>
    <t>11</t>
    <phoneticPr fontId="5"/>
  </si>
  <si>
    <t>December</t>
    <phoneticPr fontId="5"/>
  </si>
  <si>
    <t xml:space="preserve"> Batch-1</t>
    <phoneticPr fontId="5"/>
  </si>
  <si>
    <t>ED2612-11-TO-KB-December-JA Batch-1</t>
  </si>
  <si>
    <t>Magic ETL Tiles: Split Join and Split Filter</t>
    <phoneticPr fontId="5"/>
  </si>
  <si>
    <t>Use Sub Flow to Streamline Your Automations in Workflow</t>
    <phoneticPr fontId="5"/>
  </si>
  <si>
    <t xml:space="preserve"> Batch-1</t>
    <phoneticPr fontId="5"/>
  </si>
  <si>
    <t>ED2611-19-TO-KB-KB Updates for November 2025 GA Release-JA Batch-1</t>
  </si>
  <si>
    <t>ED2611-19-TO-KB-KB Updates for November 2025 GA Release-JA Batch-2</t>
  </si>
  <si>
    <t>ED2611-19-TO-KB-KB Updates for November 2025 GA Release-JA Batch-3</t>
  </si>
  <si>
    <t>ED2611-19-TO-KB-KB Updates for November 2025 GA Release-JA Batch-1</t>
    <phoneticPr fontId="5"/>
  </si>
  <si>
    <t>EN was draft</t>
    <phoneticPr fontId="5"/>
  </si>
  <si>
    <t>Changepoint Connector</t>
    <phoneticPr fontId="5"/>
  </si>
  <si>
    <t>Open Exchange Rates Advanced Connector</t>
    <phoneticPr fontId="5"/>
  </si>
  <si>
    <t>ED2612-15-TO-KB-December-JA Batch-2</t>
  </si>
  <si>
    <t>ED2612-15-TO-KB-December-JA Batch-3</t>
  </si>
  <si>
    <t>ED2612-15-TO-KB-December-JA Batch-4</t>
  </si>
  <si>
    <t>ED2612-15-TO-KB-December-JA Batch-6</t>
  </si>
  <si>
    <t>ED2612-15-TO-KB-December-JA Batch-7</t>
  </si>
  <si>
    <t>JIRA Cloud Connector</t>
  </si>
  <si>
    <t>LINE (Messaging API) Connector for Domo Japan</t>
  </si>
  <si>
    <t>Sansan Connector</t>
  </si>
  <si>
    <t>InContact Echo Connector</t>
  </si>
  <si>
    <t>Google BigQuery Workload Identity Federation Data Connector</t>
  </si>
  <si>
    <t>Vibe Connector</t>
  </si>
  <si>
    <t>Salesforce Rest Writeback Connector</t>
  </si>
  <si>
    <t>Domo SSO</t>
  </si>
  <si>
    <t>Smartsheet Connector</t>
  </si>
  <si>
    <t>Microsoft OneDrive Business Connector</t>
  </si>
  <si>
    <t>000003984</t>
    <phoneticPr fontId="5"/>
  </si>
  <si>
    <t>000003298</t>
    <phoneticPr fontId="5"/>
  </si>
  <si>
    <t>000005164</t>
    <phoneticPr fontId="5"/>
  </si>
  <si>
    <t>000003816</t>
    <phoneticPr fontId="5"/>
  </si>
  <si>
    <t>000003820</t>
    <phoneticPr fontId="5"/>
  </si>
  <si>
    <t>000003172</t>
    <phoneticPr fontId="5"/>
  </si>
  <si>
    <t>000005473</t>
    <phoneticPr fontId="5"/>
  </si>
  <si>
    <t>000003971</t>
    <phoneticPr fontId="5"/>
  </si>
  <si>
    <t>000003878</t>
    <phoneticPr fontId="5"/>
  </si>
  <si>
    <t>000003981</t>
    <phoneticPr fontId="5"/>
  </si>
  <si>
    <t>000003870</t>
    <phoneticPr fontId="5"/>
  </si>
  <si>
    <t>000003873</t>
    <phoneticPr fontId="5"/>
  </si>
  <si>
    <t>000003885</t>
    <phoneticPr fontId="5"/>
  </si>
  <si>
    <t>000004017</t>
    <phoneticPr fontId="5"/>
  </si>
  <si>
    <t>000005911</t>
    <phoneticPr fontId="5"/>
  </si>
  <si>
    <t>000005931</t>
    <phoneticPr fontId="5"/>
  </si>
  <si>
    <t>000004029</t>
    <phoneticPr fontId="5"/>
  </si>
  <si>
    <t>000005827</t>
    <phoneticPr fontId="5"/>
  </si>
  <si>
    <t>000003413</t>
    <phoneticPr fontId="5"/>
  </si>
  <si>
    <t>000003212</t>
    <phoneticPr fontId="5"/>
  </si>
  <si>
    <t>000003920</t>
    <phoneticPr fontId="5"/>
  </si>
  <si>
    <t>000003270</t>
    <phoneticPr fontId="5"/>
  </si>
  <si>
    <t>000003476</t>
    <phoneticPr fontId="5"/>
  </si>
  <si>
    <t>JIRA Cloud Writeback Connector</t>
  </si>
  <si>
    <t>000005245</t>
    <phoneticPr fontId="5"/>
  </si>
  <si>
    <t>ED2612-15-TO-KB-December-JA Batch-8</t>
  </si>
  <si>
    <t>ED2612-15-TO-KB-December-JA Batch-5</t>
    <phoneticPr fontId="5"/>
  </si>
  <si>
    <t>ED2612-15-TO-KB-December-JA Batch-2</t>
    <phoneticPr fontId="5"/>
  </si>
  <si>
    <t>Marketo Dashboard App</t>
    <phoneticPr fontId="5"/>
  </si>
  <si>
    <t>ED2612-15-TO-KB-December-JA Batch-6</t>
    <phoneticPr fontId="5"/>
  </si>
  <si>
    <t>000005902</t>
    <phoneticPr fontId="5"/>
  </si>
  <si>
    <t>How to Configure the Domo Mobile App with Microsoft Intune for Mobile SSO and Policy Management</t>
    <phoneticPr fontId="5"/>
  </si>
  <si>
    <t>Snowflake OAuth Unload V2 Connector</t>
    <phoneticPr fontId="5"/>
  </si>
  <si>
    <t>000003871</t>
    <phoneticPr fontId="5"/>
  </si>
  <si>
    <t>000005841</t>
    <phoneticPr fontId="5"/>
  </si>
  <si>
    <t>Snowflake Managed Unload Connector</t>
    <phoneticPr fontId="5"/>
  </si>
  <si>
    <t>Zendesk Support Connector with Upsert</t>
    <phoneticPr fontId="5"/>
  </si>
  <si>
    <t>Article titles</t>
    <phoneticPr fontId="5"/>
  </si>
  <si>
    <t>ED2612-17-TO-KB-Article titles-JA</t>
  </si>
  <si>
    <t>ED2612-15-TO-KB-December-JA Batch-4</t>
    <phoneticPr fontId="5"/>
  </si>
  <si>
    <t>DataSet Fields</t>
  </si>
  <si>
    <t>00005946</t>
    <phoneticPr fontId="5"/>
  </si>
  <si>
    <t>000005941</t>
    <phoneticPr fontId="10"/>
  </si>
  <si>
    <t>Procore Analytics</t>
  </si>
  <si>
    <t>000005934</t>
    <phoneticPr fontId="10"/>
  </si>
  <si>
    <t>000005741</t>
    <phoneticPr fontId="10"/>
  </si>
  <si>
    <t>000006000</t>
    <phoneticPr fontId="10"/>
  </si>
  <si>
    <t>ProcoreV2 Connector</t>
  </si>
  <si>
    <t>NetSuite SuiteAnalytics Connect Connector</t>
  </si>
  <si>
    <t>000003267</t>
  </si>
  <si>
    <t>000003024</t>
  </si>
  <si>
    <t>000003438</t>
  </si>
  <si>
    <t>000003772</t>
  </si>
  <si>
    <t>000003166</t>
  </si>
  <si>
    <t>Gong Domo Connector</t>
    <phoneticPr fontId="5"/>
  </si>
  <si>
    <t>000005441</t>
    <phoneticPr fontId="5"/>
  </si>
  <si>
    <t>NetSuite Connector - DEPRECATED</t>
    <phoneticPr fontId="5"/>
  </si>
  <si>
    <t>15</t>
    <phoneticPr fontId="5"/>
  </si>
  <si>
    <t>n/a</t>
    <phoneticPr fontId="5"/>
  </si>
  <si>
    <t>January 2026 Release Notes</t>
    <phoneticPr fontId="5"/>
  </si>
  <si>
    <t>January 2026 Release Notes</t>
    <phoneticPr fontId="5"/>
  </si>
  <si>
    <t>January</t>
    <phoneticPr fontId="5"/>
  </si>
  <si>
    <t xml:space="preserve"> Batch-1</t>
    <phoneticPr fontId="5"/>
  </si>
  <si>
    <t>ED2601-15-TO-KB-January-JA Batch-2</t>
  </si>
  <si>
    <t>000005786</t>
    <phoneticPr fontId="5"/>
  </si>
  <si>
    <t>ED2601-15-TO-KB-January-JA Batch-1</t>
  </si>
  <si>
    <t>ED2601-15-TO-KB-January-JA Batch-3</t>
  </si>
  <si>
    <t>ED2601-15-TO-KB-January-JA Batch-1</t>
    <phoneticPr fontId="5"/>
  </si>
  <si>
    <t>ED2601-15-TO-KB-January-JA Batch-2</t>
    <phoneticPr fontId="5"/>
  </si>
  <si>
    <t>ED2601-15-TO-KB-January-JA Batch-3</t>
    <phoneticPr fontId="5"/>
  </si>
  <si>
    <t>ED2601-15-TO-KB-January 2026 Release Notes-JA</t>
    <phoneticPr fontId="5"/>
  </si>
  <si>
    <t>Waiting for old JA Publishing</t>
  </si>
  <si>
    <t>ED2601-15-TO-KB-January-JA Batch-3</t>
    <phoneticPr fontId="5"/>
  </si>
  <si>
    <t xml:space="preserve"> Batch-4</t>
    <phoneticPr fontId="5"/>
  </si>
  <si>
    <t>000004557</t>
    <phoneticPr fontId="5"/>
  </si>
  <si>
    <t>ED2601-15-TO-KB-January 2026 Release Notes-JA Update</t>
    <phoneticPr fontId="5"/>
  </si>
  <si>
    <t>January 2026 Release Notes.html</t>
    <phoneticPr fontId="5"/>
  </si>
  <si>
    <t>000005934</t>
    <phoneticPr fontId="5"/>
  </si>
  <si>
    <t>ED2612-17-TO-KB-Article titles-JA.xlsx</t>
    <phoneticPr fontId="5"/>
  </si>
  <si>
    <t>January 2026 Release Notes-title.txt</t>
    <phoneticPr fontId="5"/>
  </si>
  <si>
    <t>Google Ad Manager REST Connector</t>
  </si>
  <si>
    <t>000006016</t>
  </si>
  <si>
    <t>Clio Connector</t>
  </si>
  <si>
    <t>000006013</t>
  </si>
  <si>
    <t>Running Workbench 5.1</t>
  </si>
  <si>
    <t>000004853</t>
  </si>
  <si>
    <t>Magic ETLタイル：AIサービス</t>
  </si>
  <si>
    <t>000006000</t>
  </si>
  <si>
    <t>DomoStatsコネクター</t>
  </si>
  <si>
    <t>000005946</t>
  </si>
  <si>
    <t>2025 Release 5 | September</t>
  </si>
  <si>
    <t>2025年9月リリースノート</t>
  </si>
  <si>
    <t>000005924</t>
  </si>
  <si>
    <t>Tiktok Adsコネクター</t>
  </si>
  <si>
    <t>000005941</t>
  </si>
  <si>
    <t>Box FileWatch Connector</t>
  </si>
  <si>
    <t>000005947</t>
  </si>
  <si>
    <t>000003656</t>
  </si>
  <si>
    <t>JIRAクラウドコネクター</t>
  </si>
  <si>
    <t>000003298</t>
  </si>
  <si>
    <t>属性</t>
  </si>
  <si>
    <t>Sansanコネクター</t>
  </si>
  <si>
    <t>000003820</t>
  </si>
  <si>
    <t>DomoでInContact Echoデータに接続する</t>
  </si>
  <si>
    <t>000003172</t>
  </si>
  <si>
    <t>Google BigQuery Workload Identity Federation Dataコネクター</t>
  </si>
  <si>
    <t>000005473</t>
  </si>
  <si>
    <t>Snowflake High Bandwidth With Advanced Partitionsコネクター</t>
  </si>
  <si>
    <t>000003971</t>
  </si>
  <si>
    <t>Snowflake Unload V2コネクター</t>
  </si>
  <si>
    <t>Snowflake Partitionコネクター</t>
  </si>
  <si>
    <t>000003981</t>
  </si>
  <si>
    <t>Snowflake Managed Unloadコネクター</t>
  </si>
  <si>
    <t>000003870</t>
  </si>
  <si>
    <t>Snowflake Unloadコネクター</t>
  </si>
  <si>
    <t>000003873</t>
  </si>
  <si>
    <t>Snowflakeコネクター</t>
  </si>
  <si>
    <t>000005911</t>
  </si>
  <si>
    <t>000005931</t>
  </si>
  <si>
    <t>Microsoft OneDrive Business Enterprise OAuth Configuration Connector</t>
  </si>
  <si>
    <t>000005793</t>
  </si>
  <si>
    <t>000005827</t>
  </si>
  <si>
    <t>Smartsheetコネクター</t>
  </si>
  <si>
    <t>000003413</t>
  </si>
  <si>
    <t>Cvent RESTコネクター</t>
  </si>
  <si>
    <t>Microsoft OneDrive for Businessコネクター</t>
  </si>
  <si>
    <t>000003920</t>
  </si>
  <si>
    <t>Sage Intacct Rest Connector</t>
  </si>
  <si>
    <t>000005917</t>
  </si>
  <si>
    <t>SAP Ariba Connector</t>
  </si>
  <si>
    <t>SAP Aribaコネクター</t>
  </si>
  <si>
    <t>000003611</t>
  </si>
  <si>
    <t>Shopify Custom Appコネクター</t>
  </si>
  <si>
    <t>000005100</t>
  </si>
  <si>
    <t>最新のリリースノート</t>
  </si>
  <si>
    <t>App Studio | 概要</t>
  </si>
  <si>
    <t>Workbench 5ユーザーインターフェースについて</t>
  </si>
  <si>
    <t>000004808</t>
  </si>
  <si>
    <t>Workbench 5でジョブをスケジュールする</t>
  </si>
  <si>
    <t>クレジットモニタリング</t>
  </si>
  <si>
    <t>000005326</t>
  </si>
  <si>
    <t>Magic ETL Tiles: Split Join and Split Filter</t>
  </si>
  <si>
    <t>000005919</t>
  </si>
  <si>
    <t>000005864</t>
  </si>
  <si>
    <t>Domo on Snowflake</t>
  </si>
  <si>
    <t>&gt; Domo on Snowflake（推奨）</t>
  </si>
  <si>
    <t>Google Sheets OAuth Writeback WIF Connector</t>
  </si>
  <si>
    <t>000005925</t>
  </si>
  <si>
    <t>ワークフローを作成する</t>
  </si>
  <si>
    <t>000005331</t>
  </si>
  <si>
    <t>Use Sub Flow to Streamline Your Automations in Workflow</t>
  </si>
  <si>
    <t>000005930</t>
  </si>
  <si>
    <t>Freshservice V2 Connector</t>
  </si>
  <si>
    <t>000005352</t>
  </si>
  <si>
    <t>Magic ETL DataFlowを作成する</t>
  </si>
  <si>
    <t>インスタンステンプレートを使用する</t>
  </si>
  <si>
    <t>000005913</t>
  </si>
  <si>
    <t>Snowflake KeyPair Unloadコネクター</t>
  </si>
  <si>
    <t>000003869</t>
  </si>
  <si>
    <t>Snowflake KeyPair Partitionコネクター</t>
  </si>
  <si>
    <t>000003858</t>
  </si>
  <si>
    <t>Snowflake Key Pair Domo Managed Unload connector</t>
  </si>
  <si>
    <t>000005921</t>
  </si>
  <si>
    <t>Facebook Connector</t>
  </si>
  <si>
    <t>Facebookコネクター</t>
  </si>
  <si>
    <t>000003477</t>
  </si>
  <si>
    <t>YouTube Multi Account Connector</t>
  </si>
  <si>
    <t>000005920</t>
  </si>
  <si>
    <t>Facebook Advanced Connector</t>
  </si>
  <si>
    <t>Facebook Advancedコネクター</t>
  </si>
  <si>
    <t>000003478</t>
  </si>
  <si>
    <t>freee Enterpriseコネクター</t>
  </si>
  <si>
    <t>January New Updates</t>
    <phoneticPr fontId="5"/>
  </si>
  <si>
    <t xml:space="preserve"> Batch-1</t>
    <phoneticPr fontId="5"/>
  </si>
  <si>
    <t>ED2601-21-TO-KB-January New Updates-JA Batch-1</t>
    <phoneticPr fontId="5"/>
  </si>
  <si>
    <t>ED2601-21-TO-KB-January New Updates-JA Batch-2</t>
  </si>
  <si>
    <t>Running Workbench 5.1</t>
    <phoneticPr fontId="5"/>
  </si>
  <si>
    <t>Procore Analytics</t>
    <phoneticPr fontId="5"/>
  </si>
  <si>
    <t>ED2601-21-TO-KB-January New Updates-JA Batch-1-Titles.xlsx</t>
    <phoneticPr fontId="5"/>
  </si>
  <si>
    <t>n/a</t>
    <phoneticPr fontId="5"/>
  </si>
  <si>
    <t>ED2601-21-TO-KB-January New Updates-JA Batch-2ーTitles.xlsx</t>
  </si>
  <si>
    <t>ED2601-21-TO-KB-January New Updates-JA Batch-2</t>
    <phoneticPr fontId="5"/>
  </si>
  <si>
    <t xml:space="preserve"> Update-2</t>
    <phoneticPr fontId="5"/>
  </si>
  <si>
    <t>ED2601-22-TO-KB-January 2026 Release Notes-JA Update-2</t>
    <phoneticPr fontId="5"/>
  </si>
  <si>
    <t xml:space="preserve"> Batch-3</t>
    <phoneticPr fontId="5"/>
  </si>
  <si>
    <t>ED2601-26-TO-KB-January New Updates-JA Batch-3</t>
  </si>
  <si>
    <t>ED2601-26-TO-KB-January New Updates-JA Batch-5</t>
  </si>
  <si>
    <t>ED2601-26-TO-KB-January New Updates-JA Batch-6</t>
  </si>
  <si>
    <t>ED2601-26-TO-KB-January New Updates-JA Batch-3</t>
    <phoneticPr fontId="5"/>
  </si>
  <si>
    <t>ED2601-26-TO-KB-January New Updates-JA Batch-4</t>
    <phoneticPr fontId="5"/>
  </si>
  <si>
    <t>ED2601-26-TO-KB-January New Updates-JA Batch-5</t>
    <phoneticPr fontId="5"/>
  </si>
  <si>
    <t>000005351</t>
  </si>
  <si>
    <t>000005514</t>
  </si>
  <si>
    <t>Microsoft SharePoint Online Rest Tenant Connector</t>
  </si>
  <si>
    <t>000005503</t>
  </si>
  <si>
    <t>Zendesk Chat Connector</t>
  </si>
  <si>
    <t>Salesforce Connector</t>
    <phoneticPr fontId="5"/>
  </si>
  <si>
    <t>ED2601-27-TO-KB-January-JA Batch-4</t>
  </si>
  <si>
    <t>Specify Default Overview Content for Users</t>
    <phoneticPr fontId="5"/>
  </si>
  <si>
    <t>ED2601-28-TO-KB-Specify Default Overview Content for Users-JA</t>
    <phoneticPr fontId="5"/>
  </si>
  <si>
    <t>29</t>
    <phoneticPr fontId="5"/>
  </si>
  <si>
    <t>November 2025 Release Update Course Description.docx</t>
  </si>
  <si>
    <t>Design Your Workflow-CB</t>
  </si>
  <si>
    <t>Using Sub Flows in Workflows-CB</t>
  </si>
  <si>
    <t>January 2026 Release Update Course Description.docx</t>
  </si>
  <si>
    <t>November 2025-January 2026</t>
    <phoneticPr fontId="5"/>
  </si>
  <si>
    <t>ED2601-29-TO-App-November 2025-January 2026-JA</t>
  </si>
  <si>
    <t>ED2601-29-TO-App-November 2025-January 2026-JA</t>
    <phoneticPr fontId="5"/>
  </si>
  <si>
    <t>AVP Palooza Cert Questions &amp; Training Modules</t>
  </si>
  <si>
    <t>ED2601-29-TO-Education-AVP Palooza Cert Questions &amp; Training Modules-JA</t>
    <phoneticPr fontId="5"/>
  </si>
  <si>
    <t>AVP Palooza Domo U Modules.xlsx</t>
    <phoneticPr fontId="5"/>
  </si>
  <si>
    <t>AVP Palooza Certification Questions by Class.xlsx</t>
    <phoneticPr fontId="5"/>
  </si>
  <si>
    <t xml:space="preserve"> Batch-7</t>
    <phoneticPr fontId="5"/>
  </si>
  <si>
    <t>Time Zone Formatting</t>
    <phoneticPr fontId="5"/>
  </si>
  <si>
    <t>000003485</t>
    <phoneticPr fontId="5"/>
  </si>
  <si>
    <t>ED2601-29-TO-KB-January New Updates-JA Batch-7</t>
    <phoneticPr fontId="5"/>
  </si>
  <si>
    <t>Jan. 26 GA Release KB Updates</t>
    <phoneticPr fontId="5"/>
  </si>
  <si>
    <t>FY27Q1-02</t>
  </si>
  <si>
    <t>FY27Q1-03</t>
  </si>
  <si>
    <t>FY27Q1-04</t>
  </si>
  <si>
    <t>FY27Q2-06</t>
  </si>
  <si>
    <t>FY27Q2-07</t>
  </si>
  <si>
    <t>Magic ETL Tiles: Disable Tiles</t>
    <phoneticPr fontId="5"/>
  </si>
  <si>
    <t>000005901</t>
    <phoneticPr fontId="5"/>
  </si>
  <si>
    <t>Magic ETL Tiles: JSON Expand Action</t>
    <phoneticPr fontId="5"/>
  </si>
  <si>
    <t>000006036</t>
    <phoneticPr fontId="5"/>
  </si>
  <si>
    <t>Domo AI Pro</t>
  </si>
  <si>
    <t>000005918</t>
    <phoneticPr fontId="5"/>
  </si>
  <si>
    <t>Magic ETL Tiles:DataSets</t>
    <phoneticPr fontId="5"/>
  </si>
  <si>
    <t>000003001</t>
    <phoneticPr fontId="5"/>
  </si>
  <si>
    <t>Current JA version could be the latest</t>
    <phoneticPr fontId="5"/>
  </si>
  <si>
    <t>Domo Sandbox</t>
    <phoneticPr fontId="5"/>
  </si>
  <si>
    <t>000004974</t>
    <phoneticPr fontId="5"/>
  </si>
  <si>
    <t>Domo SSO</t>
    <phoneticPr fontId="5"/>
  </si>
  <si>
    <t>000005827</t>
    <phoneticPr fontId="5"/>
  </si>
  <si>
    <t>Personalized Data
Permissions (PDP)</t>
    <phoneticPr fontId="5"/>
  </si>
  <si>
    <t>000004906</t>
    <phoneticPr fontId="5"/>
  </si>
  <si>
    <t>000005023</t>
    <phoneticPr fontId="5"/>
  </si>
  <si>
    <t xml:space="preserve">Needs Mintlify relocalization </t>
  </si>
  <si>
    <t xml:space="preserve">Needs Mintlify relocalization </t>
    <phoneticPr fontId="5"/>
  </si>
  <si>
    <t>Upsert in Magic ETL</t>
    <phoneticPr fontId="5"/>
  </si>
  <si>
    <t>Upsert in Magic ETL</t>
    <phoneticPr fontId="5"/>
  </si>
  <si>
    <t>ED2702-10-TO-KB-Support-Properties for Tables-JA</t>
  </si>
  <si>
    <t>Properties for Tables</t>
    <phoneticPr fontId="5"/>
  </si>
  <si>
    <t>ED2602-12-TO-App-Upsert in Magic ETL-JA</t>
  </si>
  <si>
    <t>AVP Palooza Cert Questions &amp; Training Modules</t>
    <phoneticPr fontId="5"/>
  </si>
  <si>
    <t>ED2702-13-TO-App-AVP Palooza Cert Questions &amp; Training Modules-JA</t>
    <phoneticPr fontId="5"/>
  </si>
  <si>
    <t>Working with DataSets-CB</t>
    <phoneticPr fontId="5"/>
  </si>
  <si>
    <t>Bulk Administration Tools</t>
    <phoneticPr fontId="5"/>
  </si>
  <si>
    <t>Create a Workflow-CB</t>
    <phoneticPr fontId="5"/>
  </si>
  <si>
    <t>Data Literacy-CB</t>
    <phoneticPr fontId="5"/>
  </si>
  <si>
    <t>Governing Your Data Ecosystem_CB</t>
    <phoneticPr fontId="5"/>
  </si>
  <si>
    <t>XTM Finished</t>
  </si>
  <si>
    <t>Requested by Arisa Takanohashi</t>
  </si>
  <si>
    <t>Completed in SFDC: To be relocalized</t>
    <phoneticPr fontId="5"/>
  </si>
  <si>
    <t>Review</t>
  </si>
  <si>
    <t xml:space="preserve">Needs Mintlify relocalization </t>
    <phoneticPr fontId="5"/>
  </si>
  <si>
    <t>ED2601-29-TO-KB-January New Updates-JA Batch-8</t>
  </si>
  <si>
    <t>Creating DataFlows in Magic ETL-CB</t>
    <phoneticPr fontId="5"/>
  </si>
  <si>
    <t>Cloud Amplifier_v2.0-CB</t>
    <phoneticPr fontId="5"/>
  </si>
  <si>
    <t>ModMed Connector</t>
    <phoneticPr fontId="5"/>
  </si>
  <si>
    <t>Handling Corda Legacy Product Requests</t>
    <phoneticPr fontId="5"/>
  </si>
  <si>
    <t>Not found</t>
    <phoneticPr fontId="5"/>
  </si>
  <si>
    <t>03</t>
    <phoneticPr fontId="5"/>
  </si>
  <si>
    <t>Pre-GitHub</t>
  </si>
  <si>
    <t>Pre-GitHub</t>
    <phoneticPr fontId="5"/>
  </si>
  <si>
    <t>Pre-GitHub March</t>
    <phoneticPr fontId="5"/>
  </si>
  <si>
    <t xml:space="preserve"> Batch-1</t>
    <phoneticPr fontId="5"/>
  </si>
  <si>
    <t>ED2703-03-TO-KB-Pre-GitHub March-JA Batch-1</t>
  </si>
  <si>
    <t>ED2703-03-TO-KB-Pre-GitHub March-JA Batch-2</t>
  </si>
  <si>
    <t>ED2703-03-TO-KB-Pre-GitHub March-JA Batch-3</t>
  </si>
  <si>
    <t>ED2703-03-TO-KB-Pre-GitHub March-JA Batch-1</t>
    <phoneticPr fontId="5"/>
  </si>
  <si>
    <t>Microsoft SharePoint Online REST Connector</t>
    <phoneticPr fontId="5"/>
  </si>
  <si>
    <t>ED2703-03-TO-KB-Pre-GitHub March-JA Batch-3</t>
    <phoneticPr fontId="5"/>
  </si>
  <si>
    <t>AVP Certification Questions 2026.xlsx</t>
  </si>
  <si>
    <t>04</t>
  </si>
  <si>
    <t>ED2703-04-TO-Education-AVP Certification Questions 2026.xlsx-JA</t>
    <phoneticPr fontId="5"/>
  </si>
  <si>
    <t>AVP Palooza Domo U Modules.xlsx</t>
    <phoneticPr fontId="5"/>
  </si>
  <si>
    <t>https://onjira.domo.com/browse/DOMO-476609</t>
    <phoneticPr fontId="5"/>
  </si>
  <si>
    <t>ED2703-03-TO-KB-Pre-GitHub March-JA Batch-1</t>
    <phoneticPr fontId="5"/>
  </si>
  <si>
    <t>05</t>
    <phoneticPr fontId="5"/>
  </si>
  <si>
    <t>ED2703-05-TO-KB-Jan. 26 GA Release KB Updates-JA</t>
  </si>
  <si>
    <t>DANSDBF Data Connector</t>
    <phoneticPr fontId="5"/>
  </si>
  <si>
    <t>DANSDBF Data Connector - mdb</t>
    <phoneticPr fontId="5"/>
  </si>
  <si>
    <t>09</t>
    <phoneticPr fontId="5"/>
  </si>
  <si>
    <t>000005106</t>
    <phoneticPr fontId="5"/>
  </si>
  <si>
    <t>ED2703-09-TO-KB-DANSDBF Data Connector - mdb-JA</t>
    <phoneticPr fontId="5"/>
  </si>
  <si>
    <t>PPO Domo Connector</t>
  </si>
  <si>
    <t>000005112</t>
  </si>
  <si>
    <t>ED2703-10-TO-KB-PPO Domo Connector-JA</t>
    <phoneticPr fontId="5"/>
  </si>
  <si>
    <t>Denodo Connector</t>
  </si>
  <si>
    <t>ED2703-10-TO-KB-Denodo Connector-JA</t>
  </si>
  <si>
    <t>000005123</t>
  </si>
  <si>
    <t>000005906</t>
    <phoneticPr fontId="5"/>
  </si>
  <si>
    <t xml:space="preserve"> NetSuite JDBC OAuth connector</t>
    <phoneticPr fontId="5"/>
  </si>
  <si>
    <t>24</t>
    <phoneticPr fontId="5"/>
  </si>
  <si>
    <t>Denodo Connector</t>
    <phoneticPr fontId="5"/>
  </si>
  <si>
    <t>Testing the pursing rule</t>
    <phoneticPr fontId="5"/>
  </si>
  <si>
    <t>000005106</t>
    <phoneticPr fontId="5"/>
  </si>
  <si>
    <t>PPO Domo Connector</t>
    <phoneticPr fontId="5"/>
  </si>
  <si>
    <t>Denodo Connector_PPO Domo Connector</t>
    <phoneticPr fontId="5"/>
  </si>
  <si>
    <t>ED2703-24-TO-KB-Denodo Connector_PPO Domo Connector-JA Update</t>
  </si>
  <si>
    <t>ED2703-24-TO-KB-Denodo Connector_PPO Domo Connector-JA Update</t>
    <phoneticPr fontId="5"/>
  </si>
  <si>
    <t>Shopify Connector</t>
    <phoneticPr fontId="5"/>
  </si>
  <si>
    <t>Tune Advertiser Connector</t>
    <phoneticPr fontId="5"/>
  </si>
  <si>
    <t>000005764</t>
    <phoneticPr fontId="5"/>
  </si>
  <si>
    <t>mdx</t>
  </si>
  <si>
    <t>Source file</t>
  </si>
  <si>
    <t>html</t>
    <phoneticPr fontId="5"/>
  </si>
  <si>
    <t>txt</t>
    <phoneticPr fontId="5"/>
  </si>
  <si>
    <t>xlsx</t>
    <phoneticPr fontId="5"/>
  </si>
  <si>
    <t>app</t>
    <phoneticPr fontId="5"/>
  </si>
  <si>
    <t>mdx</t>
    <phoneticPr fontId="5"/>
  </si>
  <si>
    <t>docx</t>
  </si>
  <si>
    <t>docx</t>
    <phoneticPr fontId="5"/>
  </si>
  <si>
    <t>360042931014</t>
  </si>
  <si>
    <t>360042928374</t>
    <phoneticPr fontId="5"/>
  </si>
  <si>
    <t>360060905774</t>
    <phoneticPr fontId="5"/>
  </si>
  <si>
    <t>1500008921782</t>
    <phoneticPr fontId="5"/>
  </si>
  <si>
    <t>360042927434</t>
    <phoneticPr fontId="5"/>
  </si>
  <si>
    <t>4744010382871</t>
    <phoneticPr fontId="5"/>
  </si>
  <si>
    <t>360042930754</t>
    <phoneticPr fontId="5"/>
  </si>
  <si>
    <t>360043432053</t>
    <phoneticPr fontId="5"/>
  </si>
  <si>
    <t>1500003942781</t>
    <phoneticPr fontId="5"/>
  </si>
  <si>
    <t>Create a Magic ETL DataFlow</t>
    <phoneticPr fontId="5"/>
  </si>
  <si>
    <t>360055259234</t>
    <phoneticPr fontId="5"/>
  </si>
  <si>
    <t>Subset Processing for Magic ETL on Snowflake (Beta)</t>
    <phoneticPr fontId="5"/>
  </si>
  <si>
    <t>search "Shopify"</t>
  </si>
  <si>
    <t>000005826</t>
    <phoneticPr fontId="5"/>
  </si>
  <si>
    <t>000005059</t>
    <phoneticPr fontId="5"/>
  </si>
  <si>
    <t>Domo Sandbox: Linked Repositories</t>
    <phoneticPr fontId="5"/>
  </si>
  <si>
    <t>360057028134</t>
    <phoneticPr fontId="5"/>
  </si>
  <si>
    <t>4403367344023</t>
  </si>
  <si>
    <t>EN was Draft</t>
  </si>
  <si>
    <t>EN was Draft</t>
    <phoneticPr fontId="5"/>
  </si>
  <si>
    <t>KB Updates</t>
    <phoneticPr fontId="5"/>
  </si>
  <si>
    <t xml:space="preserve"> Batch-1</t>
    <phoneticPr fontId="5"/>
  </si>
  <si>
    <t>ED2703-25-TO-KB-KB Updates-JA Batch-1</t>
  </si>
  <si>
    <t xml:space="preserve"> Batch-2</t>
    <phoneticPr fontId="5"/>
  </si>
  <si>
    <t>ED2703-25-TO-KB-KB Updates-JA Batch-2</t>
  </si>
  <si>
    <t>ED2703-25-TO-KB-KB Updates-JA Batch-3</t>
  </si>
  <si>
    <t>ED2703-25-TO-KB-KB Updates-JA Batch-4</t>
  </si>
  <si>
    <t>ED2703-25-TO-KB-KB Updates-JA Batch-5</t>
  </si>
  <si>
    <t>ED2703-25-TO-KB-KB Updates-JA Batch-6</t>
  </si>
  <si>
    <t>ED2703-25-TO-KB-KB Updates-JA Batch-7</t>
  </si>
  <si>
    <t>MongoDB ReplicaSet Connector</t>
    <phoneticPr fontId="5"/>
  </si>
  <si>
    <t>000005107</t>
  </si>
  <si>
    <t>Salesforce Advanced Connector</t>
    <phoneticPr fontId="5"/>
  </si>
  <si>
    <t>000003668</t>
    <phoneticPr fontId="5"/>
  </si>
  <si>
    <t>ED2703-25-TO-KB-KB Updates-JA Batch-4</t>
    <phoneticPr fontId="5"/>
  </si>
  <si>
    <t>ED2703-25-TO-KB-KB Updates-JA Batch-5</t>
    <phoneticPr fontId="5"/>
  </si>
  <si>
    <t>360042927994</t>
    <phoneticPr fontId="5"/>
  </si>
  <si>
    <t>ED2703-25-TO-KB-KB Updates-JA Batch-6</t>
    <phoneticPr fontId="5"/>
  </si>
  <si>
    <t>000005796</t>
    <phoneticPr fontId="5"/>
  </si>
  <si>
    <t>360042926274</t>
    <phoneticPr fontId="5"/>
  </si>
  <si>
    <t>360043437993</t>
    <phoneticPr fontId="5"/>
  </si>
  <si>
    <t>ED2703-25-TO-KB-KB Updates-JA Batch-2</t>
    <phoneticPr fontId="5"/>
  </si>
  <si>
    <t>March 2026 Feature Release Update Files</t>
  </si>
  <si>
    <t>07</t>
    <phoneticPr fontId="5"/>
  </si>
  <si>
    <t>Topics</t>
    <phoneticPr fontId="5"/>
  </si>
  <si>
    <t xml:space="preserve"> Batch-1</t>
    <phoneticPr fontId="5"/>
  </si>
  <si>
    <t>ED2704-07-TO-KB-DANSDBF Data Connector-JA Bugfix</t>
    <phoneticPr fontId="5"/>
  </si>
  <si>
    <t>docs.json</t>
    <phoneticPr fontId="5"/>
  </si>
  <si>
    <t>08</t>
  </si>
  <si>
    <t>ED2704-08-TO-KB-docs.json-JA</t>
    <phoneticPr fontId="5"/>
  </si>
  <si>
    <t>docs.json - Without URLs</t>
    <phoneticPr fontId="5"/>
  </si>
  <si>
    <t>Amazon S3 Writeback Connector</t>
    <phoneticPr fontId="5"/>
  </si>
  <si>
    <t>Writeback</t>
    <phoneticPr fontId="5"/>
  </si>
  <si>
    <t>09</t>
  </si>
  <si>
    <t>360042932194.mdx</t>
    <phoneticPr fontId="5"/>
  </si>
  <si>
    <t>000005234.mdx</t>
  </si>
  <si>
    <t>ED2704-09-TO-KB-Support-Writeback-JA</t>
  </si>
  <si>
    <t>Tsuyoshi Fujii &lt;tsuyoshi.fujii@domo.com&gt;</t>
  </si>
  <si>
    <t>[KB翻訳依頼] Client ID / Secret発行方法箇所の翻訳について</t>
  </si>
  <si>
    <t>ED2704-09-TO-KB-Support-Writeback-JA</t>
    <phoneticPr fontId="5"/>
  </si>
  <si>
    <t>ED2704-07-TO-App-March 2026 Feature Release Update Files-JA</t>
    <phoneticPr fontId="5"/>
  </si>
  <si>
    <t>360042928374.mdx</t>
  </si>
  <si>
    <t>360042927434.mdx</t>
  </si>
  <si>
    <t>KB April</t>
    <phoneticPr fontId="5"/>
  </si>
  <si>
    <t>16</t>
    <phoneticPr fontId="5"/>
  </si>
  <si>
    <t>ED2704-16-TO-KB-KB April-JA Bugfix</t>
  </si>
  <si>
    <t>ED2704-16-TO-KB-KB April-JA Bugfix</t>
    <phoneticPr fontId="5"/>
  </si>
  <si>
    <t>docs.json</t>
  </si>
  <si>
    <t>22</t>
    <phoneticPr fontId="5"/>
  </si>
  <si>
    <t>ED2704-22-TO-KB-docs.json-JA Update</t>
    <phoneticPr fontId="5"/>
  </si>
  <si>
    <t>25</t>
    <phoneticPr fontId="5"/>
  </si>
  <si>
    <t xml:space="preserve"> Update-2</t>
    <phoneticPr fontId="5"/>
  </si>
  <si>
    <t>ED2704-25-MH-KB-docs.json-JA Update-2</t>
  </si>
  <si>
    <t>360042925374</t>
    <phoneticPr fontId="5"/>
  </si>
  <si>
    <t>Magic ETL Tiles: Disable Tiles</t>
  </si>
  <si>
    <t>000005901.mdx</t>
    <phoneticPr fontId="5"/>
  </si>
  <si>
    <t>360043429473.mdx</t>
  </si>
  <si>
    <t>PR</t>
  </si>
  <si>
    <t>PR</t>
    <phoneticPr fontId="5"/>
  </si>
  <si>
    <t>000005744.mdx</t>
  </si>
  <si>
    <t>000005756.mdx</t>
  </si>
  <si>
    <t>000005786.mdx</t>
  </si>
  <si>
    <t>000005793.mdx</t>
  </si>
  <si>
    <t>000005795.mdx</t>
  </si>
  <si>
    <t>000005100.mdx</t>
  </si>
  <si>
    <t>000005164.mdx</t>
  </si>
  <si>
    <t>000005240.mdx</t>
  </si>
  <si>
    <t>000005241.mdx</t>
  </si>
  <si>
    <t>000005245.mdx</t>
  </si>
  <si>
    <t>000005303.mdx</t>
  </si>
  <si>
    <t>000005312.mdx</t>
  </si>
  <si>
    <t>000005326.mdx</t>
  </si>
  <si>
    <t>000005331.mdx</t>
  </si>
  <si>
    <t>000005352.mdx</t>
  </si>
  <si>
    <t>000005369.mdx</t>
  </si>
  <si>
    <t>000005387.mdx</t>
  </si>
  <si>
    <t>000005426.mdx</t>
  </si>
  <si>
    <t>000005441.mdx</t>
  </si>
  <si>
    <t>000005471.mdx</t>
  </si>
  <si>
    <t>000005473.mdx</t>
  </si>
  <si>
    <t>000005492.mdx</t>
  </si>
  <si>
    <t>000005532.mdx</t>
  </si>
  <si>
    <t>000005556.mdx</t>
  </si>
  <si>
    <t>000005561.mdx</t>
  </si>
  <si>
    <t>000005586.mdx</t>
  </si>
  <si>
    <t>000005697.mdx</t>
  </si>
  <si>
    <t>000005699.mdx</t>
  </si>
  <si>
    <t>000005710.mdx</t>
  </si>
  <si>
    <t>000005741.mdx</t>
  </si>
  <si>
    <t>JIRA Cloud Writeback Connector</t>
    <phoneticPr fontId="5"/>
  </si>
  <si>
    <t>Domo on Amazon Redshift</t>
    <phoneticPr fontId="5"/>
  </si>
  <si>
    <t>Credit Monitoring</t>
    <phoneticPr fontId="5"/>
  </si>
  <si>
    <t>Workflows — AI Service Layer Integration</t>
  </si>
  <si>
    <t>Gong Domo Connector</t>
  </si>
  <si>
    <t>Domo on Azure SQL</t>
  </si>
  <si>
    <t>Data Refresh Permissions</t>
  </si>
  <si>
    <t>TikTok Business Connector</t>
  </si>
  <si>
    <t>Set Up Domo on Oracle Cloud</t>
  </si>
  <si>
    <t>Freemium Overview</t>
  </si>
  <si>
    <t>Domo on Amazon Athena</t>
  </si>
  <si>
    <t>Domo on PostgreSQL</t>
  </si>
  <si>
    <t>April</t>
    <phoneticPr fontId="5"/>
  </si>
  <si>
    <t xml:space="preserve"> Batch-1</t>
    <phoneticPr fontId="5"/>
  </si>
  <si>
    <t>ED2704-27-TO-KB-April-JA Batch-1</t>
  </si>
  <si>
    <t>ED2704-27-TO-KB-April-JA Batch-2</t>
  </si>
  <si>
    <t>ED2704-27-TO-KB-April-JA Batch-3</t>
  </si>
  <si>
    <t xml:space="preserve"> Batch-2</t>
    <phoneticPr fontId="5"/>
  </si>
  <si>
    <t>ED2704-27-TO-KB-April-JA Batch-4</t>
  </si>
  <si>
    <t>ED2704-27-TO-KB-April-JA Batch-5</t>
  </si>
  <si>
    <t>ED2704-27-TO-KB-April-JA Batch-6</t>
  </si>
  <si>
    <t>ED2704-27-TO-KB-April-JA Batch-5</t>
    <phoneticPr fontId="5"/>
  </si>
  <si>
    <t>ED2704-27-TO-KB-April-JA Batch-1</t>
    <phoneticPr fontId="5"/>
  </si>
  <si>
    <t>360042927994.mdx</t>
    <phoneticPr fontId="5"/>
  </si>
  <si>
    <t>Set to GitHub production</t>
  </si>
  <si>
    <t>Set to GitHub production</t>
    <phoneticPr fontId="5"/>
  </si>
  <si>
    <t>GH-Connector test</t>
    <phoneticPr fontId="5"/>
  </si>
  <si>
    <t>28</t>
  </si>
  <si>
    <t>ED2704-28-TO-KB-GH-Connector test-JA</t>
    <phoneticPr fontId="5"/>
  </si>
  <si>
    <t>360043439153</t>
  </si>
  <si>
    <t>Priorities</t>
    <phoneticPr fontId="5"/>
  </si>
  <si>
    <t>DataSet, Magic ETL, Cloud Amplifier</t>
    <phoneticPr fontId="5"/>
  </si>
  <si>
    <t>GitHub status</t>
    <phoneticPr fontId="5"/>
  </si>
  <si>
    <t>Pull Request</t>
    <phoneticPr fontId="5"/>
  </si>
  <si>
    <t>000005698.mdx</t>
  </si>
  <si>
    <t>360042922814.mdx</t>
  </si>
  <si>
    <t>360043427353.mdx</t>
  </si>
  <si>
    <t>360043427373.mdx</t>
  </si>
  <si>
    <t>360043427713.mdx</t>
  </si>
  <si>
    <t>360043427733.mdx</t>
  </si>
  <si>
    <t>360043427753.mdx</t>
  </si>
  <si>
    <t>360043427773.mdx</t>
  </si>
  <si>
    <t>360044258533.mdx</t>
  </si>
  <si>
    <t>360044296573.mdx</t>
  </si>
  <si>
    <t>360044876094.mdx</t>
  </si>
  <si>
    <t>360044876874.mdx</t>
  </si>
  <si>
    <t>360044951294.mdx</t>
  </si>
  <si>
    <t>360045402313.mdx</t>
  </si>
  <si>
    <t>360047553253.mdx</t>
  </si>
  <si>
    <t>360047787514.mdx</t>
  </si>
  <si>
    <t>360048127854.mdx</t>
  </si>
  <si>
    <t>4405156517527.mdx</t>
  </si>
  <si>
    <t>4408794063639.mdx</t>
  </si>
  <si>
    <t>4425111066903.mdx</t>
  </si>
  <si>
    <t>4662034775319.mdx</t>
  </si>
  <si>
    <t>4662355030423.mdx</t>
  </si>
  <si>
    <t>New Magic ETL</t>
    <phoneticPr fontId="5"/>
  </si>
  <si>
    <t>14</t>
    <phoneticPr fontId="5"/>
  </si>
  <si>
    <t>Modification : New Magic ETL</t>
  </si>
  <si>
    <t>ED2705-14-TO-KB-New Magic ETL-JA</t>
    <phoneticPr fontId="5"/>
  </si>
  <si>
    <t>What Are Consumption Credits and How Do They Work</t>
    <phoneticPr fontId="5"/>
  </si>
  <si>
    <t>000005280.mdx</t>
    <phoneticPr fontId="5"/>
  </si>
  <si>
    <t>FY27Q1-05</t>
  </si>
  <si>
    <t>FY27Q2-05</t>
  </si>
  <si>
    <t>Consumption</t>
    <phoneticPr fontId="5"/>
  </si>
  <si>
    <t>FY27Q1-06</t>
  </si>
  <si>
    <t>360045485833.mdx</t>
  </si>
  <si>
    <t>Hazuki Tarpey &lt;hazuki.tarpey@domo.com&gt;</t>
  </si>
  <si>
    <t>ED2705-20-TO-KB-Consumption-JA-My Github project - 129709</t>
    <phoneticPr fontId="5"/>
  </si>
  <si>
    <t>000005309.mdx</t>
    <phoneticPr fontId="5"/>
  </si>
  <si>
    <t>ED2705-18-TO-KB-What Are Consumption Credits and How Do They Work-JA</t>
    <phoneticPr fontId="5"/>
  </si>
  <si>
    <t>DataSet</t>
    <phoneticPr fontId="5"/>
  </si>
  <si>
    <t>360042934614.mdx</t>
  </si>
  <si>
    <t>360042932654.mdx</t>
  </si>
  <si>
    <t>000005946.mdx</t>
  </si>
  <si>
    <t>360045402273.mdx</t>
  </si>
  <si>
    <t>360043428293.mdx</t>
  </si>
  <si>
    <t>360047403773.mdx</t>
  </si>
  <si>
    <t>360046074774.mdx</t>
  </si>
  <si>
    <t>360042933754.mdx</t>
  </si>
  <si>
    <t>360043437933.mdx</t>
  </si>
  <si>
    <t>360045259294.mdx</t>
  </si>
  <si>
    <t>360042922994.mdx</t>
  </si>
  <si>
    <t>360043433813.mdx</t>
  </si>
  <si>
    <t>360043430653.mdx</t>
  </si>
  <si>
    <t>360043430713.mdx</t>
  </si>
  <si>
    <t>360043437733.mdx</t>
  </si>
  <si>
    <t>360043931814.mdx</t>
  </si>
  <si>
    <t>Combine DataSets Using DataFusion (Deprecated)</t>
  </si>
  <si>
    <t>Connecting Cards to a Different DataSet</t>
  </si>
  <si>
    <t>Share a DataSet</t>
  </si>
  <si>
    <t>Domo CLI (Command Line Interface) Tool</t>
  </si>
  <si>
    <t>Sample DataSets</t>
  </si>
  <si>
    <t>Inline Editing | User Guide</t>
  </si>
  <si>
    <t>Use the (Legacy) Domo Excel Plugin</t>
  </si>
  <si>
    <t>Create a SQL DataFlow</t>
  </si>
  <si>
    <t xml:space="preserve"> Batch-1-1</t>
    <phoneticPr fontId="5"/>
  </si>
  <si>
    <t>ED2705-25-TO-KB-DataSet-JA Batch-1-1</t>
  </si>
  <si>
    <t>ED2705-25-TO-KB-DataSet-JA Batch-1-2</t>
  </si>
  <si>
    <t>ED2705-25-TO-KB-DataSet-JA Batch-1-3</t>
  </si>
  <si>
    <t>ED2705-25-TO-KB-DataSet-JA Batch-1-1</t>
    <phoneticPr fontId="5"/>
  </si>
  <si>
    <t xml:space="preserve"> Batch-1-2</t>
  </si>
  <si>
    <t xml:space="preserve"> Batch-1-3</t>
  </si>
  <si>
    <t>Upgrade to Magic ETL v2</t>
  </si>
  <si>
    <t>2021 Release 3 | October</t>
  </si>
  <si>
    <t>May 2026 Release Update Files</t>
    <phoneticPr fontId="5"/>
  </si>
  <si>
    <t>What Are Consumption Credits and How Do They Work</t>
  </si>
  <si>
    <t>「Google BigQuery High Bandwidth Connector」：日本語版がありません</t>
    <phoneticPr fontId="5"/>
  </si>
  <si>
    <t>ED2704-08-TO-KB-docs.json-JA</t>
  </si>
  <si>
    <t>ED2704-09-TO-KB-docs.json-JA</t>
  </si>
  <si>
    <t>ED2704-10-TO-KB-docs.json-JA</t>
  </si>
  <si>
    <t>ED2704-11-TO-KB-docs.json-JA</t>
  </si>
  <si>
    <t>Query_Toin_EN-JP.xlsx</t>
  </si>
  <si>
    <t>テキスト抽出エラー</t>
    <rPh sb="4" eb="6">
      <t>チュウシュツ</t>
    </rPh>
    <phoneticPr fontId="5"/>
  </si>
  <si>
    <t>360042930754.mdx</t>
  </si>
  <si>
    <r>
      <t>リンク先のURLに言語コードen-usが付いていますが、タグ内に含まれているため修正できません。
(https://domo-support.domo.com/s/topic/0TO5w000000ZanoGAC/implementing-sso?language=</t>
    </r>
    <r>
      <rPr>
        <sz val="9"/>
        <color rgb="FFFF0000"/>
        <rFont val="Meiryo UI"/>
        <family val="3"/>
        <charset val="128"/>
      </rPr>
      <t>en_US</t>
    </r>
    <r>
      <rPr>
        <sz val="9"/>
        <rFont val="Meiryo UI"/>
        <family val="3"/>
        <charset val="128"/>
      </rPr>
      <t>)
(https://domo-support.domo.com/s/topic/0TO5w000000ZandGAC/domo-security-options?language=</t>
    </r>
    <r>
      <rPr>
        <sz val="9"/>
        <color rgb="FFFF0000"/>
        <rFont val="Meiryo UI"/>
        <family val="3"/>
        <charset val="128"/>
      </rPr>
      <t>en_US</t>
    </r>
    <r>
      <rPr>
        <sz val="9"/>
        <rFont val="Meiryo UI"/>
        <family val="3"/>
        <charset val="128"/>
      </rPr>
      <t>)</t>
    </r>
  </si>
  <si>
    <t>Article/File</t>
    <phoneticPr fontId="5"/>
  </si>
  <si>
    <t>Article/File</t>
    <phoneticPr fontId="5"/>
  </si>
  <si>
    <t>Google BigQuery High Bandwidth Connector</t>
    <phoneticPr fontId="5"/>
  </si>
  <si>
    <t>「MySQL Advanced Security Connector」：日本語版がありません</t>
    <phoneticPr fontId="5"/>
  </si>
  <si>
    <t>MySQL Advanced Security Connector</t>
    <phoneticPr fontId="5"/>
  </si>
  <si>
    <t>「Setting Up Direct Upload in Workbench」：日本語版がありません</t>
    <phoneticPr fontId="5"/>
  </si>
  <si>
    <t>Setting Up Direct Upload in Workbench</t>
    <phoneticPr fontId="5"/>
  </si>
  <si>
    <t>「COVID-19 Connector」：日本語版がありません</t>
    <phoneticPr fontId="5"/>
  </si>
  <si>
    <t>COVID-19 Connector</t>
    <phoneticPr fontId="5"/>
  </si>
  <si>
    <r>
      <t>「</t>
    </r>
    <r>
      <rPr>
        <sz val="10"/>
        <color rgb="FF000000"/>
        <rFont val="Arial"/>
        <family val="2"/>
      </rPr>
      <t>Zendesk Chat Connector</t>
    </r>
    <r>
      <rPr>
        <sz val="10"/>
        <color rgb="FF000000"/>
        <rFont val="ＭＳ Ｐゴシック"/>
        <family val="3"/>
        <charset val="128"/>
      </rPr>
      <t>」：日本語版がありません</t>
    </r>
    <phoneticPr fontId="5"/>
  </si>
  <si>
    <t>「USGS Earthquakes Connector」（/s/article/360042931034）は日本語版がありません。</t>
    <phoneticPr fontId="5"/>
  </si>
  <si>
    <t>USGS Earthquakes Connector</t>
    <phoneticPr fontId="5"/>
  </si>
  <si>
    <t>4407032210199.mdx</t>
    <phoneticPr fontId="5"/>
  </si>
  <si>
    <t>4403895116823.mdx</t>
    <phoneticPr fontId="5"/>
  </si>
  <si>
    <t>4410071437335.mdx</t>
    <phoneticPr fontId="5"/>
  </si>
  <si>
    <t>GitHub-XTM projects</t>
    <phoneticPr fontId="5"/>
  </si>
  <si>
    <t xml:space="preserve"> Batch-1</t>
    <phoneticPr fontId="5"/>
  </si>
  <si>
    <t>ED2706-03-TO-KB-GitHub-XTM projects-JA Batch-1</t>
    <phoneticPr fontId="5"/>
  </si>
  <si>
    <t xml:space="preserve"> New-Need list update</t>
    <phoneticPr fontId="5"/>
  </si>
  <si>
    <t>List to be updated</t>
    <phoneticPr fontId="5"/>
  </si>
  <si>
    <t>Published with List</t>
    <phoneticPr fontId="5"/>
  </si>
  <si>
    <t>XTM created-ToBe Kickedoff</t>
  </si>
  <si>
    <t>ED2706-08-TO-App-May 2026 Release Update Files-JA</t>
    <phoneticPr fontId="5"/>
  </si>
  <si>
    <t>May 2026 Release Update.docx</t>
  </si>
  <si>
    <t>Using Domo Data-CB</t>
    <phoneticPr fontId="5"/>
  </si>
  <si>
    <t>Data Specialist v2.0 Practical Test Instructions</t>
  </si>
  <si>
    <t>ED2706-09-TO-Education-Data Specialist v2.0 Practical Test Instructions-JA</t>
    <phoneticPr fontId="5"/>
  </si>
  <si>
    <t>Data Specialist v2.0 Practical Test Instructions.docx</t>
    <phoneticPr fontId="5"/>
  </si>
  <si>
    <t>Parsing rule issues</t>
    <phoneticPr fontId="5"/>
  </si>
  <si>
    <t>「Build an AI Agent Task in Workflows」(https://domo-support.domo.com/s/article/000005865)は日本語版未翻訳です。</t>
  </si>
  <si>
    <t>「Use Sub Flow to Streamline Your Automations in Workflow」（/s/article/000005930）は日本語版未翻訳です。</t>
  </si>
  <si>
    <t>Parsing error</t>
    <phoneticPr fontId="5"/>
  </si>
  <si>
    <t>ED2705-25-TO-KB-DataSet-JA Batch-1-3</t>
    <phoneticPr fontId="5"/>
  </si>
  <si>
    <t>Parsing error</t>
  </si>
  <si>
    <t>PR completed</t>
    <phoneticPr fontId="5"/>
  </si>
  <si>
    <t>リンク先のURLがタグ内に入っており、ローカライズできません。(/articles/en_US/Knowledge/000005280), (https://www.domo.com/consumption-terms)</t>
  </si>
  <si>
    <t>「Consumptionクレジットとその仕組みについて」のURLがタグ内に入っており、英語ページが指定されているため、日本語のPDFに置き換えることができませんでした。</t>
  </si>
  <si>
    <t>000006094.mdx</t>
  </si>
  <si>
    <t>March-2026-Release.mdx</t>
  </si>
  <si>
    <t>4407022160791.mdx</t>
  </si>
  <si>
    <t>000005908.mdx</t>
  </si>
  <si>
    <t>Sansan Connector</t>
    <phoneticPr fontId="5"/>
  </si>
  <si>
    <t>2026 Release 2 | March</t>
    <phoneticPr fontId="5"/>
  </si>
  <si>
    <t>Workflows — AI Service Layer Integration</t>
    <phoneticPr fontId="5"/>
  </si>
  <si>
    <t>Minor Release Notes</t>
    <phoneticPr fontId="5"/>
  </si>
  <si>
    <t>Created date</t>
    <phoneticPr fontId="5"/>
  </si>
  <si>
    <t>KB-XTM connector</t>
    <phoneticPr fontId="5"/>
  </si>
  <si>
    <t>KB-GitHub Local</t>
    <phoneticPr fontId="5"/>
  </si>
  <si>
    <t>C:\Users\Masaaki.Hori\OneDrive - Domo Inc\________Project Management\__KB Project\__File management\articles-missing-japanese-2026-02-13-and-after</t>
  </si>
  <si>
    <t>C:\Users\Masaaki.Hori\OneDrive - Domo Inc\________Project Management\__KB Project\__File management\articles-missing-japanese-2026-02-14-and-after</t>
  </si>
  <si>
    <t>C:\Users\Masaaki.Hori\OneDrive - Domo Inc\________Project Management\__KB Project\__File management\articles-missing-japanese-2026-02-15-and-after</t>
  </si>
  <si>
    <t>C:\Users\Masaaki.Hori\OneDrive - Domo Inc\________Project Management\__KB Project\__File management\articles-missing-japanese-2026-02-16-and-after</t>
  </si>
  <si>
    <t>C:\Users\Masaaki.Hori\OneDrive - Domo Inc\________Project Management\__KB Project\__File management\articles-missing-japanese-2026-02-17-and-after</t>
  </si>
  <si>
    <t>File management Path</t>
    <phoneticPr fontId="5"/>
  </si>
  <si>
    <t>KB-mdx</t>
  </si>
  <si>
    <t>KB-mdx</t>
    <phoneticPr fontId="5"/>
  </si>
  <si>
    <t>June priority-1</t>
    <phoneticPr fontId="5"/>
  </si>
  <si>
    <t>June priority-2</t>
    <phoneticPr fontId="5"/>
  </si>
  <si>
    <t xml:space="preserve"> Batch-1</t>
    <phoneticPr fontId="5"/>
  </si>
  <si>
    <t>ED2706-19-TO-KB-mdx-June priority-2-JA Batch-1</t>
  </si>
  <si>
    <t>Configure Agent Role and Instructions</t>
    <phoneticPr fontId="5"/>
  </si>
  <si>
    <t>GitHub Connector</t>
    <phoneticPr fontId="5"/>
  </si>
  <si>
    <t>SFTP Connector</t>
    <phoneticPr fontId="5"/>
  </si>
  <si>
    <t>Anthropic Admin Connector</t>
    <phoneticPr fontId="5"/>
  </si>
  <si>
    <t>AI Admin Agent Settings</t>
    <phoneticPr fontId="5"/>
  </si>
  <si>
    <t>Configure-Agent-Role-and-Instructions.mdx</t>
  </si>
  <si>
    <t>GitHub-Connector.mdx</t>
  </si>
  <si>
    <t>SFTP-Connector.mdx</t>
  </si>
  <si>
    <t>Anthropic-Admin-Connector.mdx</t>
  </si>
  <si>
    <t>AI-Admin-Agent-Settings.mdx</t>
  </si>
  <si>
    <t>ED2706-19-TO-KB-mdx-June priority-2-JA Batch-2</t>
  </si>
  <si>
    <t>ED2706-19-TO-KB-mdx-June priority-2-JA Batch-3</t>
  </si>
  <si>
    <t>ED2706-19-TO-KB-mdx-June priority-2-JA Batch-4</t>
  </si>
  <si>
    <t>ED2706-19-TO-KB-mdx-June priority-2-JA Batch-5</t>
  </si>
  <si>
    <t>AI Admin Settings</t>
    <phoneticPr fontId="5"/>
  </si>
  <si>
    <t>AI Chat DataSet Restrictions</t>
    <phoneticPr fontId="5"/>
  </si>
  <si>
    <t>Magic ETL + AI</t>
    <phoneticPr fontId="5"/>
  </si>
  <si>
    <t>Analyzer Overview</t>
    <phoneticPr fontId="5"/>
  </si>
  <si>
    <t>DomoStats Overview</t>
    <phoneticPr fontId="5"/>
  </si>
  <si>
    <t>AI-Admin-Settings.mdx</t>
  </si>
  <si>
    <t>AI-Chat-DataSet-Restrictions.mdx</t>
  </si>
  <si>
    <t>Magic-ETL-AI.mdx</t>
  </si>
  <si>
    <t>Analyzer-Overview.mdx</t>
  </si>
  <si>
    <t>DomoStats-Overview.mdx</t>
  </si>
  <si>
    <t>Configure Data Freshness and Caching in Cloud Integrations</t>
    <phoneticPr fontId="5"/>
  </si>
  <si>
    <t>Access Tokens</t>
    <phoneticPr fontId="5"/>
  </si>
  <si>
    <t>Documents</t>
    <phoneticPr fontId="5"/>
  </si>
  <si>
    <t>PostgreSQL SSH Writeback Connector</t>
    <phoneticPr fontId="5"/>
  </si>
  <si>
    <t>Migrate Users to the New Left Navigation</t>
    <phoneticPr fontId="5"/>
  </si>
  <si>
    <t>Configure-Data-Freshness-and-Caching-in-Cloud-Integrations.mdx</t>
  </si>
  <si>
    <t>Access-Tokens.mdx</t>
  </si>
  <si>
    <t>Documents.mdx</t>
  </si>
  <si>
    <t>PostgreSQL-SSH-Writeback-Connector.mdx</t>
  </si>
  <si>
    <t>Migrate-Users-to-the-New-Left-Navigation.mdx</t>
  </si>
  <si>
    <t>ED2706-19-TO-KB-mdx-June priority-2-JA Batch-6</t>
  </si>
  <si>
    <t>ED2706-19-TO-KB-mdx-June priority-2-JA Batch-2</t>
    <phoneticPr fontId="5"/>
  </si>
  <si>
    <t>Set Up AWS PrivateLink with Domo</t>
  </si>
  <si>
    <t>AI Model Version Differences</t>
  </si>
  <si>
    <t>Credit Usage Stats Report — AI Fields</t>
  </si>
  <si>
    <t>Set-Up-AWS-PrivateLink-with-Domo.mdx</t>
  </si>
  <si>
    <t>AI-Library.mdx</t>
  </si>
  <si>
    <t>AI-Model-Version-Differences.mdx</t>
  </si>
  <si>
    <t>Credit-Usage-Stats-Report-AI-Fields.mdx</t>
  </si>
  <si>
    <t>1500000196462.mdx</t>
  </si>
  <si>
    <t>Amazon S3 Unload Writeback Connector</t>
    <phoneticPr fontId="5"/>
  </si>
  <si>
    <t>Domo on Lakebase</t>
    <phoneticPr fontId="5"/>
  </si>
  <si>
    <t>Salesforce Rest Writeback Connector</t>
    <phoneticPr fontId="5"/>
  </si>
  <si>
    <t>DataSet Fields</t>
    <phoneticPr fontId="5"/>
  </si>
  <si>
    <t>4405291644311.mdx</t>
  </si>
  <si>
    <t>Domo-on-Lakebase.mdx</t>
  </si>
  <si>
    <t>000005931.mdx</t>
  </si>
  <si>
    <t>000005941.mdx</t>
  </si>
  <si>
    <t>Magic ETL Tiles: JSON Expand Action</t>
  </si>
  <si>
    <t>Connect AI Tools to Domo Using MCP</t>
  </si>
  <si>
    <t>ADP WorkforceNow V2</t>
  </si>
  <si>
    <t>Use Worksheets</t>
  </si>
  <si>
    <t>Getting Started for Data Consumers</t>
  </si>
  <si>
    <t>Getting Started for Data Engineers</t>
  </si>
  <si>
    <t>2026 Release 1 | January</t>
  </si>
  <si>
    <t>000006016.mdx</t>
  </si>
  <si>
    <t>000006036.mdx</t>
  </si>
  <si>
    <t>Connect-AI-Tools-to-Domo-Using-MCP.mdx</t>
  </si>
  <si>
    <t>ADP-WorkforceNow-V2-Connector.mdx</t>
  </si>
  <si>
    <t>Use-Worksheets.mdx</t>
  </si>
  <si>
    <t>Getting-Started-for-Data-Consumers.mdx</t>
  </si>
  <si>
    <t>Getting-Started-for-Data-Engineers.mdx</t>
  </si>
  <si>
    <t>000004968.mdx</t>
  </si>
  <si>
    <t>ED2706-19-TO-KB-mdx-June priority-1-JA</t>
  </si>
  <si>
    <t>ED2706-19-TO-KB-mdx-June priority-1-JA</t>
    <phoneticPr fontId="5"/>
  </si>
  <si>
    <t>ED2706-19-TO-KB-mdx-June priority-2-JA Batch-1</t>
    <phoneticPr fontId="5"/>
  </si>
  <si>
    <t>ED2706-19-TO-KB-mdx-June priority-2-JA Batch-2</t>
    <phoneticPr fontId="5"/>
  </si>
  <si>
    <t>ED2706-19-TO-KB-mdx-June priority-2-JA Batch-4</t>
    <phoneticPr fontId="5"/>
  </si>
  <si>
    <t>Correct 2</t>
  </si>
  <si>
    <t>Correct 2</t>
    <phoneticPr fontId="5"/>
  </si>
  <si>
    <t>Finished</t>
    <phoneticPr fontId="5"/>
  </si>
  <si>
    <t>ED2706-19-TO-KB-mdx-June priority-2-JA Batch-2</t>
    <phoneticPr fontId="5"/>
  </si>
  <si>
    <t>XTM Status</t>
  </si>
  <si>
    <t>XTM Status</t>
    <phoneticPr fontId="5"/>
  </si>
  <si>
    <t>Project Status</t>
  </si>
  <si>
    <t>Project Status</t>
    <phoneticPr fontId="5"/>
  </si>
  <si>
    <t>PR completed</t>
  </si>
  <si>
    <t>GitHub status</t>
  </si>
  <si>
    <t>2024 Release 5 | September</t>
    <phoneticPr fontId="5"/>
  </si>
  <si>
    <t>21</t>
    <phoneticPr fontId="5"/>
  </si>
  <si>
    <t>Magic ETL Tiles: DataSets</t>
    <phoneticPr fontId="5"/>
  </si>
  <si>
    <t>Magic ETL Tiles</t>
    <phoneticPr fontId="5"/>
  </si>
  <si>
    <t>Claude-Test_Tools-vs-Skills.md - Evaluation</t>
    <phoneticPr fontId="5"/>
  </si>
  <si>
    <t>ED2707-22-MH-KB-mdx-Claude-Test_Tools-vs-Skills.md - Evaluation-JA</t>
  </si>
  <si>
    <t>JA-Claude-Test_Tools-vs-Skills.md</t>
    <phoneticPr fontId="5"/>
  </si>
  <si>
    <t>Finished</t>
  </si>
  <si>
    <t xml:space="preserve"> Batch-2</t>
    <phoneticPr fontId="5"/>
  </si>
  <si>
    <t>ED2707-21-MH-KB-mdx-Magic ETL Tiles-JA</t>
    <phoneticPr fontId="5"/>
  </si>
  <si>
    <t>N/A</t>
    <phoneticPr fontId="5"/>
  </si>
  <si>
    <t>ED2706-19-TO-KB-mdx-June priority-2-JA Batch-5</t>
    <phoneticPr fontId="5"/>
  </si>
  <si>
    <t>ED2706-08-TO-App-May 2026 Release Update Files-JA</t>
    <phoneticPr fontId="10"/>
  </si>
  <si>
    <t>AI Library</t>
    <phoneticPr fontId="5"/>
  </si>
  <si>
    <t>ED2706-19-TO-KB-mdx-June priority-2-JA Batch-1</t>
    <phoneticPr fontId="5"/>
  </si>
  <si>
    <t>360043433813.mdx</t>
    <phoneticPr fontId="5"/>
  </si>
  <si>
    <t>03</t>
    <phoneticPr fontId="5"/>
  </si>
  <si>
    <t>ED2708-03-MH-KB-mdx-DomoStats Connector-JA</t>
  </si>
  <si>
    <t>FY27Q3-08</t>
  </si>
  <si>
    <t>FY27Q3-08</t>
    <phoneticPr fontId="5"/>
  </si>
  <si>
    <t>FY27Q3-09</t>
  </si>
  <si>
    <t>FY27Q3-10</t>
  </si>
  <si>
    <t>FY27Q4-11</t>
    <phoneticPr fontId="5"/>
  </si>
  <si>
    <t>FY27Q4-12</t>
  </si>
  <si>
    <t>FY27Q4-01</t>
    <phoneticPr fontId="5"/>
  </si>
  <si>
    <t>360043433813.mdx</t>
    <phoneticPr fontId="5"/>
  </si>
  <si>
    <t>DomoStats Connector</t>
    <phoneticPr fontId="5"/>
  </si>
  <si>
    <t>ED2708-03-MH-KB-mdx-DomoStats Connector-JA</t>
    <phoneticPr fontId="5"/>
  </si>
  <si>
    <t>ED2705-25-TO-KB-DataSet-JA Batch-1-2</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</si>
</sst>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24" formatCode="\$#,##0_);[Red]\(\$#,##0\)"/>
    <numFmt numFmtId="26" formatCode="\$#,##0.00_);[Red]\(\$#,##0.00\)"/>
    <numFmt numFmtId="176" formatCode="\$#,##0.00;\-\$#,##0.00"/>
    <numFmt numFmtId="177" formatCode="\$#,##0;\-\$#,##0"/>
    <numFmt numFmtId="178" formatCode="0_ "/>
    <numFmt numFmtId="179" formatCode="\$#,##0.00;[Red]\-\$#,##0.00"/>
    <numFmt numFmtId="180" formatCode="&quot;$&quot;#,##0.00_);[Red]\(&quot;$&quot;#,##0.00\)"/>
  </numFmts>
  <fonts count="75">
    <font>
      <sz val="11"/>
      <color theme="1"/>
      <name val="游ゴシック"/>
      <family val="2"/>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游ゴシック"/>
      <family val="3"/>
      <charset val="128"/>
      <scheme val="minor"/>
    </font>
    <font>
      <sz val="9"/>
      <color theme="1"/>
      <name val="游ゴシック"/>
      <family val="2"/>
      <scheme val="minor"/>
    </font>
    <font>
      <sz val="11"/>
      <color rgb="FF000000"/>
      <name val="游ゴシック"/>
      <family val="3"/>
      <charset val="128"/>
      <scheme val="minor"/>
    </font>
    <font>
      <u/>
      <sz val="11"/>
      <color theme="10"/>
      <name val="游ゴシック"/>
      <family val="2"/>
      <scheme val="minor"/>
    </font>
    <font>
      <sz val="12"/>
      <color rgb="FF333333"/>
      <name val="Arial"/>
      <family val="2"/>
    </font>
    <font>
      <sz val="6"/>
      <name val="游ゴシック"/>
      <family val="2"/>
      <charset val="128"/>
      <scheme val="minor"/>
    </font>
    <font>
      <sz val="11"/>
      <color rgb="FFFF0000"/>
      <name val="游ゴシック"/>
      <family val="3"/>
      <charset val="128"/>
      <scheme val="minor"/>
    </font>
    <font>
      <b/>
      <sz val="11"/>
      <color theme="1"/>
      <name val="游ゴシック"/>
      <family val="3"/>
      <charset val="128"/>
      <scheme val="minor"/>
    </font>
    <font>
      <sz val="10"/>
      <color rgb="FF333333"/>
      <name val="Roboto"/>
    </font>
    <font>
      <sz val="13"/>
      <color rgb="FF222222"/>
      <name val="Calibri"/>
      <family val="2"/>
    </font>
    <font>
      <sz val="11"/>
      <color theme="1"/>
      <name val="游ゴシック"/>
      <family val="3"/>
      <charset val="128"/>
      <scheme val="minor"/>
    </font>
    <font>
      <b/>
      <sz val="11"/>
      <color rgb="FF000000"/>
      <name val="游ゴシック"/>
      <family val="3"/>
      <charset val="128"/>
      <scheme val="minor"/>
    </font>
    <font>
      <sz val="11"/>
      <color rgb="FF000000"/>
      <name val="Yu Gothic"/>
      <family val="3"/>
      <charset val="128"/>
    </font>
    <font>
      <b/>
      <sz val="11"/>
      <color theme="1"/>
      <name val="Yu Gothic"/>
      <family val="3"/>
      <charset val="128"/>
    </font>
    <font>
      <b/>
      <sz val="11"/>
      <color theme="1"/>
      <name val="游ゴシック"/>
      <family val="2"/>
      <scheme val="minor"/>
    </font>
    <font>
      <sz val="9"/>
      <color indexed="81"/>
      <name val="MS P ゴシック"/>
      <family val="3"/>
      <charset val="128"/>
    </font>
    <font>
      <b/>
      <sz val="9"/>
      <color indexed="81"/>
      <name val="MS P ゴシック"/>
      <family val="3"/>
      <charset val="128"/>
    </font>
    <font>
      <sz val="11"/>
      <color theme="5" tint="-0.499984740745262"/>
      <name val="游ゴシック"/>
      <family val="2"/>
      <scheme val="minor"/>
    </font>
    <font>
      <sz val="11"/>
      <color theme="9" tint="-0.499984740745262"/>
      <name val="游ゴシック"/>
      <family val="2"/>
      <scheme val="minor"/>
    </font>
    <font>
      <sz val="11"/>
      <color rgb="FFFF0000"/>
      <name val="游ゴシック"/>
      <family val="2"/>
      <scheme val="minor"/>
    </font>
    <font>
      <sz val="11"/>
      <color rgb="FF0070C0"/>
      <name val="游ゴシック"/>
      <family val="2"/>
      <scheme val="minor"/>
    </font>
    <font>
      <sz val="11"/>
      <color theme="1"/>
      <name val="Open Sans"/>
      <family val="2"/>
    </font>
    <font>
      <sz val="9"/>
      <name val="Arial"/>
      <family val="2"/>
    </font>
    <font>
      <sz val="11"/>
      <color theme="1"/>
      <name val="Arial"/>
      <family val="2"/>
    </font>
    <font>
      <sz val="13"/>
      <color rgb="FF222222"/>
      <name val="Arial"/>
      <family val="2"/>
    </font>
    <font>
      <sz val="9"/>
      <color rgb="FFFF0000"/>
      <name val="Arial"/>
      <family val="2"/>
    </font>
    <font>
      <sz val="9"/>
      <name val="ＭＳ Ｐゴシック"/>
      <family val="3"/>
      <charset val="128"/>
    </font>
    <font>
      <sz val="9"/>
      <name val="ＭＳ Ｐゴシック"/>
      <family val="2"/>
      <charset val="128"/>
    </font>
    <font>
      <sz val="9"/>
      <name val="Arial"/>
      <family val="2"/>
      <charset val="128"/>
    </font>
    <font>
      <sz val="9"/>
      <color rgb="FF222222"/>
      <name val="Calibri"/>
      <family val="2"/>
    </font>
    <font>
      <sz val="11"/>
      <color indexed="8"/>
      <name val="游ゴシック"/>
      <family val="2"/>
      <scheme val="minor"/>
    </font>
    <font>
      <sz val="9"/>
      <color theme="1"/>
      <name val="游ゴシック"/>
      <family val="3"/>
      <charset val="128"/>
      <scheme val="minor"/>
    </font>
    <font>
      <sz val="11"/>
      <color rgb="FF333333"/>
      <name val="Open Sans"/>
      <family val="2"/>
    </font>
    <font>
      <sz val="11"/>
      <color theme="1"/>
      <name val="ＭＳ Ｐゴシック"/>
      <family val="2"/>
      <charset val="128"/>
    </font>
    <font>
      <sz val="9"/>
      <color theme="1"/>
      <name val="Arial"/>
      <family val="2"/>
    </font>
    <font>
      <sz val="10"/>
      <color rgb="FF333333"/>
      <name val="游ゴシック"/>
      <family val="3"/>
      <charset val="128"/>
      <scheme val="minor"/>
    </font>
    <font>
      <sz val="13"/>
      <color rgb="FF222222"/>
      <name val="游ゴシック"/>
      <family val="3"/>
      <charset val="128"/>
      <scheme val="minor"/>
    </font>
    <font>
      <sz val="11"/>
      <color rgb="FF181818"/>
      <name val="游ゴシック"/>
      <family val="3"/>
      <charset val="128"/>
      <scheme val="minor"/>
    </font>
    <font>
      <sz val="9"/>
      <name val="游ゴシック"/>
      <family val="3"/>
      <charset val="128"/>
      <scheme val="minor"/>
    </font>
    <font>
      <b/>
      <sz val="11"/>
      <color rgb="FF7030A0"/>
      <name val="游ゴシック"/>
      <family val="3"/>
      <charset val="128"/>
      <scheme val="minor"/>
    </font>
    <font>
      <b/>
      <sz val="9"/>
      <color theme="1"/>
      <name val="游ゴシック"/>
      <family val="3"/>
      <charset val="128"/>
      <scheme val="minor"/>
    </font>
    <font>
      <sz val="11"/>
      <color theme="1"/>
      <name val="メイリオ"/>
      <family val="3"/>
      <charset val="128"/>
    </font>
    <font>
      <b/>
      <sz val="11"/>
      <color theme="1"/>
      <name val="メイリオ"/>
      <family val="3"/>
      <charset val="128"/>
    </font>
    <font>
      <sz val="11"/>
      <color rgb="FF333333"/>
      <name val="メイリオ"/>
      <family val="3"/>
      <charset val="128"/>
    </font>
    <font>
      <sz val="11"/>
      <color rgb="FFFF0000"/>
      <name val="メイリオ"/>
      <family val="3"/>
      <charset val="128"/>
    </font>
    <font>
      <sz val="13"/>
      <color rgb="FF222222"/>
      <name val="Calibri"/>
      <family val="2"/>
    </font>
    <font>
      <sz val="11"/>
      <name val="游ゴシック"/>
      <family val="2"/>
      <scheme val="minor"/>
    </font>
    <font>
      <sz val="12"/>
      <color rgb="FF000000"/>
      <name val="Aptos"/>
      <family val="2"/>
    </font>
    <font>
      <b/>
      <sz val="11"/>
      <color rgb="FF000000"/>
      <name val="Calibri"/>
      <family val="2"/>
    </font>
    <font>
      <sz val="11"/>
      <color rgb="FF000000"/>
      <name val="Calibri"/>
      <family val="2"/>
    </font>
    <font>
      <u/>
      <sz val="11"/>
      <color theme="10"/>
      <name val="游ゴシック"/>
      <family val="3"/>
      <charset val="128"/>
      <scheme val="minor"/>
    </font>
    <font>
      <sz val="11"/>
      <color rgb="FF000000"/>
      <name val="游ゴシック"/>
      <family val="3"/>
      <charset val="128"/>
    </font>
    <font>
      <sz val="8"/>
      <color theme="1"/>
      <name val="Calibri"/>
      <family val="2"/>
    </font>
    <font>
      <sz val="8"/>
      <color rgb="FFFF0000"/>
      <name val="Calibri"/>
      <family val="2"/>
    </font>
    <font>
      <sz val="8"/>
      <color rgb="FF333333"/>
      <name val="Calibri"/>
      <family val="2"/>
    </font>
    <font>
      <sz val="8"/>
      <color rgb="FF222222"/>
      <name val="Calibri"/>
      <family val="2"/>
    </font>
    <font>
      <sz val="11"/>
      <color rgb="FF222222"/>
      <name val="Calibri"/>
      <family val="2"/>
    </font>
    <font>
      <sz val="12"/>
      <color rgb="FF222222"/>
      <name val="Calibri"/>
      <family val="2"/>
    </font>
    <font>
      <sz val="9"/>
      <color indexed="8"/>
      <name val="Calibri"/>
      <family val="2"/>
    </font>
    <font>
      <sz val="9"/>
      <color theme="1"/>
      <name val="Calibri"/>
      <family val="2"/>
    </font>
    <font>
      <sz val="10.5"/>
      <color theme="1"/>
      <name val="游ゴシック"/>
      <family val="3"/>
      <charset val="128"/>
      <scheme val="minor"/>
    </font>
    <font>
      <sz val="10"/>
      <color rgb="FF000000"/>
      <name val="ＭＳ Ｐゴシック"/>
      <family val="3"/>
      <charset val="128"/>
    </font>
    <font>
      <sz val="10"/>
      <color rgb="FF000000"/>
      <name val="Arial"/>
      <family val="2"/>
    </font>
    <font>
      <sz val="9"/>
      <color rgb="FF000000"/>
      <name val="游ゴシック"/>
      <family val="3"/>
      <charset val="128"/>
    </font>
    <font>
      <sz val="9"/>
      <name val="Meiryo UI"/>
      <family val="3"/>
      <charset val="128"/>
    </font>
    <font>
      <sz val="9"/>
      <color rgb="FFFF0000"/>
      <name val="Meiryo UI"/>
      <family val="3"/>
      <charset val="128"/>
    </font>
    <font>
      <sz val="13"/>
      <color rgb="FFFF0000"/>
      <name val="Calibri"/>
      <family val="2"/>
    </font>
    <font>
      <sz val="11"/>
      <name val="游ゴシック"/>
      <family val="2"/>
      <charset val="128"/>
      <scheme val="minor"/>
    </font>
    <font>
      <sz val="11"/>
      <name val="游ゴシック"/>
      <family val="3"/>
      <charset val="128"/>
      <scheme val="minor"/>
    </font>
    <font>
      <sz val="8"/>
      <name val="Calibri"/>
      <family val="2"/>
    </font>
  </fonts>
  <fills count="1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4D5"/>
        <bgColor indexed="64"/>
      </patternFill>
    </fill>
    <fill>
      <patternFill patternType="solid">
        <fgColor rgb="FFFFE8A7"/>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FFFFFF"/>
        <bgColor rgb="FF000000"/>
      </patternFill>
    </fill>
    <fill>
      <patternFill patternType="solid">
        <fgColor rgb="FFF2F2F2"/>
        <bgColor rgb="FF000000"/>
      </patternFill>
    </fill>
  </fills>
  <borders count="111">
    <border>
      <left/>
      <right/>
      <top/>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diagonal/>
    </border>
    <border>
      <left/>
      <right style="double">
        <color auto="1"/>
      </right>
      <top style="double">
        <color auto="1"/>
      </top>
      <bottom/>
      <diagonal/>
    </border>
    <border>
      <left style="double">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top/>
      <bottom/>
      <diagonal/>
    </border>
    <border>
      <left/>
      <right style="double">
        <color auto="1"/>
      </right>
      <top/>
      <bottom/>
      <diagonal/>
    </border>
    <border>
      <left style="double">
        <color auto="1"/>
      </left>
      <right style="thin">
        <color indexed="64"/>
      </right>
      <top/>
      <bottom/>
      <diagonal/>
    </border>
    <border>
      <left style="thin">
        <color indexed="64"/>
      </left>
      <right style="double">
        <color auto="1"/>
      </right>
      <top/>
      <bottom/>
      <diagonal/>
    </border>
    <border>
      <left style="double">
        <color auto="1"/>
      </left>
      <right style="thin">
        <color indexed="64"/>
      </right>
      <top style="double">
        <color auto="1"/>
      </top>
      <bottom style="thin">
        <color indexed="64"/>
      </bottom>
      <diagonal/>
    </border>
    <border>
      <left style="thin">
        <color indexed="64"/>
      </left>
      <right style="double">
        <color auto="1"/>
      </right>
      <top style="double">
        <color auto="1"/>
      </top>
      <bottom style="thin">
        <color indexed="64"/>
      </bottom>
      <diagonal/>
    </border>
    <border>
      <left style="double">
        <color auto="1"/>
      </left>
      <right style="thin">
        <color indexed="64"/>
      </right>
      <top style="thin">
        <color indexed="64"/>
      </top>
      <bottom style="thin">
        <color indexed="64"/>
      </bottom>
      <diagonal/>
    </border>
    <border>
      <left style="thin">
        <color indexed="64"/>
      </left>
      <right style="double">
        <color auto="1"/>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double">
        <color auto="1"/>
      </left>
      <right style="thin">
        <color indexed="64"/>
      </right>
      <top style="thin">
        <color indexed="64"/>
      </top>
      <bottom style="thick">
        <color auto="1"/>
      </bottom>
      <diagonal/>
    </border>
    <border>
      <left style="thin">
        <color indexed="64"/>
      </left>
      <right style="double">
        <color indexed="64"/>
      </right>
      <top style="thin">
        <color indexed="64"/>
      </top>
      <bottom style="thick">
        <color auto="1"/>
      </bottom>
      <diagonal/>
    </border>
    <border>
      <left style="double">
        <color auto="1"/>
      </left>
      <right style="thin">
        <color indexed="64"/>
      </right>
      <top/>
      <bottom style="thin">
        <color indexed="64"/>
      </bottom>
      <diagonal/>
    </border>
    <border>
      <left style="thin">
        <color indexed="64"/>
      </left>
      <right style="double">
        <color auto="1"/>
      </right>
      <top/>
      <bottom style="thin">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diagonalUp="1">
      <left style="thin">
        <color auto="1"/>
      </left>
      <right style="thin">
        <color auto="1"/>
      </right>
      <top style="thin">
        <color auto="1"/>
      </top>
      <bottom style="thin">
        <color auto="1"/>
      </bottom>
      <diagonal style="medium">
        <color rgb="FFA3A3A3"/>
      </diagonal>
    </border>
    <border diagonalUp="1">
      <left style="thin">
        <color auto="1"/>
      </left>
      <right style="thin">
        <color auto="1"/>
      </right>
      <top style="thin">
        <color auto="1"/>
      </top>
      <bottom style="medium">
        <color auto="1"/>
      </bottom>
      <diagonal style="medium">
        <color rgb="FFA3A3A3"/>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right style="thin">
        <color indexed="64"/>
      </right>
      <top/>
      <bottom/>
      <diagonal/>
    </border>
    <border>
      <left style="thin">
        <color rgb="FF000000"/>
      </left>
      <right style="thin">
        <color rgb="FF000000"/>
      </right>
      <top style="thin">
        <color rgb="FF000000"/>
      </top>
      <bottom/>
      <diagonal/>
    </border>
    <border diagonalDown="1">
      <left style="thin">
        <color indexed="64"/>
      </left>
      <right style="medium">
        <color indexed="64"/>
      </right>
      <top style="medium">
        <color indexed="64"/>
      </top>
      <bottom style="medium">
        <color indexed="64"/>
      </bottom>
      <diagonal style="thin">
        <color indexed="64"/>
      </diagonal>
    </border>
    <border diagonalDown="1">
      <left style="thin">
        <color indexed="64"/>
      </left>
      <right style="medium">
        <color indexed="64"/>
      </right>
      <top/>
      <bottom style="thin">
        <color indexed="64"/>
      </bottom>
      <diagonal style="thin">
        <color indexed="64"/>
      </diagonal>
    </border>
    <border diagonalDown="1">
      <left style="thin">
        <color indexed="64"/>
      </left>
      <right style="medium">
        <color indexed="64"/>
      </right>
      <top style="thin">
        <color indexed="64"/>
      </top>
      <bottom style="thin">
        <color indexed="64"/>
      </bottom>
      <diagonal style="thin">
        <color indexed="64"/>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indexed="64"/>
      </left>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indexed="64"/>
      </right>
      <top style="medium">
        <color indexed="64"/>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style="thin">
        <color indexed="64"/>
      </top>
      <bottom style="thin">
        <color indexed="64"/>
      </bottom>
      <diagonal/>
    </border>
    <border>
      <left/>
      <right style="thin">
        <color indexed="64"/>
      </right>
      <top style="thin">
        <color indexed="64"/>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indexed="64"/>
      </right>
      <top style="thin">
        <color indexed="64"/>
      </top>
      <bottom style="medium">
        <color indexed="64"/>
      </bottom>
      <diagonal/>
    </border>
    <border>
      <left style="medium">
        <color rgb="FF000000"/>
      </left>
      <right style="medium">
        <color rgb="FF000000"/>
      </right>
      <top style="thin">
        <color indexed="64"/>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top/>
      <bottom style="thin">
        <color theme="4" tint="0.39997558519241921"/>
      </bottom>
      <diagonal/>
    </border>
  </borders>
  <cellStyleXfs count="8">
    <xf numFmtId="0" fontId="0" fillId="0" borderId="0"/>
    <xf numFmtId="0" fontId="8" fillId="0" borderId="0" applyNumberFormat="0" applyFill="0" applyBorder="0" applyAlignment="0" applyProtection="0"/>
    <xf numFmtId="0" fontId="4" fillId="0" borderId="0">
      <alignment vertical="center"/>
    </xf>
    <xf numFmtId="0" fontId="35" fillId="0" borderId="0">
      <alignment vertical="center"/>
    </xf>
    <xf numFmtId="0" fontId="3" fillId="0" borderId="0">
      <alignment vertical="center"/>
    </xf>
    <xf numFmtId="0" fontId="2" fillId="0" borderId="0">
      <alignment vertical="center"/>
    </xf>
    <xf numFmtId="0" fontId="2" fillId="0" borderId="0">
      <alignment vertical="center"/>
    </xf>
    <xf numFmtId="0" fontId="8" fillId="0" borderId="0" applyNumberFormat="0" applyFill="0" applyBorder="0" applyAlignment="0" applyProtection="0"/>
  </cellStyleXfs>
  <cellXfs count="544">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horizontal="center" vertical="center"/>
    </xf>
    <xf numFmtId="0" fontId="0" fillId="0" borderId="0" xfId="0" applyAlignment="1">
      <alignment wrapText="1"/>
    </xf>
    <xf numFmtId="0" fontId="0" fillId="0" borderId="0" xfId="0" applyAlignment="1">
      <alignment vertical="center"/>
    </xf>
    <xf numFmtId="0" fontId="0" fillId="2" borderId="0" xfId="0" applyFill="1" applyAlignment="1">
      <alignment wrapText="1"/>
    </xf>
    <xf numFmtId="0" fontId="8" fillId="0" borderId="1" xfId="1" applyBorder="1"/>
    <xf numFmtId="0" fontId="0" fillId="0" borderId="1" xfId="0" applyBorder="1"/>
    <xf numFmtId="0" fontId="0" fillId="2" borderId="0" xfId="0" applyFill="1"/>
    <xf numFmtId="0" fontId="11" fillId="0" borderId="0" xfId="0" applyFont="1" applyAlignment="1">
      <alignment vertical="center"/>
    </xf>
    <xf numFmtId="176" fontId="0" fillId="0" borderId="0" xfId="0" applyNumberFormat="1"/>
    <xf numFmtId="0" fontId="12" fillId="3" borderId="2" xfId="0" applyFont="1" applyFill="1" applyBorder="1"/>
    <xf numFmtId="0" fontId="0" fillId="3" borderId="3" xfId="0" applyFill="1" applyBorder="1"/>
    <xf numFmtId="0" fontId="12" fillId="4" borderId="4" xfId="0" applyFont="1" applyFill="1" applyBorder="1"/>
    <xf numFmtId="0" fontId="0" fillId="4" borderId="5" xfId="0" applyFill="1" applyBorder="1"/>
    <xf numFmtId="0" fontId="12" fillId="3" borderId="6" xfId="0" applyFont="1" applyFill="1" applyBorder="1"/>
    <xf numFmtId="0" fontId="0" fillId="3" borderId="7" xfId="0" applyFill="1" applyBorder="1"/>
    <xf numFmtId="0" fontId="12" fillId="4" borderId="8" xfId="0" applyFont="1" applyFill="1" applyBorder="1"/>
    <xf numFmtId="0" fontId="0" fillId="4" borderId="9" xfId="0" applyFill="1" applyBorder="1"/>
    <xf numFmtId="0" fontId="12" fillId="3" borderId="10" xfId="0" applyFont="1" applyFill="1" applyBorder="1"/>
    <xf numFmtId="26" fontId="0" fillId="3" borderId="11" xfId="0" applyNumberFormat="1" applyFill="1" applyBorder="1"/>
    <xf numFmtId="0" fontId="12" fillId="4" borderId="10" xfId="0" applyFont="1" applyFill="1" applyBorder="1"/>
    <xf numFmtId="0" fontId="0" fillId="4" borderId="11" xfId="0" applyFill="1" applyBorder="1"/>
    <xf numFmtId="0" fontId="0" fillId="3" borderId="12" xfId="0" applyFill="1" applyBorder="1" applyAlignment="1">
      <alignment horizontal="left"/>
    </xf>
    <xf numFmtId="26" fontId="0" fillId="3" borderId="13" xfId="0" applyNumberFormat="1" applyFill="1" applyBorder="1"/>
    <xf numFmtId="0" fontId="0" fillId="5" borderId="12" xfId="0" applyFill="1" applyBorder="1" applyAlignment="1">
      <alignment horizontal="right"/>
    </xf>
    <xf numFmtId="176" fontId="0" fillId="5" borderId="13" xfId="0" applyNumberFormat="1" applyFill="1" applyBorder="1"/>
    <xf numFmtId="0" fontId="0" fillId="3" borderId="12" xfId="0" applyFill="1" applyBorder="1" applyAlignment="1">
      <alignment horizontal="left" vertical="center"/>
    </xf>
    <xf numFmtId="26" fontId="0" fillId="3" borderId="13" xfId="0" applyNumberFormat="1" applyFill="1" applyBorder="1" applyAlignment="1">
      <alignment vertical="center"/>
    </xf>
    <xf numFmtId="0" fontId="12" fillId="6" borderId="14" xfId="0" applyFont="1" applyFill="1" applyBorder="1" applyAlignment="1">
      <alignment horizontal="right"/>
    </xf>
    <xf numFmtId="176" fontId="12" fillId="6" borderId="15" xfId="0" applyNumberFormat="1" applyFont="1" applyFill="1" applyBorder="1"/>
    <xf numFmtId="0" fontId="0" fillId="4" borderId="16" xfId="0" applyFill="1" applyBorder="1"/>
    <xf numFmtId="176" fontId="0" fillId="4" borderId="17" xfId="0" applyNumberFormat="1" applyFill="1" applyBorder="1"/>
    <xf numFmtId="176" fontId="0" fillId="4" borderId="11" xfId="0" applyNumberFormat="1" applyFill="1" applyBorder="1"/>
    <xf numFmtId="0" fontId="12" fillId="5" borderId="12" xfId="0" applyFont="1" applyFill="1" applyBorder="1" applyAlignment="1">
      <alignment horizontal="right"/>
    </xf>
    <xf numFmtId="176" fontId="12" fillId="5" borderId="13" xfId="0" applyNumberFormat="1" applyFont="1" applyFill="1" applyBorder="1"/>
    <xf numFmtId="0" fontId="0" fillId="4" borderId="12" xfId="0" applyFill="1" applyBorder="1"/>
    <xf numFmtId="176" fontId="0" fillId="4" borderId="13" xfId="0" applyNumberFormat="1" applyFill="1" applyBorder="1"/>
    <xf numFmtId="0" fontId="0" fillId="3" borderId="14" xfId="0" applyFill="1" applyBorder="1"/>
    <xf numFmtId="26" fontId="12" fillId="3" borderId="15" xfId="0" applyNumberFormat="1" applyFont="1" applyFill="1" applyBorder="1"/>
    <xf numFmtId="0" fontId="0" fillId="3" borderId="6" xfId="0" applyFill="1" applyBorder="1"/>
    <xf numFmtId="26" fontId="0" fillId="3" borderId="7" xfId="0" applyNumberFormat="1" applyFill="1" applyBorder="1"/>
    <xf numFmtId="0" fontId="12" fillId="5" borderId="18" xfId="0" applyFont="1" applyFill="1" applyBorder="1" applyAlignment="1">
      <alignment horizontal="right"/>
    </xf>
    <xf numFmtId="176" fontId="12" fillId="5" borderId="19" xfId="0" applyNumberFormat="1" applyFont="1" applyFill="1" applyBorder="1"/>
    <xf numFmtId="0" fontId="12" fillId="3" borderId="10" xfId="0" applyFont="1" applyFill="1" applyBorder="1" applyAlignment="1">
      <alignment horizontal="left"/>
    </xf>
    <xf numFmtId="0" fontId="0" fillId="3" borderId="12" xfId="0" applyFill="1" applyBorder="1"/>
    <xf numFmtId="0" fontId="12" fillId="6" borderId="4" xfId="0" applyFont="1" applyFill="1" applyBorder="1"/>
    <xf numFmtId="176" fontId="12" fillId="6" borderId="5" xfId="0" applyNumberFormat="1" applyFont="1" applyFill="1" applyBorder="1"/>
    <xf numFmtId="26" fontId="0" fillId="3" borderId="15" xfId="0" applyNumberFormat="1" applyFill="1" applyBorder="1"/>
    <xf numFmtId="0" fontId="12" fillId="3" borderId="16" xfId="0" applyFont="1" applyFill="1" applyBorder="1" applyAlignment="1">
      <alignment horizontal="right"/>
    </xf>
    <xf numFmtId="26" fontId="12" fillId="3" borderId="17" xfId="0" applyNumberFormat="1" applyFont="1" applyFill="1" applyBorder="1"/>
    <xf numFmtId="0" fontId="0" fillId="3" borderId="2" xfId="0" applyFill="1" applyBorder="1" applyAlignment="1">
      <alignment horizontal="right"/>
    </xf>
    <xf numFmtId="26" fontId="0" fillId="3" borderId="3" xfId="0" applyNumberFormat="1" applyFill="1" applyBorder="1"/>
    <xf numFmtId="0" fontId="0" fillId="3" borderId="14" xfId="0" applyFill="1" applyBorder="1" applyAlignment="1">
      <alignment horizontal="right"/>
    </xf>
    <xf numFmtId="0" fontId="12" fillId="3" borderId="20" xfId="0" applyFont="1" applyFill="1" applyBorder="1" applyAlignment="1">
      <alignment horizontal="right"/>
    </xf>
    <xf numFmtId="26" fontId="12" fillId="3" borderId="21" xfId="0" applyNumberFormat="1" applyFont="1" applyFill="1" applyBorder="1"/>
    <xf numFmtId="0" fontId="12" fillId="3" borderId="8" xfId="0" applyFont="1" applyFill="1" applyBorder="1" applyAlignment="1">
      <alignment horizontal="right"/>
    </xf>
    <xf numFmtId="26" fontId="12" fillId="3" borderId="9" xfId="0" applyNumberFormat="1" applyFont="1" applyFill="1" applyBorder="1"/>
    <xf numFmtId="0" fontId="12" fillId="3" borderId="16" xfId="0" applyFont="1" applyFill="1" applyBorder="1"/>
    <xf numFmtId="26" fontId="0" fillId="3" borderId="17" xfId="0" applyNumberFormat="1" applyFill="1" applyBorder="1"/>
    <xf numFmtId="0" fontId="0" fillId="3" borderId="10" xfId="0" applyFill="1" applyBorder="1"/>
    <xf numFmtId="0" fontId="12" fillId="3" borderId="22" xfId="0" applyFont="1" applyFill="1" applyBorder="1" applyAlignment="1">
      <alignment horizontal="right"/>
    </xf>
    <xf numFmtId="26" fontId="12" fillId="3" borderId="23" xfId="0" applyNumberFormat="1" applyFont="1" applyFill="1" applyBorder="1"/>
    <xf numFmtId="0" fontId="0" fillId="3" borderId="8" xfId="0" applyFill="1" applyBorder="1"/>
    <xf numFmtId="0" fontId="12" fillId="3" borderId="4" xfId="0" applyFont="1" applyFill="1" applyBorder="1" applyAlignment="1">
      <alignment horizontal="right"/>
    </xf>
    <xf numFmtId="26" fontId="12" fillId="3" borderId="5" xfId="0" applyNumberFormat="1" applyFont="1" applyFill="1" applyBorder="1"/>
    <xf numFmtId="26" fontId="0" fillId="0" borderId="0" xfId="0" applyNumberFormat="1"/>
    <xf numFmtId="26" fontId="0" fillId="0" borderId="1" xfId="0" applyNumberFormat="1" applyBorder="1"/>
    <xf numFmtId="0" fontId="13" fillId="0" borderId="0" xfId="0" applyFont="1" applyAlignment="1">
      <alignment vertical="center"/>
    </xf>
    <xf numFmtId="49" fontId="14" fillId="0" borderId="0" xfId="0" applyNumberFormat="1" applyFont="1" applyAlignment="1">
      <alignment horizontal="left" wrapText="1"/>
    </xf>
    <xf numFmtId="49" fontId="14" fillId="2" borderId="0" xfId="0" applyNumberFormat="1" applyFont="1" applyFill="1" applyAlignment="1">
      <alignment horizontal="left" wrapText="1"/>
    </xf>
    <xf numFmtId="49" fontId="14" fillId="0" borderId="0" xfId="0" applyNumberFormat="1" applyFont="1" applyAlignment="1">
      <alignment horizontal="left"/>
    </xf>
    <xf numFmtId="0" fontId="15" fillId="0" borderId="0" xfId="0" applyFont="1" applyAlignment="1">
      <alignment vertical="center"/>
    </xf>
    <xf numFmtId="0" fontId="12" fillId="0" borderId="0" xfId="0" applyFont="1"/>
    <xf numFmtId="0" fontId="0" fillId="4" borderId="1" xfId="0" applyFill="1" applyBorder="1" applyAlignment="1">
      <alignment horizontal="center"/>
    </xf>
    <xf numFmtId="0" fontId="0" fillId="4" borderId="1" xfId="0" applyFill="1" applyBorder="1"/>
    <xf numFmtId="0" fontId="12" fillId="4" borderId="1" xfId="0" applyFont="1" applyFill="1" applyBorder="1" applyAlignment="1">
      <alignment horizontal="center"/>
    </xf>
    <xf numFmtId="0" fontId="19" fillId="4" borderId="24" xfId="0" applyFont="1" applyFill="1" applyBorder="1" applyAlignment="1">
      <alignment horizontal="center"/>
    </xf>
    <xf numFmtId="0" fontId="19" fillId="4" borderId="1" xfId="0" applyFont="1" applyFill="1" applyBorder="1"/>
    <xf numFmtId="176" fontId="12" fillId="4" borderId="1" xfId="0" applyNumberFormat="1" applyFont="1" applyFill="1" applyBorder="1"/>
    <xf numFmtId="0" fontId="12" fillId="0" borderId="0" xfId="0" applyFont="1" applyAlignment="1">
      <alignment horizontal="center" vertical="center"/>
    </xf>
    <xf numFmtId="0" fontId="0" fillId="4" borderId="1" xfId="0" applyFill="1" applyBorder="1" applyAlignment="1">
      <alignment wrapText="1"/>
    </xf>
    <xf numFmtId="0" fontId="19" fillId="4" borderId="1" xfId="0" applyFont="1" applyFill="1" applyBorder="1" applyAlignment="1">
      <alignment horizontal="center" wrapText="1"/>
    </xf>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8" xfId="0" applyBorder="1" applyAlignment="1">
      <alignment horizontal="right" vertical="center"/>
    </xf>
    <xf numFmtId="0" fontId="0" fillId="0" borderId="30" xfId="0" applyBorder="1"/>
    <xf numFmtId="0" fontId="0" fillId="0" borderId="32" xfId="0" applyBorder="1"/>
    <xf numFmtId="0" fontId="0" fillId="0" borderId="33" xfId="0" applyBorder="1"/>
    <xf numFmtId="0" fontId="0" fillId="0" borderId="35" xfId="0" applyBorder="1"/>
    <xf numFmtId="0" fontId="0" fillId="0" borderId="37" xfId="0" applyBorder="1"/>
    <xf numFmtId="0" fontId="12" fillId="0" borderId="39" xfId="0" applyFont="1" applyBorder="1" applyAlignment="1">
      <alignment horizontal="center" vertical="center"/>
    </xf>
    <xf numFmtId="0" fontId="0" fillId="0" borderId="44" xfId="0" applyBorder="1"/>
    <xf numFmtId="0" fontId="12" fillId="0" borderId="45" xfId="0" applyFont="1" applyBorder="1" applyAlignment="1">
      <alignment horizontal="center" vertical="center"/>
    </xf>
    <xf numFmtId="0" fontId="18" fillId="0" borderId="47" xfId="0" applyFont="1" applyBorder="1" applyAlignment="1">
      <alignment vertical="center"/>
    </xf>
    <xf numFmtId="0" fontId="0" fillId="0" borderId="42" xfId="0" applyBorder="1"/>
    <xf numFmtId="0" fontId="7" fillId="0" borderId="30" xfId="0" applyFont="1" applyBorder="1" applyAlignment="1">
      <alignment vertical="center" wrapText="1"/>
    </xf>
    <xf numFmtId="0" fontId="15" fillId="0" borderId="37" xfId="0" applyFont="1" applyBorder="1" applyAlignment="1">
      <alignment vertical="center" wrapText="1"/>
    </xf>
    <xf numFmtId="0" fontId="15" fillId="0" borderId="26" xfId="0" applyFont="1" applyBorder="1" applyAlignment="1">
      <alignment vertical="center" wrapText="1"/>
    </xf>
    <xf numFmtId="0" fontId="15" fillId="0" borderId="44" xfId="0" applyFont="1" applyBorder="1" applyAlignment="1">
      <alignment vertical="center" wrapText="1"/>
    </xf>
    <xf numFmtId="0" fontId="16" fillId="0" borderId="45" xfId="0" applyFont="1" applyBorder="1" applyAlignment="1">
      <alignment horizontal="center" vertical="center" wrapText="1"/>
    </xf>
    <xf numFmtId="0" fontId="12" fillId="7" borderId="46" xfId="0" applyFont="1" applyFill="1" applyBorder="1" applyAlignment="1">
      <alignment horizontal="center" vertical="center"/>
    </xf>
    <xf numFmtId="0" fontId="0" fillId="7" borderId="29" xfId="0" applyFill="1" applyBorder="1"/>
    <xf numFmtId="0" fontId="0" fillId="7" borderId="31" xfId="0" applyFill="1" applyBorder="1"/>
    <xf numFmtId="0" fontId="0" fillId="7" borderId="34" xfId="0" applyFill="1" applyBorder="1"/>
    <xf numFmtId="0" fontId="0" fillId="7" borderId="38" xfId="0" applyFill="1" applyBorder="1"/>
    <xf numFmtId="0" fontId="0" fillId="7" borderId="36" xfId="0" applyFill="1" applyBorder="1"/>
    <xf numFmtId="0" fontId="0" fillId="7" borderId="25" xfId="0" applyFill="1" applyBorder="1"/>
    <xf numFmtId="0" fontId="0" fillId="4" borderId="25" xfId="0" applyFill="1" applyBorder="1"/>
    <xf numFmtId="0" fontId="12" fillId="4" borderId="25" xfId="0" applyFont="1" applyFill="1" applyBorder="1"/>
    <xf numFmtId="0" fontId="16" fillId="4" borderId="44" xfId="0" applyFont="1" applyFill="1" applyBorder="1" applyAlignment="1">
      <alignment vertical="center" wrapText="1"/>
    </xf>
    <xf numFmtId="26" fontId="16" fillId="4" borderId="45" xfId="0" applyNumberFormat="1" applyFont="1" applyFill="1" applyBorder="1" applyAlignment="1">
      <alignment horizontal="right" vertical="center" wrapText="1"/>
    </xf>
    <xf numFmtId="26" fontId="7" fillId="0" borderId="1" xfId="0" applyNumberFormat="1" applyFont="1" applyBorder="1" applyAlignment="1">
      <alignment horizontal="right" vertical="center" wrapText="1"/>
    </xf>
    <xf numFmtId="26" fontId="0" fillId="0" borderId="24" xfId="0" applyNumberFormat="1" applyBorder="1"/>
    <xf numFmtId="26" fontId="12" fillId="4" borderId="45" xfId="0" applyNumberFormat="1" applyFont="1" applyFill="1" applyBorder="1"/>
    <xf numFmtId="0" fontId="16" fillId="8" borderId="48" xfId="0" applyFont="1" applyFill="1" applyBorder="1" applyAlignment="1">
      <alignment horizontal="center" vertical="center" wrapText="1"/>
    </xf>
    <xf numFmtId="0" fontId="15" fillId="8" borderId="49" xfId="0" applyFont="1" applyFill="1" applyBorder="1" applyAlignment="1">
      <alignment vertical="center" wrapText="1"/>
    </xf>
    <xf numFmtId="26" fontId="7" fillId="8" borderId="50" xfId="0" applyNumberFormat="1" applyFont="1" applyFill="1" applyBorder="1" applyAlignment="1">
      <alignment horizontal="right" vertical="center" wrapText="1"/>
    </xf>
    <xf numFmtId="26" fontId="12" fillId="4" borderId="48" xfId="0" applyNumberFormat="1" applyFont="1" applyFill="1" applyBorder="1"/>
    <xf numFmtId="0" fontId="0" fillId="0" borderId="55" xfId="0" applyBorder="1"/>
    <xf numFmtId="0" fontId="12" fillId="9" borderId="44" xfId="0" applyFont="1" applyFill="1" applyBorder="1"/>
    <xf numFmtId="24" fontId="12" fillId="9" borderId="46" xfId="0" applyNumberFormat="1" applyFont="1" applyFill="1" applyBorder="1"/>
    <xf numFmtId="0" fontId="12" fillId="9" borderId="25" xfId="0" applyFont="1" applyFill="1" applyBorder="1"/>
    <xf numFmtId="26" fontId="0" fillId="9" borderId="54" xfId="0" applyNumberFormat="1" applyFill="1" applyBorder="1"/>
    <xf numFmtId="0" fontId="0" fillId="0" borderId="1" xfId="0" applyBorder="1" applyAlignment="1">
      <alignment horizontal="center"/>
    </xf>
    <xf numFmtId="0" fontId="8" fillId="0" borderId="0" xfId="1"/>
    <xf numFmtId="0" fontId="0" fillId="0" borderId="1" xfId="0" applyBorder="1" applyAlignment="1">
      <alignment horizontal="right" vertical="center"/>
    </xf>
    <xf numFmtId="0" fontId="0" fillId="8" borderId="1" xfId="0" applyFill="1" applyBorder="1"/>
    <xf numFmtId="0" fontId="0" fillId="4" borderId="1" xfId="0" applyFill="1" applyBorder="1" applyAlignment="1">
      <alignment horizontal="right"/>
    </xf>
    <xf numFmtId="0" fontId="0" fillId="4" borderId="31" xfId="0" applyFill="1" applyBorder="1" applyAlignment="1">
      <alignment horizontal="right"/>
    </xf>
    <xf numFmtId="0" fontId="0" fillId="4" borderId="31" xfId="0" applyFill="1" applyBorder="1" applyAlignment="1">
      <alignment horizontal="center"/>
    </xf>
    <xf numFmtId="0" fontId="0" fillId="8" borderId="33" xfId="0" applyFill="1" applyBorder="1"/>
    <xf numFmtId="0" fontId="0" fillId="4" borderId="33" xfId="0" applyFill="1" applyBorder="1" applyAlignment="1">
      <alignment horizontal="center"/>
    </xf>
    <xf numFmtId="0" fontId="0" fillId="4" borderId="34" xfId="0" applyFill="1" applyBorder="1" applyAlignment="1">
      <alignment horizontal="center"/>
    </xf>
    <xf numFmtId="26" fontId="0" fillId="4" borderId="30" xfId="0" applyNumberFormat="1" applyFill="1" applyBorder="1"/>
    <xf numFmtId="26" fontId="0" fillId="4" borderId="32" xfId="0" applyNumberFormat="1" applyFill="1" applyBorder="1"/>
    <xf numFmtId="0" fontId="0" fillId="10" borderId="57" xfId="0" applyFill="1" applyBorder="1"/>
    <xf numFmtId="0" fontId="0" fillId="10" borderId="58" xfId="0" applyFill="1" applyBorder="1"/>
    <xf numFmtId="0" fontId="0" fillId="8" borderId="30" xfId="0" applyFill="1" applyBorder="1"/>
    <xf numFmtId="0" fontId="0" fillId="8" borderId="31" xfId="0" applyFill="1" applyBorder="1"/>
    <xf numFmtId="0" fontId="0" fillId="8" borderId="32" xfId="0" applyFill="1" applyBorder="1"/>
    <xf numFmtId="0" fontId="0" fillId="8" borderId="34" xfId="0" applyFill="1" applyBorder="1"/>
    <xf numFmtId="0" fontId="0" fillId="11" borderId="47" xfId="0" applyFill="1" applyBorder="1" applyAlignment="1">
      <alignment horizontal="center" vertical="center" wrapText="1"/>
    </xf>
    <xf numFmtId="0" fontId="0" fillId="6" borderId="39" xfId="0" applyFill="1" applyBorder="1" applyAlignment="1">
      <alignment horizontal="center" vertical="center" wrapText="1"/>
    </xf>
    <xf numFmtId="0" fontId="0" fillId="6" borderId="40" xfId="0" applyFill="1" applyBorder="1" applyAlignment="1">
      <alignment horizontal="center" vertical="center" wrapText="1"/>
    </xf>
    <xf numFmtId="0" fontId="0" fillId="6" borderId="59" xfId="0" applyFill="1" applyBorder="1" applyAlignment="1">
      <alignment horizontal="center" vertical="center" wrapText="1"/>
    </xf>
    <xf numFmtId="26" fontId="0" fillId="5" borderId="39" xfId="0" applyNumberFormat="1" applyFill="1" applyBorder="1" applyAlignment="1">
      <alignment horizontal="center" vertical="center" wrapText="1"/>
    </xf>
    <xf numFmtId="0" fontId="0" fillId="5" borderId="40" xfId="0" applyFill="1" applyBorder="1" applyAlignment="1">
      <alignment horizontal="center" vertical="center" wrapText="1"/>
    </xf>
    <xf numFmtId="0" fontId="0" fillId="5" borderId="59" xfId="0" applyFill="1" applyBorder="1" applyAlignment="1">
      <alignment horizontal="center" vertical="center" wrapText="1"/>
    </xf>
    <xf numFmtId="0" fontId="0" fillId="10" borderId="56" xfId="0" applyFill="1" applyBorder="1"/>
    <xf numFmtId="0" fontId="0" fillId="8" borderId="27" xfId="0" applyFill="1" applyBorder="1"/>
    <xf numFmtId="0" fontId="0" fillId="8" borderId="28" xfId="0" applyFill="1" applyBorder="1"/>
    <xf numFmtId="0" fontId="0" fillId="8" borderId="29" xfId="0" applyFill="1" applyBorder="1"/>
    <xf numFmtId="26" fontId="0" fillId="4" borderId="27" xfId="0" applyNumberFormat="1" applyFill="1" applyBorder="1"/>
    <xf numFmtId="0" fontId="0" fillId="4" borderId="28" xfId="0" applyFill="1" applyBorder="1" applyAlignment="1">
      <alignment horizontal="right"/>
    </xf>
    <xf numFmtId="0" fontId="0" fillId="4" borderId="29" xfId="0" applyFill="1" applyBorder="1" applyAlignment="1">
      <alignment horizontal="right"/>
    </xf>
    <xf numFmtId="0" fontId="0" fillId="0" borderId="24" xfId="0" applyBorder="1" applyAlignment="1">
      <alignment horizontal="right" vertical="center"/>
    </xf>
    <xf numFmtId="26" fontId="0" fillId="9" borderId="52" xfId="0" applyNumberFormat="1" applyFill="1" applyBorder="1" applyAlignment="1">
      <alignment horizontal="center"/>
    </xf>
    <xf numFmtId="26" fontId="0" fillId="9" borderId="53" xfId="0" applyNumberFormat="1" applyFill="1" applyBorder="1" applyAlignment="1">
      <alignment horizontal="center"/>
    </xf>
    <xf numFmtId="26" fontId="7" fillId="9" borderId="53" xfId="0" applyNumberFormat="1" applyFont="1" applyFill="1" applyBorder="1" applyAlignment="1">
      <alignment horizontal="center" vertical="center" wrapText="1"/>
    </xf>
    <xf numFmtId="0" fontId="12" fillId="4" borderId="45" xfId="0" applyFont="1" applyFill="1" applyBorder="1"/>
    <xf numFmtId="0" fontId="12" fillId="4" borderId="26" xfId="0" applyFont="1" applyFill="1" applyBorder="1"/>
    <xf numFmtId="26" fontId="12" fillId="4" borderId="1" xfId="0" applyNumberFormat="1" applyFont="1" applyFill="1" applyBorder="1"/>
    <xf numFmtId="0" fontId="12" fillId="4" borderId="25" xfId="0" applyFont="1" applyFill="1" applyBorder="1" applyAlignment="1">
      <alignment horizontal="center" vertical="center"/>
    </xf>
    <xf numFmtId="0" fontId="12" fillId="0" borderId="27" xfId="0" applyFont="1" applyBorder="1" applyAlignment="1">
      <alignment vertical="center" wrapText="1"/>
    </xf>
    <xf numFmtId="0" fontId="15" fillId="0" borderId="28" xfId="0" applyFont="1" applyBorder="1" applyAlignment="1">
      <alignment vertical="center" wrapText="1"/>
    </xf>
    <xf numFmtId="0" fontId="16" fillId="0" borderId="28" xfId="0" applyFont="1" applyBorder="1" applyAlignment="1">
      <alignment horizontal="center" vertical="center" wrapText="1"/>
    </xf>
    <xf numFmtId="0" fontId="12" fillId="0" borderId="29" xfId="0" applyFont="1" applyBorder="1" applyAlignment="1">
      <alignment vertical="center" wrapText="1"/>
    </xf>
    <xf numFmtId="0" fontId="7" fillId="0" borderId="30" xfId="0" applyFont="1" applyBorder="1" applyAlignment="1">
      <alignment horizontal="center" vertical="center" wrapText="1"/>
    </xf>
    <xf numFmtId="0" fontId="7"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7" fillId="0" borderId="31" xfId="0" applyFont="1" applyBorder="1" applyAlignment="1">
      <alignment horizontal="center" vertical="center" wrapText="1"/>
    </xf>
    <xf numFmtId="0" fontId="15" fillId="0" borderId="30" xfId="0" applyFont="1" applyBorder="1" applyAlignment="1">
      <alignment vertical="center" wrapText="1"/>
    </xf>
    <xf numFmtId="0" fontId="15" fillId="0" borderId="1" xfId="0" applyFont="1" applyBorder="1" applyAlignment="1">
      <alignment horizontal="center" vertical="center" wrapText="1"/>
    </xf>
    <xf numFmtId="0" fontId="15" fillId="0" borderId="31" xfId="0" applyFont="1" applyBorder="1" applyAlignment="1">
      <alignment vertical="center" wrapText="1"/>
    </xf>
    <xf numFmtId="0" fontId="7" fillId="0" borderId="60" xfId="0" applyFont="1" applyBorder="1" applyAlignment="1">
      <alignment horizontal="center" vertical="center" wrapText="1"/>
    </xf>
    <xf numFmtId="0" fontId="15" fillId="0" borderId="32" xfId="0" applyFont="1" applyBorder="1" applyAlignment="1">
      <alignment vertical="center" wrapText="1"/>
    </xf>
    <xf numFmtId="0" fontId="7" fillId="0" borderId="33" xfId="0" applyFont="1" applyBorder="1" applyAlignment="1">
      <alignment horizontal="center" vertical="center" wrapText="1"/>
    </xf>
    <xf numFmtId="0" fontId="15" fillId="0" borderId="33" xfId="0" applyFont="1" applyBorder="1" applyAlignment="1">
      <alignment horizontal="center" vertical="center" wrapText="1"/>
    </xf>
    <xf numFmtId="0" fontId="7" fillId="0" borderId="61" xfId="0" applyFont="1" applyBorder="1" applyAlignment="1">
      <alignment horizontal="center" vertical="center" wrapText="1"/>
    </xf>
    <xf numFmtId="0" fontId="15" fillId="0" borderId="34" xfId="0" applyFont="1" applyBorder="1" applyAlignment="1">
      <alignment vertical="center" wrapText="1"/>
    </xf>
    <xf numFmtId="0" fontId="0" fillId="12" borderId="0" xfId="0" applyFill="1"/>
    <xf numFmtId="0" fontId="0" fillId="2" borderId="0" xfId="0" applyFill="1" applyAlignment="1">
      <alignment vertical="center"/>
    </xf>
    <xf numFmtId="0" fontId="12" fillId="0" borderId="48" xfId="0" applyFont="1" applyBorder="1" applyAlignment="1">
      <alignment horizontal="center" vertical="center"/>
    </xf>
    <xf numFmtId="0" fontId="0" fillId="0" borderId="63" xfId="0" applyBorder="1"/>
    <xf numFmtId="0" fontId="0" fillId="0" borderId="50" xfId="0" applyBorder="1"/>
    <xf numFmtId="0" fontId="0" fillId="0" borderId="50" xfId="0" applyBorder="1" applyAlignment="1">
      <alignment horizontal="right" vertical="center"/>
    </xf>
    <xf numFmtId="0" fontId="0" fillId="0" borderId="51" xfId="0" applyBorder="1" applyAlignment="1">
      <alignment horizontal="right" vertical="center"/>
    </xf>
    <xf numFmtId="0" fontId="0" fillId="0" borderId="64" xfId="0" applyBorder="1"/>
    <xf numFmtId="0" fontId="0" fillId="0" borderId="49" xfId="0" applyBorder="1"/>
    <xf numFmtId="0" fontId="0" fillId="0" borderId="51" xfId="0" applyBorder="1"/>
    <xf numFmtId="0" fontId="0" fillId="0" borderId="65" xfId="0" applyBorder="1"/>
    <xf numFmtId="0" fontId="12" fillId="4" borderId="65" xfId="0" applyFont="1" applyFill="1" applyBorder="1" applyAlignment="1">
      <alignment horizontal="center" vertical="center"/>
    </xf>
    <xf numFmtId="0" fontId="12" fillId="7" borderId="44" xfId="0" applyFont="1" applyFill="1" applyBorder="1" applyAlignment="1">
      <alignment horizontal="center" vertical="center"/>
    </xf>
    <xf numFmtId="0" fontId="12" fillId="4" borderId="46" xfId="0" applyFont="1" applyFill="1" applyBorder="1" applyAlignment="1">
      <alignment horizontal="center" vertical="center"/>
    </xf>
    <xf numFmtId="0" fontId="0" fillId="7" borderId="27" xfId="0" applyFill="1" applyBorder="1" applyAlignment="1">
      <alignment horizontal="right"/>
    </xf>
    <xf numFmtId="0" fontId="0" fillId="5" borderId="29" xfId="0" applyFill="1" applyBorder="1"/>
    <xf numFmtId="0" fontId="0" fillId="7" borderId="30" xfId="0" applyFill="1" applyBorder="1"/>
    <xf numFmtId="0" fontId="0" fillId="5" borderId="31" xfId="0" applyFill="1" applyBorder="1"/>
    <xf numFmtId="0" fontId="0" fillId="7" borderId="35" xfId="0" applyFill="1" applyBorder="1"/>
    <xf numFmtId="0" fontId="0" fillId="7" borderId="32" xfId="0" applyFill="1" applyBorder="1"/>
    <xf numFmtId="0" fontId="0" fillId="4" borderId="34" xfId="0" applyFill="1" applyBorder="1"/>
    <xf numFmtId="0" fontId="0" fillId="7" borderId="37" xfId="0" applyFill="1" applyBorder="1"/>
    <xf numFmtId="0" fontId="0" fillId="4" borderId="38" xfId="0" applyFill="1" applyBorder="1"/>
    <xf numFmtId="0" fontId="0" fillId="4" borderId="36" xfId="0" applyFill="1" applyBorder="1"/>
    <xf numFmtId="0" fontId="0" fillId="12" borderId="0" xfId="0" applyFill="1" applyAlignment="1">
      <alignment vertical="center"/>
    </xf>
    <xf numFmtId="0" fontId="0" fillId="9" borderId="0" xfId="0" applyFill="1"/>
    <xf numFmtId="26" fontId="12" fillId="4" borderId="24" xfId="0" applyNumberFormat="1" applyFont="1" applyFill="1" applyBorder="1"/>
    <xf numFmtId="0" fontId="22" fillId="0" borderId="0" xfId="0" applyFont="1"/>
    <xf numFmtId="0" fontId="23" fillId="0" borderId="0" xfId="0" applyFont="1"/>
    <xf numFmtId="0" fontId="0" fillId="3" borderId="0" xfId="0" applyFill="1" applyAlignment="1">
      <alignment vertical="center"/>
    </xf>
    <xf numFmtId="0" fontId="0" fillId="3" borderId="0" xfId="0" applyFill="1"/>
    <xf numFmtId="0" fontId="0" fillId="0" borderId="1" xfId="0" applyBorder="1" applyAlignment="1">
      <alignment horizontal="center" vertical="center"/>
    </xf>
    <xf numFmtId="0" fontId="0" fillId="6" borderId="41" xfId="0" applyFill="1" applyBorder="1" applyAlignment="1">
      <alignment horizontal="center" vertical="center" wrapText="1"/>
    </xf>
    <xf numFmtId="0" fontId="0" fillId="8" borderId="63" xfId="0" applyFill="1" applyBorder="1"/>
    <xf numFmtId="0" fontId="0" fillId="8" borderId="50" xfId="0" applyFill="1" applyBorder="1"/>
    <xf numFmtId="0" fontId="0" fillId="8" borderId="64" xfId="0" applyFill="1" applyBorder="1"/>
    <xf numFmtId="176" fontId="0" fillId="0" borderId="0" xfId="0" applyNumberFormat="1" applyAlignment="1">
      <alignment wrapText="1"/>
    </xf>
    <xf numFmtId="0" fontId="8" fillId="0" borderId="0" xfId="1" applyAlignment="1">
      <alignment wrapText="1"/>
    </xf>
    <xf numFmtId="0" fontId="0" fillId="5" borderId="36" xfId="0" applyFill="1" applyBorder="1"/>
    <xf numFmtId="0" fontId="0" fillId="0" borderId="1" xfId="0" applyBorder="1" applyAlignment="1">
      <alignment vertical="center"/>
    </xf>
    <xf numFmtId="0" fontId="16" fillId="0" borderId="1" xfId="0" applyFont="1" applyBorder="1" applyAlignment="1">
      <alignment horizontal="center"/>
    </xf>
    <xf numFmtId="26" fontId="16" fillId="0" borderId="1" xfId="0" applyNumberFormat="1" applyFont="1" applyBorder="1"/>
    <xf numFmtId="26" fontId="12" fillId="0" borderId="1" xfId="0" applyNumberFormat="1" applyFont="1" applyBorder="1"/>
    <xf numFmtId="0" fontId="0" fillId="2" borderId="1" xfId="0" applyFill="1" applyBorder="1" applyAlignment="1">
      <alignment horizontal="center"/>
    </xf>
    <xf numFmtId="0" fontId="0" fillId="2" borderId="0" xfId="0" applyFill="1" applyAlignment="1">
      <alignment horizontal="center"/>
    </xf>
    <xf numFmtId="0" fontId="0" fillId="0" borderId="51" xfId="0" applyBorder="1" applyAlignment="1">
      <alignment horizontal="center" vertical="center"/>
    </xf>
    <xf numFmtId="0" fontId="0" fillId="0" borderId="24" xfId="0" applyBorder="1" applyAlignment="1">
      <alignment horizontal="center"/>
    </xf>
    <xf numFmtId="0" fontId="0" fillId="0" borderId="24" xfId="0" applyBorder="1" applyAlignment="1">
      <alignment horizontal="center" vertical="center"/>
    </xf>
    <xf numFmtId="0" fontId="0" fillId="0" borderId="62" xfId="0" applyBorder="1"/>
    <xf numFmtId="0" fontId="0" fillId="0" borderId="24" xfId="0" applyBorder="1" applyAlignment="1">
      <alignment horizontal="right"/>
    </xf>
    <xf numFmtId="0" fontId="0" fillId="0" borderId="1" xfId="0" applyBorder="1" applyAlignment="1">
      <alignment wrapText="1"/>
    </xf>
    <xf numFmtId="0" fontId="12" fillId="0" borderId="66" xfId="0" applyFont="1" applyBorder="1" applyAlignment="1">
      <alignment horizontal="center" vertical="center"/>
    </xf>
    <xf numFmtId="0" fontId="0" fillId="0" borderId="53" xfId="0" applyBorder="1"/>
    <xf numFmtId="0" fontId="0" fillId="0" borderId="68" xfId="0" applyBorder="1"/>
    <xf numFmtId="0" fontId="0" fillId="0" borderId="69" xfId="0" applyBorder="1"/>
    <xf numFmtId="0" fontId="0" fillId="0" borderId="72" xfId="0" applyBorder="1"/>
    <xf numFmtId="0" fontId="12" fillId="4" borderId="72" xfId="0" applyFont="1" applyFill="1" applyBorder="1" applyAlignment="1">
      <alignment horizontal="center" vertical="center"/>
    </xf>
    <xf numFmtId="0" fontId="12" fillId="0" borderId="55" xfId="0" applyFont="1" applyBorder="1" applyAlignment="1">
      <alignment horizontal="center" vertical="center"/>
    </xf>
    <xf numFmtId="0" fontId="26" fillId="0" borderId="0" xfId="0" applyFont="1" applyAlignment="1">
      <alignment vertical="center"/>
    </xf>
    <xf numFmtId="0" fontId="26" fillId="0" borderId="25" xfId="0" applyFont="1" applyBorder="1" applyAlignment="1">
      <alignment vertical="center" wrapText="1"/>
    </xf>
    <xf numFmtId="0" fontId="26" fillId="0" borderId="72" xfId="0" applyFont="1" applyBorder="1" applyAlignment="1">
      <alignment vertical="center" wrapText="1"/>
    </xf>
    <xf numFmtId="0" fontId="26" fillId="0" borderId="54" xfId="0" applyFont="1" applyBorder="1" applyAlignment="1">
      <alignment vertical="center" wrapText="1"/>
    </xf>
    <xf numFmtId="0" fontId="26" fillId="0" borderId="73" xfId="0" applyFont="1" applyBorder="1" applyAlignment="1">
      <alignment vertical="center" wrapText="1"/>
    </xf>
    <xf numFmtId="0" fontId="15" fillId="0" borderId="32" xfId="0" applyFont="1" applyBorder="1" applyAlignment="1">
      <alignment horizontal="center" vertical="center" wrapText="1"/>
    </xf>
    <xf numFmtId="177" fontId="7" fillId="0" borderId="1" xfId="0" applyNumberFormat="1" applyFont="1" applyBorder="1" applyAlignment="1">
      <alignment horizontal="center" vertical="center" wrapText="1"/>
    </xf>
    <xf numFmtId="0" fontId="12" fillId="0" borderId="27" xfId="0" applyFont="1" applyBorder="1" applyAlignment="1">
      <alignment horizontal="center" vertical="center" wrapText="1"/>
    </xf>
    <xf numFmtId="0" fontId="15" fillId="0" borderId="28" xfId="0" applyFont="1" applyBorder="1" applyAlignment="1">
      <alignment horizontal="center" vertical="center" wrapText="1"/>
    </xf>
    <xf numFmtId="177" fontId="7" fillId="0" borderId="33" xfId="0" applyNumberFormat="1" applyFont="1" applyBorder="1" applyAlignment="1">
      <alignment horizontal="center" vertical="center" wrapText="1"/>
    </xf>
    <xf numFmtId="0" fontId="0" fillId="0" borderId="40" xfId="0" applyBorder="1" applyAlignment="1">
      <alignment horizontal="right" vertical="center"/>
    </xf>
    <xf numFmtId="0" fontId="0" fillId="0" borderId="29" xfId="0" applyBorder="1"/>
    <xf numFmtId="0" fontId="0" fillId="0" borderId="31" xfId="0" applyBorder="1"/>
    <xf numFmtId="0" fontId="0" fillId="0" borderId="31" xfId="0" applyBorder="1" applyAlignment="1">
      <alignment horizontal="right" vertical="center"/>
    </xf>
    <xf numFmtId="0" fontId="0" fillId="0" borderId="36" xfId="0" applyBorder="1" applyAlignment="1">
      <alignment horizontal="right" vertical="center"/>
    </xf>
    <xf numFmtId="0" fontId="0" fillId="0" borderId="35" xfId="0" applyBorder="1" applyAlignment="1">
      <alignment horizontal="right"/>
    </xf>
    <xf numFmtId="0" fontId="0" fillId="0" borderId="33" xfId="0" applyBorder="1" applyAlignment="1">
      <alignment horizontal="right" vertical="center"/>
    </xf>
    <xf numFmtId="0" fontId="0" fillId="0" borderId="77" xfId="0" applyBorder="1"/>
    <xf numFmtId="0" fontId="15" fillId="0" borderId="80" xfId="0" applyFont="1" applyBorder="1" applyAlignment="1">
      <alignment vertical="center" wrapText="1"/>
    </xf>
    <xf numFmtId="0" fontId="16" fillId="0" borderId="81" xfId="0" applyFont="1" applyBorder="1" applyAlignment="1">
      <alignment horizontal="center" vertical="center" wrapText="1"/>
    </xf>
    <xf numFmtId="0" fontId="16" fillId="8" borderId="82" xfId="0" applyFont="1" applyFill="1" applyBorder="1" applyAlignment="1">
      <alignment horizontal="center" vertical="center" wrapText="1"/>
    </xf>
    <xf numFmtId="0" fontId="18" fillId="0" borderId="65" xfId="0" applyFont="1" applyBorder="1" applyAlignment="1">
      <alignment vertical="center"/>
    </xf>
    <xf numFmtId="0" fontId="0" fillId="0" borderId="83" xfId="0" applyBorder="1"/>
    <xf numFmtId="0" fontId="28" fillId="0" borderId="0" xfId="0" applyFont="1"/>
    <xf numFmtId="0" fontId="28" fillId="0" borderId="0" xfId="0" applyFont="1" applyAlignment="1">
      <alignment wrapText="1"/>
    </xf>
    <xf numFmtId="49" fontId="29" fillId="0" borderId="0" xfId="0" applyNumberFormat="1" applyFont="1" applyAlignment="1">
      <alignment horizontal="left" wrapText="1"/>
    </xf>
    <xf numFmtId="0" fontId="9" fillId="0" borderId="0" xfId="0" applyFont="1" applyAlignment="1">
      <alignment vertical="center" wrapText="1"/>
    </xf>
    <xf numFmtId="0" fontId="0" fillId="0" borderId="0" xfId="0" applyAlignment="1">
      <alignment vertical="center" wrapText="1"/>
    </xf>
    <xf numFmtId="0" fontId="28" fillId="0" borderId="0" xfId="0" applyFont="1" applyAlignment="1">
      <alignment vertical="center" wrapText="1"/>
    </xf>
    <xf numFmtId="0" fontId="0" fillId="8" borderId="0" xfId="0" applyFill="1" applyAlignment="1">
      <alignment wrapText="1"/>
    </xf>
    <xf numFmtId="0" fontId="28" fillId="0" borderId="1" xfId="0" applyFont="1" applyBorder="1" applyAlignment="1">
      <alignment wrapText="1"/>
    </xf>
    <xf numFmtId="0" fontId="24" fillId="0" borderId="1" xfId="0" applyFont="1" applyBorder="1" applyAlignment="1">
      <alignment wrapText="1"/>
    </xf>
    <xf numFmtId="26" fontId="7" fillId="0" borderId="1" xfId="0" applyNumberFormat="1" applyFont="1" applyBorder="1" applyAlignment="1">
      <alignment vertical="center" wrapText="1"/>
    </xf>
    <xf numFmtId="26" fontId="0" fillId="0" borderId="1" xfId="0" applyNumberFormat="1" applyBorder="1" applyAlignment="1">
      <alignment vertical="center"/>
    </xf>
    <xf numFmtId="0" fontId="31" fillId="15" borderId="71" xfId="0" applyFont="1" applyFill="1" applyBorder="1" applyAlignment="1">
      <alignment wrapText="1"/>
    </xf>
    <xf numFmtId="0" fontId="33" fillId="15" borderId="71" xfId="0" applyFont="1" applyFill="1" applyBorder="1" applyAlignment="1">
      <alignment wrapText="1"/>
    </xf>
    <xf numFmtId="49" fontId="34" fillId="0" borderId="0" xfId="0" applyNumberFormat="1" applyFont="1" applyAlignment="1">
      <alignment horizontal="left" wrapText="1"/>
    </xf>
    <xf numFmtId="49" fontId="34" fillId="0" borderId="0" xfId="3" applyNumberFormat="1" applyFont="1" applyAlignment="1">
      <alignment horizontal="left" wrapText="1"/>
    </xf>
    <xf numFmtId="0" fontId="24" fillId="0" borderId="0" xfId="0" applyFont="1"/>
    <xf numFmtId="0" fontId="11" fillId="0" borderId="0" xfId="0" applyFont="1"/>
    <xf numFmtId="178" fontId="0" fillId="0" borderId="0" xfId="0" applyNumberFormat="1" applyAlignment="1">
      <alignment wrapText="1"/>
    </xf>
    <xf numFmtId="0" fontId="0" fillId="0" borderId="34" xfId="0" applyBorder="1" applyAlignment="1">
      <alignment horizontal="right"/>
    </xf>
    <xf numFmtId="176" fontId="12" fillId="0" borderId="0" xfId="0" applyNumberFormat="1" applyFont="1"/>
    <xf numFmtId="24" fontId="17" fillId="0" borderId="1" xfId="0" applyNumberFormat="1" applyFont="1" applyBorder="1" applyAlignment="1">
      <alignment horizontal="center" vertical="center" wrapText="1"/>
    </xf>
    <xf numFmtId="24" fontId="15" fillId="0" borderId="1" xfId="0" applyNumberFormat="1" applyFont="1" applyBorder="1" applyAlignment="1">
      <alignment horizontal="center" vertical="center" wrapText="1"/>
    </xf>
    <xf numFmtId="24" fontId="15" fillId="0" borderId="33" xfId="0" applyNumberFormat="1" applyFont="1" applyBorder="1" applyAlignment="1">
      <alignment horizontal="center" vertical="center" wrapText="1"/>
    </xf>
    <xf numFmtId="0" fontId="0" fillId="5" borderId="34" xfId="0" applyFill="1" applyBorder="1"/>
    <xf numFmtId="0" fontId="0" fillId="2" borderId="50" xfId="0" applyFill="1" applyBorder="1"/>
    <xf numFmtId="0" fontId="0" fillId="0" borderId="67" xfId="0" applyBorder="1"/>
    <xf numFmtId="0" fontId="25" fillId="0" borderId="67" xfId="0" applyFont="1" applyBorder="1"/>
    <xf numFmtId="0" fontId="0" fillId="0" borderId="84" xfId="0" applyBorder="1"/>
    <xf numFmtId="0" fontId="7" fillId="0" borderId="37" xfId="0" applyFont="1" applyBorder="1" applyAlignment="1">
      <alignment vertical="center" wrapText="1"/>
    </xf>
    <xf numFmtId="26" fontId="7" fillId="8" borderId="49" xfId="0" applyNumberFormat="1" applyFont="1" applyFill="1" applyBorder="1" applyAlignment="1">
      <alignment horizontal="right" vertical="center" wrapText="1"/>
    </xf>
    <xf numFmtId="0" fontId="6" fillId="0" borderId="0" xfId="0" applyFont="1" applyAlignment="1">
      <alignment horizontal="center" vertical="center" wrapText="1"/>
    </xf>
    <xf numFmtId="0" fontId="36" fillId="0" borderId="0" xfId="0" applyFont="1" applyAlignment="1">
      <alignment horizontal="center" wrapText="1"/>
    </xf>
    <xf numFmtId="0" fontId="37" fillId="0" borderId="0" xfId="0" applyFont="1"/>
    <xf numFmtId="0" fontId="7" fillId="0" borderId="0" xfId="0" applyFont="1"/>
    <xf numFmtId="49" fontId="0" fillId="0" borderId="0" xfId="0" applyNumberFormat="1"/>
    <xf numFmtId="0" fontId="12" fillId="0" borderId="44" xfId="0" applyFont="1" applyBorder="1" applyAlignment="1">
      <alignment vertical="center" wrapText="1"/>
    </xf>
    <xf numFmtId="0" fontId="12" fillId="0" borderId="45" xfId="0" applyFont="1" applyBorder="1" applyAlignment="1">
      <alignment vertical="center" wrapText="1"/>
    </xf>
    <xf numFmtId="26" fontId="16" fillId="8" borderId="48" xfId="0" applyNumberFormat="1" applyFont="1" applyFill="1" applyBorder="1" applyAlignment="1">
      <alignment horizontal="right" vertical="center" wrapText="1"/>
    </xf>
    <xf numFmtId="26" fontId="7" fillId="0" borderId="26" xfId="0" applyNumberFormat="1" applyFont="1" applyBorder="1" applyAlignment="1">
      <alignment horizontal="right" vertical="center" wrapText="1"/>
    </xf>
    <xf numFmtId="0" fontId="15" fillId="0" borderId="0" xfId="0" applyFont="1" applyAlignment="1">
      <alignment vertical="center" wrapText="1"/>
    </xf>
    <xf numFmtId="0" fontId="15" fillId="0" borderId="0" xfId="0" applyFont="1" applyAlignment="1">
      <alignment wrapText="1"/>
    </xf>
    <xf numFmtId="49" fontId="36" fillId="0" borderId="0" xfId="0" applyNumberFormat="1" applyFont="1" applyAlignment="1">
      <alignment horizontal="center" wrapText="1"/>
    </xf>
    <xf numFmtId="49" fontId="0" fillId="2" borderId="0" xfId="0" applyNumberFormat="1" applyFill="1"/>
    <xf numFmtId="0" fontId="39" fillId="0" borderId="85" xfId="0" applyFont="1" applyBorder="1" applyAlignment="1">
      <alignment horizontal="left" wrapText="1"/>
    </xf>
    <xf numFmtId="0" fontId="11" fillId="0" borderId="0" xfId="0" applyFont="1" applyAlignment="1">
      <alignment vertical="center" wrapText="1"/>
    </xf>
    <xf numFmtId="0" fontId="15" fillId="2" borderId="0" xfId="0" applyFont="1" applyFill="1" applyAlignment="1">
      <alignment wrapText="1"/>
    </xf>
    <xf numFmtId="0" fontId="40" fillId="0" borderId="0" xfId="0" applyFont="1" applyAlignment="1">
      <alignment vertical="center" wrapText="1"/>
    </xf>
    <xf numFmtId="49" fontId="41" fillId="0" borderId="0" xfId="0" applyNumberFormat="1" applyFont="1" applyAlignment="1">
      <alignment horizontal="left" wrapText="1"/>
    </xf>
    <xf numFmtId="49" fontId="41" fillId="2" borderId="0" xfId="0" applyNumberFormat="1" applyFont="1" applyFill="1" applyAlignment="1">
      <alignment horizontal="left" wrapText="1"/>
    </xf>
    <xf numFmtId="0" fontId="15" fillId="3" borderId="0" xfId="0" applyFont="1" applyFill="1" applyAlignment="1">
      <alignment wrapText="1"/>
    </xf>
    <xf numFmtId="0" fontId="15" fillId="13" borderId="0" xfId="0" applyFont="1" applyFill="1" applyAlignment="1">
      <alignment wrapText="1"/>
    </xf>
    <xf numFmtId="0" fontId="15" fillId="0" borderId="1" xfId="0" applyFont="1" applyBorder="1" applyAlignment="1">
      <alignment wrapText="1"/>
    </xf>
    <xf numFmtId="0" fontId="11" fillId="0" borderId="1" xfId="0" applyFont="1" applyBorder="1" applyAlignment="1">
      <alignment wrapText="1"/>
    </xf>
    <xf numFmtId="0" fontId="15" fillId="0" borderId="1" xfId="0" applyFont="1" applyBorder="1" applyAlignment="1">
      <alignment vertical="center" wrapText="1"/>
    </xf>
    <xf numFmtId="0" fontId="15" fillId="2" borderId="1" xfId="0" applyFont="1" applyFill="1" applyBorder="1" applyAlignment="1">
      <alignment wrapText="1"/>
    </xf>
    <xf numFmtId="49" fontId="41" fillId="2" borderId="1" xfId="0" applyNumberFormat="1" applyFont="1" applyFill="1" applyBorder="1" applyAlignment="1">
      <alignment horizontal="left" wrapText="1"/>
    </xf>
    <xf numFmtId="0" fontId="15" fillId="0" borderId="24" xfId="0" applyFont="1" applyBorder="1" applyAlignment="1">
      <alignment wrapText="1"/>
    </xf>
    <xf numFmtId="49" fontId="41" fillId="2" borderId="43" xfId="0" applyNumberFormat="1" applyFont="1" applyFill="1" applyBorder="1" applyAlignment="1">
      <alignment horizontal="left" wrapText="1"/>
    </xf>
    <xf numFmtId="0" fontId="15" fillId="2" borderId="78" xfId="0" applyFont="1" applyFill="1" applyBorder="1" applyAlignment="1">
      <alignment wrapText="1"/>
    </xf>
    <xf numFmtId="0" fontId="15" fillId="0" borderId="73" xfId="0" applyFont="1" applyBorder="1" applyAlignment="1">
      <alignment wrapText="1"/>
    </xf>
    <xf numFmtId="178" fontId="15" fillId="0" borderId="0" xfId="0" applyNumberFormat="1" applyFont="1" applyAlignment="1">
      <alignment wrapText="1"/>
    </xf>
    <xf numFmtId="49" fontId="41" fillId="0" borderId="0" xfId="3" applyNumberFormat="1" applyFont="1" applyAlignment="1">
      <alignment horizontal="left" wrapText="1"/>
    </xf>
    <xf numFmtId="0" fontId="42" fillId="0" borderId="0" xfId="0" applyFont="1" applyAlignment="1">
      <alignment wrapText="1"/>
    </xf>
    <xf numFmtId="0" fontId="43" fillId="0" borderId="71" xfId="0" applyFont="1" applyBorder="1" applyAlignment="1">
      <alignment wrapText="1"/>
    </xf>
    <xf numFmtId="0" fontId="7" fillId="0" borderId="27" xfId="0" applyFont="1" applyBorder="1" applyAlignment="1">
      <alignment vertical="center" wrapText="1"/>
    </xf>
    <xf numFmtId="26" fontId="7" fillId="0" borderId="28" xfId="0" applyNumberFormat="1" applyFont="1" applyBorder="1" applyAlignment="1">
      <alignment vertical="center" wrapText="1"/>
    </xf>
    <xf numFmtId="26" fontId="7" fillId="8" borderId="63" xfId="0" applyNumberFormat="1" applyFont="1" applyFill="1" applyBorder="1" applyAlignment="1">
      <alignment horizontal="right" vertical="center" wrapText="1"/>
    </xf>
    <xf numFmtId="0" fontId="7" fillId="0" borderId="32" xfId="0" applyFont="1" applyBorder="1" applyAlignment="1">
      <alignment vertical="center" wrapText="1"/>
    </xf>
    <xf numFmtId="26" fontId="7" fillId="0" borderId="33" xfId="0" applyNumberFormat="1" applyFont="1" applyBorder="1" applyAlignment="1">
      <alignment vertical="center" wrapText="1"/>
    </xf>
    <xf numFmtId="26" fontId="7" fillId="8" borderId="64" xfId="0" applyNumberFormat="1" applyFont="1" applyFill="1" applyBorder="1" applyAlignment="1">
      <alignment horizontal="right" vertical="center" wrapText="1"/>
    </xf>
    <xf numFmtId="26" fontId="0" fillId="0" borderId="28" xfId="0" applyNumberFormat="1" applyBorder="1" applyAlignment="1">
      <alignment vertical="center"/>
    </xf>
    <xf numFmtId="26" fontId="0" fillId="0" borderId="33" xfId="0" applyNumberFormat="1" applyBorder="1"/>
    <xf numFmtId="26" fontId="0" fillId="0" borderId="40" xfId="0" applyNumberFormat="1" applyBorder="1"/>
    <xf numFmtId="0" fontId="0" fillId="0" borderId="72" xfId="0" applyBorder="1" applyAlignment="1">
      <alignment horizontal="center"/>
    </xf>
    <xf numFmtId="0" fontId="16" fillId="8" borderId="86" xfId="0" applyFont="1" applyFill="1" applyBorder="1" applyAlignment="1">
      <alignment horizontal="center" vertical="center" wrapText="1"/>
    </xf>
    <xf numFmtId="26" fontId="16" fillId="8" borderId="86" xfId="0" applyNumberFormat="1" applyFont="1" applyFill="1" applyBorder="1" applyAlignment="1">
      <alignment horizontal="right" vertical="center" wrapText="1"/>
    </xf>
    <xf numFmtId="26" fontId="7" fillId="8" borderId="87" xfId="0" applyNumberFormat="1" applyFont="1" applyFill="1" applyBorder="1" applyAlignment="1">
      <alignment horizontal="right" vertical="center" wrapText="1"/>
    </xf>
    <xf numFmtId="26" fontId="7" fillId="8" borderId="88" xfId="0" applyNumberFormat="1" applyFont="1" applyFill="1" applyBorder="1" applyAlignment="1">
      <alignment horizontal="right" vertical="center" wrapText="1"/>
    </xf>
    <xf numFmtId="26" fontId="12" fillId="4" borderId="86" xfId="0" applyNumberFormat="1" applyFont="1" applyFill="1" applyBorder="1"/>
    <xf numFmtId="49" fontId="14" fillId="0" borderId="0" xfId="4" applyNumberFormat="1" applyFont="1" applyAlignment="1">
      <alignment horizontal="left" wrapText="1"/>
    </xf>
    <xf numFmtId="0" fontId="44" fillId="0" borderId="0" xfId="0" applyFont="1"/>
    <xf numFmtId="0" fontId="45" fillId="0" borderId="44" xfId="0" applyFont="1" applyBorder="1" applyAlignment="1">
      <alignment wrapText="1"/>
    </xf>
    <xf numFmtId="0" fontId="45" fillId="0" borderId="45" xfId="0" applyFont="1" applyBorder="1" applyAlignment="1">
      <alignment wrapText="1"/>
    </xf>
    <xf numFmtId="0" fontId="45" fillId="4" borderId="45" xfId="0" applyFont="1" applyFill="1" applyBorder="1" applyAlignment="1">
      <alignment wrapText="1"/>
    </xf>
    <xf numFmtId="0" fontId="45" fillId="4" borderId="46" xfId="0" applyFont="1" applyFill="1" applyBorder="1" applyAlignment="1">
      <alignment wrapText="1"/>
    </xf>
    <xf numFmtId="0" fontId="46" fillId="0" borderId="30" xfId="0" applyFont="1" applyBorder="1" applyAlignment="1">
      <alignment horizontal="right" vertical="center" wrapText="1"/>
    </xf>
    <xf numFmtId="4" fontId="46" fillId="0" borderId="1" xfId="0" applyNumberFormat="1" applyFont="1" applyBorder="1" applyAlignment="1">
      <alignment horizontal="right" vertical="center"/>
    </xf>
    <xf numFmtId="0" fontId="46" fillId="0" borderId="33" xfId="0" applyFont="1" applyBorder="1" applyAlignment="1">
      <alignment horizontal="right"/>
    </xf>
    <xf numFmtId="0" fontId="46" fillId="0" borderId="30" xfId="0" applyFont="1" applyBorder="1" applyAlignment="1">
      <alignment horizontal="right"/>
    </xf>
    <xf numFmtId="4" fontId="46" fillId="0" borderId="1" xfId="0" applyNumberFormat="1" applyFont="1" applyBorder="1" applyAlignment="1">
      <alignment horizontal="right"/>
    </xf>
    <xf numFmtId="26" fontId="46" fillId="0" borderId="1" xfId="0" applyNumberFormat="1" applyFont="1" applyBorder="1"/>
    <xf numFmtId="179" fontId="46" fillId="0" borderId="1" xfId="0" applyNumberFormat="1" applyFont="1" applyBorder="1"/>
    <xf numFmtId="26" fontId="46" fillId="9" borderId="1" xfId="0" applyNumberFormat="1" applyFont="1" applyFill="1" applyBorder="1"/>
    <xf numFmtId="26" fontId="46" fillId="9" borderId="31" xfId="0" applyNumberFormat="1" applyFont="1" applyFill="1" applyBorder="1" applyAlignment="1">
      <alignment horizontal="right"/>
    </xf>
    <xf numFmtId="4" fontId="46" fillId="0" borderId="33" xfId="0" applyNumberFormat="1" applyFont="1" applyBorder="1"/>
    <xf numFmtId="26" fontId="46" fillId="0" borderId="33" xfId="0" applyNumberFormat="1" applyFont="1" applyBorder="1"/>
    <xf numFmtId="0" fontId="46" fillId="9" borderId="33" xfId="0" applyFont="1" applyFill="1" applyBorder="1"/>
    <xf numFmtId="26" fontId="46" fillId="9" borderId="34" xfId="0" applyNumberFormat="1" applyFont="1" applyFill="1" applyBorder="1"/>
    <xf numFmtId="49" fontId="48" fillId="0" borderId="30" xfId="0" applyNumberFormat="1" applyFont="1" applyBorder="1" applyAlignment="1">
      <alignment horizontal="right" vertical="center" wrapText="1"/>
    </xf>
    <xf numFmtId="49" fontId="48" fillId="0" borderId="32" xfId="0" applyNumberFormat="1" applyFont="1" applyBorder="1" applyAlignment="1">
      <alignment horizontal="right" vertical="center" wrapText="1"/>
    </xf>
    <xf numFmtId="0" fontId="0" fillId="0" borderId="0" xfId="0" applyAlignment="1">
      <alignment horizontal="left" vertical="center"/>
    </xf>
    <xf numFmtId="4" fontId="49" fillId="0" borderId="1" xfId="0" applyNumberFormat="1" applyFont="1" applyBorder="1" applyAlignment="1">
      <alignment horizontal="right"/>
    </xf>
    <xf numFmtId="0" fontId="15" fillId="0" borderId="0" xfId="0" applyFont="1"/>
    <xf numFmtId="26" fontId="15" fillId="0" borderId="0" xfId="0" applyNumberFormat="1" applyFont="1"/>
    <xf numFmtId="176" fontId="15" fillId="0" borderId="0" xfId="0" applyNumberFormat="1" applyFont="1"/>
    <xf numFmtId="0" fontId="49" fillId="0" borderId="30" xfId="0" applyFont="1" applyBorder="1" applyAlignment="1">
      <alignment wrapText="1"/>
    </xf>
    <xf numFmtId="0" fontId="47" fillId="0" borderId="1" xfId="0" applyFont="1" applyBorder="1" applyAlignment="1">
      <alignment wrapText="1"/>
    </xf>
    <xf numFmtId="0" fontId="47" fillId="4" borderId="1" xfId="0" applyFont="1" applyFill="1" applyBorder="1" applyAlignment="1">
      <alignment wrapText="1"/>
    </xf>
    <xf numFmtId="0" fontId="47" fillId="4" borderId="31" xfId="0" applyFont="1" applyFill="1" applyBorder="1" applyAlignment="1">
      <alignment wrapText="1"/>
    </xf>
    <xf numFmtId="0" fontId="46" fillId="0" borderId="27" xfId="0" applyFont="1" applyBorder="1" applyAlignment="1">
      <alignment wrapText="1"/>
    </xf>
    <xf numFmtId="0" fontId="46" fillId="0" borderId="28" xfId="0" applyFont="1" applyBorder="1" applyAlignment="1">
      <alignment wrapText="1"/>
    </xf>
    <xf numFmtId="0" fontId="46" fillId="4" borderId="28" xfId="0" applyFont="1" applyFill="1" applyBorder="1" applyAlignment="1">
      <alignment wrapText="1"/>
    </xf>
    <xf numFmtId="0" fontId="46" fillId="4" borderId="29" xfId="0" applyFont="1" applyFill="1" applyBorder="1" applyAlignment="1">
      <alignment wrapText="1"/>
    </xf>
    <xf numFmtId="4" fontId="46" fillId="0" borderId="28" xfId="0" applyNumberFormat="1" applyFont="1" applyBorder="1" applyAlignment="1">
      <alignment wrapText="1"/>
    </xf>
    <xf numFmtId="0" fontId="12" fillId="0" borderId="70" xfId="0" applyFont="1" applyBorder="1" applyAlignment="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12" fillId="4" borderId="59" xfId="0" applyFont="1" applyFill="1" applyBorder="1" applyAlignment="1">
      <alignment horizontal="center" vertical="center"/>
    </xf>
    <xf numFmtId="0" fontId="0" fillId="0" borderId="92" xfId="0" applyBorder="1"/>
    <xf numFmtId="0" fontId="0" fillId="5" borderId="97" xfId="0" applyFill="1" applyBorder="1"/>
    <xf numFmtId="0" fontId="0" fillId="0" borderId="90" xfId="0" applyBorder="1" applyAlignment="1">
      <alignment horizontal="right" vertical="center"/>
    </xf>
    <xf numFmtId="0" fontId="0" fillId="5" borderId="98" xfId="0" applyFill="1" applyBorder="1"/>
    <xf numFmtId="0" fontId="0" fillId="0" borderId="91" xfId="0" applyBorder="1" applyAlignment="1">
      <alignment horizontal="right" vertical="center"/>
    </xf>
    <xf numFmtId="0" fontId="0" fillId="7" borderId="99" xfId="0" applyFill="1" applyBorder="1"/>
    <xf numFmtId="0" fontId="0" fillId="7" borderId="51" xfId="0" applyFill="1" applyBorder="1"/>
    <xf numFmtId="0" fontId="0" fillId="0" borderId="100" xfId="0" applyBorder="1"/>
    <xf numFmtId="0" fontId="0" fillId="0" borderId="101" xfId="0" applyBorder="1" applyAlignment="1">
      <alignment horizontal="right" vertical="center"/>
    </xf>
    <xf numFmtId="0" fontId="0" fillId="7" borderId="102" xfId="0" applyFill="1" applyBorder="1"/>
    <xf numFmtId="0" fontId="0" fillId="7" borderId="64" xfId="0" applyFill="1" applyBorder="1"/>
    <xf numFmtId="0" fontId="0" fillId="5" borderId="103" xfId="0" applyFill="1" applyBorder="1"/>
    <xf numFmtId="49" fontId="50" fillId="0" borderId="0" xfId="0" applyNumberFormat="1" applyFont="1" applyAlignment="1">
      <alignment horizontal="left" wrapText="1"/>
    </xf>
    <xf numFmtId="0" fontId="8" fillId="0" borderId="0" xfId="7"/>
    <xf numFmtId="0" fontId="51" fillId="0" borderId="0" xfId="0" applyFont="1"/>
    <xf numFmtId="0" fontId="0" fillId="14" borderId="0" xfId="0" applyFill="1"/>
    <xf numFmtId="0" fontId="4" fillId="0" borderId="0" xfId="2">
      <alignment vertical="center"/>
    </xf>
    <xf numFmtId="0" fontId="1" fillId="0" borderId="0" xfId="2" applyFont="1">
      <alignment vertical="center"/>
    </xf>
    <xf numFmtId="0" fontId="52" fillId="0" borderId="0" xfId="0" applyFont="1" applyAlignment="1">
      <alignment vertical="center"/>
    </xf>
    <xf numFmtId="0" fontId="53" fillId="0" borderId="104" xfId="0" applyFont="1" applyBorder="1" applyAlignment="1">
      <alignment vertical="center" wrapText="1"/>
    </xf>
    <xf numFmtId="0" fontId="8" fillId="0" borderId="106" xfId="7" applyBorder="1" applyAlignment="1">
      <alignment horizontal="left" vertical="center" wrapText="1" indent="4"/>
    </xf>
    <xf numFmtId="0" fontId="54" fillId="0" borderId="105" xfId="0" applyFont="1" applyBorder="1" applyAlignment="1">
      <alignment vertical="center" wrapText="1"/>
    </xf>
    <xf numFmtId="0" fontId="8" fillId="0" borderId="105" xfId="7" applyBorder="1" applyAlignment="1">
      <alignment horizontal="left" vertical="center" wrapText="1" indent="4"/>
    </xf>
    <xf numFmtId="0" fontId="12" fillId="4" borderId="52" xfId="0" applyFont="1" applyFill="1" applyBorder="1"/>
    <xf numFmtId="26" fontId="0" fillId="4" borderId="68" xfId="0" applyNumberFormat="1" applyFill="1" applyBorder="1"/>
    <xf numFmtId="0" fontId="0" fillId="4" borderId="108" xfId="0" applyFill="1" applyBorder="1"/>
    <xf numFmtId="0" fontId="0" fillId="4" borderId="109" xfId="0" applyFill="1" applyBorder="1"/>
    <xf numFmtId="26" fontId="0" fillId="4" borderId="69" xfId="0" applyNumberFormat="1" applyFill="1" applyBorder="1"/>
    <xf numFmtId="26" fontId="19" fillId="0" borderId="110" xfId="0" applyNumberFormat="1" applyFont="1" applyBorder="1"/>
    <xf numFmtId="0" fontId="8" fillId="0" borderId="0" xfId="7" applyAlignment="1">
      <alignment wrapText="1"/>
    </xf>
    <xf numFmtId="180" fontId="56" fillId="0" borderId="71" xfId="0" applyNumberFormat="1" applyFont="1" applyBorder="1" applyAlignment="1">
      <alignment wrapText="1"/>
    </xf>
    <xf numFmtId="0" fontId="56" fillId="0" borderId="71" xfId="0" applyFont="1" applyBorder="1" applyAlignment="1">
      <alignment wrapText="1"/>
    </xf>
    <xf numFmtId="0" fontId="7" fillId="0" borderId="93" xfId="0" applyFont="1" applyBorder="1"/>
    <xf numFmtId="0" fontId="7" fillId="0" borderId="94" xfId="0" applyFont="1" applyBorder="1" applyAlignment="1">
      <alignment horizontal="right" vertical="center"/>
    </xf>
    <xf numFmtId="0" fontId="7" fillId="0" borderId="95" xfId="0" applyFont="1" applyBorder="1"/>
    <xf numFmtId="0" fontId="7" fillId="16" borderId="96" xfId="0" applyFont="1" applyFill="1" applyBorder="1" applyAlignment="1">
      <alignment horizontal="right"/>
    </xf>
    <xf numFmtId="0" fontId="7" fillId="16" borderId="63" xfId="0" applyFont="1" applyFill="1" applyBorder="1"/>
    <xf numFmtId="0" fontId="7" fillId="0" borderId="89" xfId="0" applyFont="1" applyBorder="1"/>
    <xf numFmtId="0" fontId="7" fillId="0" borderId="90" xfId="0" applyFont="1" applyBorder="1" applyAlignment="1">
      <alignment horizontal="right" vertical="center"/>
    </xf>
    <xf numFmtId="0" fontId="7" fillId="0" borderId="91" xfId="0" applyFont="1" applyBorder="1"/>
    <xf numFmtId="0" fontId="7" fillId="16" borderId="67" xfId="0" applyFont="1" applyFill="1" applyBorder="1"/>
    <xf numFmtId="0" fontId="7" fillId="16" borderId="50" xfId="0" applyFont="1" applyFill="1" applyBorder="1"/>
    <xf numFmtId="0" fontId="7" fillId="0" borderId="91" xfId="0" applyFont="1" applyBorder="1" applyAlignment="1">
      <alignment horizontal="right" vertical="center"/>
    </xf>
    <xf numFmtId="0" fontId="7" fillId="16" borderId="99" xfId="0" applyFont="1" applyFill="1" applyBorder="1"/>
    <xf numFmtId="0" fontId="7" fillId="16" borderId="51" xfId="0" applyFont="1" applyFill="1" applyBorder="1"/>
    <xf numFmtId="0" fontId="7" fillId="0" borderId="89" xfId="0" applyFont="1" applyBorder="1" applyAlignment="1">
      <alignment horizontal="right"/>
    </xf>
    <xf numFmtId="24" fontId="7" fillId="0" borderId="1" xfId="0" applyNumberFormat="1" applyFont="1" applyBorder="1" applyAlignment="1">
      <alignment horizontal="center" vertical="center" wrapText="1"/>
    </xf>
    <xf numFmtId="24" fontId="7" fillId="0" borderId="33" xfId="0" applyNumberFormat="1" applyFont="1" applyBorder="1" applyAlignment="1">
      <alignment horizontal="center" vertical="center" wrapText="1"/>
    </xf>
    <xf numFmtId="49" fontId="57" fillId="0" borderId="0" xfId="0" applyNumberFormat="1" applyFont="1"/>
    <xf numFmtId="49" fontId="57" fillId="0" borderId="0" xfId="0" applyNumberFormat="1" applyFont="1" applyAlignment="1">
      <alignment vertical="center"/>
    </xf>
    <xf numFmtId="49" fontId="58" fillId="0" borderId="0" xfId="0" applyNumberFormat="1" applyFont="1" applyAlignment="1">
      <alignment vertical="center"/>
    </xf>
    <xf numFmtId="49" fontId="57" fillId="2" borderId="0" xfId="0" applyNumberFormat="1" applyFont="1" applyFill="1"/>
    <xf numFmtId="49" fontId="57" fillId="0" borderId="0" xfId="0" applyNumberFormat="1" applyFont="1" applyAlignment="1">
      <alignment wrapText="1"/>
    </xf>
    <xf numFmtId="49" fontId="59" fillId="0" borderId="0" xfId="0" applyNumberFormat="1" applyFont="1" applyAlignment="1">
      <alignment vertical="center"/>
    </xf>
    <xf numFmtId="49" fontId="60" fillId="0" borderId="0" xfId="0" applyNumberFormat="1" applyFont="1" applyAlignment="1">
      <alignment horizontal="left" wrapText="1"/>
    </xf>
    <xf numFmtId="49" fontId="60" fillId="2" borderId="0" xfId="0" applyNumberFormat="1" applyFont="1" applyFill="1" applyAlignment="1">
      <alignment horizontal="left" wrapText="1"/>
    </xf>
    <xf numFmtId="49" fontId="60" fillId="0" borderId="0" xfId="0" applyNumberFormat="1" applyFont="1" applyAlignment="1">
      <alignment horizontal="left"/>
    </xf>
    <xf numFmtId="49" fontId="57" fillId="3" borderId="0" xfId="0" applyNumberFormat="1" applyFont="1" applyFill="1"/>
    <xf numFmtId="49" fontId="57" fillId="2" borderId="0" xfId="0" applyNumberFormat="1" applyFont="1" applyFill="1" applyAlignment="1">
      <alignment wrapText="1"/>
    </xf>
    <xf numFmtId="49" fontId="57" fillId="13" borderId="0" xfId="0" applyNumberFormat="1" applyFont="1" applyFill="1" applyAlignment="1">
      <alignment wrapText="1"/>
    </xf>
    <xf numFmtId="49" fontId="57" fillId="0" borderId="1" xfId="0" applyNumberFormat="1" applyFont="1" applyBorder="1"/>
    <xf numFmtId="49" fontId="58" fillId="0" borderId="1" xfId="0" applyNumberFormat="1" applyFont="1" applyBorder="1"/>
    <xf numFmtId="49" fontId="57" fillId="0" borderId="1" xfId="0" applyNumberFormat="1" applyFont="1" applyBorder="1" applyAlignment="1">
      <alignment vertical="center"/>
    </xf>
    <xf numFmtId="49" fontId="57" fillId="2" borderId="1" xfId="0" applyNumberFormat="1" applyFont="1" applyFill="1" applyBorder="1"/>
    <xf numFmtId="49" fontId="60" fillId="13" borderId="0" xfId="0" applyNumberFormat="1" applyFont="1" applyFill="1" applyAlignment="1">
      <alignment horizontal="left"/>
    </xf>
    <xf numFmtId="49" fontId="57" fillId="13" borderId="0" xfId="0" applyNumberFormat="1" applyFont="1" applyFill="1"/>
    <xf numFmtId="49" fontId="60" fillId="0" borderId="0" xfId="3" applyNumberFormat="1" applyFont="1" applyAlignment="1">
      <alignment horizontal="left" wrapText="1"/>
    </xf>
    <xf numFmtId="49" fontId="61" fillId="0" borderId="0" xfId="0" applyNumberFormat="1" applyFont="1" applyAlignment="1">
      <alignment horizontal="left" wrapText="1"/>
    </xf>
    <xf numFmtId="49" fontId="61" fillId="2" borderId="0" xfId="0" applyNumberFormat="1" applyFont="1" applyFill="1" applyAlignment="1">
      <alignment horizontal="left" wrapText="1"/>
    </xf>
    <xf numFmtId="0" fontId="0" fillId="13" borderId="0" xfId="0" applyFill="1" applyAlignment="1">
      <alignment wrapText="1"/>
    </xf>
    <xf numFmtId="0" fontId="0" fillId="9" borderId="0" xfId="0" applyFill="1" applyAlignment="1">
      <alignment wrapText="1"/>
    </xf>
    <xf numFmtId="0" fontId="0" fillId="14" borderId="0" xfId="0" applyFill="1" applyAlignment="1">
      <alignment wrapText="1"/>
    </xf>
    <xf numFmtId="0" fontId="0" fillId="12" borderId="0" xfId="0" applyFill="1" applyAlignment="1">
      <alignment wrapText="1"/>
    </xf>
    <xf numFmtId="0" fontId="0" fillId="3" borderId="0" xfId="0" applyFill="1" applyAlignment="1">
      <alignment wrapText="1"/>
    </xf>
    <xf numFmtId="0" fontId="0" fillId="2" borderId="1" xfId="0" applyFill="1" applyBorder="1" applyAlignment="1">
      <alignment wrapText="1"/>
    </xf>
    <xf numFmtId="0" fontId="0" fillId="0" borderId="24" xfId="0" applyBorder="1" applyAlignment="1">
      <alignment wrapText="1"/>
    </xf>
    <xf numFmtId="0" fontId="0" fillId="0" borderId="47" xfId="0" applyBorder="1" applyAlignment="1">
      <alignment wrapText="1"/>
    </xf>
    <xf numFmtId="0" fontId="0" fillId="0" borderId="77" xfId="0" applyBorder="1" applyAlignment="1">
      <alignment wrapText="1"/>
    </xf>
    <xf numFmtId="0" fontId="0" fillId="0" borderId="79" xfId="0" applyBorder="1" applyAlignment="1">
      <alignment wrapText="1"/>
    </xf>
    <xf numFmtId="49" fontId="0" fillId="0" borderId="0" xfId="0" applyNumberFormat="1" applyAlignment="1">
      <alignment wrapText="1"/>
    </xf>
    <xf numFmtId="49" fontId="15" fillId="0" borderId="0" xfId="0" applyNumberFormat="1" applyFont="1" applyAlignment="1">
      <alignment vertical="center"/>
    </xf>
    <xf numFmtId="49" fontId="62" fillId="0" borderId="0" xfId="0" applyNumberFormat="1" applyFont="1" applyAlignment="1">
      <alignment horizontal="left" wrapText="1"/>
    </xf>
    <xf numFmtId="0" fontId="63" fillId="0" borderId="0" xfId="0" applyFont="1" applyAlignment="1">
      <alignment vertical="center"/>
    </xf>
    <xf numFmtId="0" fontId="64" fillId="0" borderId="0" xfId="0" applyFont="1"/>
    <xf numFmtId="49" fontId="15" fillId="0" borderId="0" xfId="0" applyNumberFormat="1" applyFont="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horizontal="center"/>
    </xf>
    <xf numFmtId="0" fontId="12" fillId="0" borderId="0" xfId="0" applyFont="1" applyAlignment="1">
      <alignment horizontal="center"/>
    </xf>
    <xf numFmtId="49" fontId="11" fillId="0" borderId="0" xfId="0" applyNumberFormat="1" applyFont="1"/>
    <xf numFmtId="0" fontId="24" fillId="2" borderId="0" xfId="0" applyFont="1" applyFill="1" applyAlignment="1">
      <alignment wrapText="1"/>
    </xf>
    <xf numFmtId="0" fontId="11" fillId="2" borderId="0" xfId="0" applyFont="1" applyFill="1" applyAlignment="1">
      <alignment wrapText="1"/>
    </xf>
    <xf numFmtId="49" fontId="34" fillId="2" borderId="0" xfId="0" applyNumberFormat="1" applyFont="1" applyFill="1" applyAlignment="1">
      <alignment horizontal="left" wrapText="1"/>
    </xf>
    <xf numFmtId="0" fontId="65" fillId="0" borderId="0" xfId="0" applyFont="1" applyAlignment="1">
      <alignment vertical="center"/>
    </xf>
    <xf numFmtId="0" fontId="65" fillId="0" borderId="0" xfId="0" applyFont="1"/>
    <xf numFmtId="0" fontId="24"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66" fillId="0" borderId="90" xfId="0" applyFont="1" applyBorder="1" applyAlignment="1">
      <alignment wrapText="1"/>
    </xf>
    <xf numFmtId="0" fontId="66" fillId="0" borderId="85" xfId="0" applyFont="1" applyBorder="1" applyAlignment="1">
      <alignment wrapText="1"/>
    </xf>
    <xf numFmtId="0" fontId="6" fillId="0" borderId="90" xfId="0" applyFont="1" applyBorder="1" applyAlignment="1" applyProtection="1">
      <alignment wrapText="1"/>
      <protection locked="0"/>
    </xf>
    <xf numFmtId="0" fontId="68" fillId="0" borderId="1" xfId="0" applyFont="1" applyBorder="1" applyAlignment="1">
      <alignment wrapText="1"/>
    </xf>
    <xf numFmtId="0" fontId="69" fillId="0" borderId="1" xfId="0" applyFont="1" applyBorder="1" applyAlignment="1">
      <alignment wrapText="1"/>
    </xf>
    <xf numFmtId="0" fontId="68" fillId="0" borderId="67" xfId="0" applyFont="1" applyBorder="1" applyAlignment="1">
      <alignment wrapText="1"/>
    </xf>
    <xf numFmtId="0" fontId="69" fillId="0" borderId="71" xfId="0" applyFont="1" applyBorder="1" applyAlignment="1">
      <alignment wrapText="1"/>
    </xf>
    <xf numFmtId="49" fontId="71" fillId="0" borderId="0" xfId="0" applyNumberFormat="1" applyFont="1" applyAlignment="1">
      <alignment horizontal="left" wrapText="1"/>
    </xf>
    <xf numFmtId="14" fontId="0" fillId="0" borderId="0" xfId="0" applyNumberFormat="1"/>
    <xf numFmtId="0" fontId="72" fillId="0" borderId="0" xfId="0" applyFont="1" applyAlignment="1">
      <alignment wrapText="1"/>
    </xf>
    <xf numFmtId="0" fontId="73" fillId="0" borderId="0" xfId="0" applyFont="1" applyAlignment="1">
      <alignment wrapText="1"/>
    </xf>
    <xf numFmtId="49" fontId="74" fillId="0" borderId="0" xfId="0" applyNumberFormat="1" applyFont="1"/>
    <xf numFmtId="0" fontId="72" fillId="0" borderId="0" xfId="0" applyFont="1"/>
    <xf numFmtId="0" fontId="8" fillId="0" borderId="107" xfId="7" applyBorder="1" applyAlignment="1">
      <alignment horizontal="left" vertical="center" wrapText="1" indent="4"/>
    </xf>
    <xf numFmtId="0" fontId="8" fillId="0" borderId="105" xfId="7" applyBorder="1" applyAlignment="1">
      <alignment horizontal="left" vertical="center" wrapText="1" indent="4"/>
    </xf>
    <xf numFmtId="0" fontId="7" fillId="0" borderId="50" xfId="0" applyFont="1" applyBorder="1" applyAlignment="1">
      <alignment horizontal="center" vertical="center" wrapText="1"/>
    </xf>
    <xf numFmtId="0" fontId="7" fillId="0" borderId="75" xfId="0" applyFont="1" applyBorder="1" applyAlignment="1">
      <alignment horizontal="center" vertical="center" wrapText="1"/>
    </xf>
    <xf numFmtId="0" fontId="12" fillId="0" borderId="70" xfId="0" applyFont="1" applyBorder="1" applyAlignment="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12" fillId="0" borderId="47" xfId="0" applyFont="1" applyBorder="1" applyAlignment="1">
      <alignment horizontal="center" vertic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12" fillId="0" borderId="63" xfId="0" applyFont="1" applyBorder="1" applyAlignment="1">
      <alignment horizontal="center" vertical="center" wrapText="1"/>
    </xf>
    <xf numFmtId="0" fontId="12" fillId="0" borderId="74" xfId="0" applyFont="1" applyBorder="1" applyAlignment="1">
      <alignment horizontal="center" vertical="center" wrapText="1"/>
    </xf>
    <xf numFmtId="0" fontId="15" fillId="9" borderId="30" xfId="0" applyFont="1" applyFill="1" applyBorder="1" applyAlignment="1">
      <alignment horizontal="center" vertical="center"/>
    </xf>
    <xf numFmtId="0" fontId="15" fillId="9" borderId="31" xfId="0" applyFont="1" applyFill="1" applyBorder="1" applyAlignment="1">
      <alignment horizontal="center" vertical="center"/>
    </xf>
    <xf numFmtId="0" fontId="7" fillId="0" borderId="64" xfId="0" applyFont="1" applyBorder="1" applyAlignment="1">
      <alignment horizontal="center" vertical="center" wrapText="1"/>
    </xf>
    <xf numFmtId="0" fontId="7" fillId="0" borderId="76" xfId="0" applyFont="1" applyBorder="1" applyAlignment="1">
      <alignment horizontal="center" vertical="center" wrapText="1"/>
    </xf>
    <xf numFmtId="0" fontId="0" fillId="0" borderId="83" xfId="0" applyBorder="1"/>
    <xf numFmtId="0" fontId="0" fillId="0" borderId="72" xfId="0" applyBorder="1"/>
    <xf numFmtId="0" fontId="12" fillId="9" borderId="47" xfId="0" applyFont="1" applyFill="1" applyBorder="1" applyAlignment="1">
      <alignment horizontal="center" vertical="center"/>
    </xf>
    <xf numFmtId="0" fontId="12" fillId="9" borderId="43" xfId="0" applyFont="1" applyFill="1" applyBorder="1" applyAlignment="1">
      <alignment horizontal="center" vertical="center"/>
    </xf>
    <xf numFmtId="0" fontId="15" fillId="9" borderId="44" xfId="0" applyFont="1" applyFill="1" applyBorder="1" applyAlignment="1">
      <alignment horizontal="center" vertical="center"/>
    </xf>
    <xf numFmtId="0" fontId="15" fillId="9" borderId="46" xfId="0" applyFont="1" applyFill="1" applyBorder="1" applyAlignment="1">
      <alignment horizontal="center" vertical="center"/>
    </xf>
    <xf numFmtId="0" fontId="15" fillId="9" borderId="27" xfId="0" applyFont="1" applyFill="1" applyBorder="1" applyAlignment="1">
      <alignment horizontal="center" vertical="center"/>
    </xf>
    <xf numFmtId="0" fontId="15" fillId="9" borderId="29" xfId="0" applyFont="1" applyFill="1" applyBorder="1" applyAlignment="1">
      <alignment horizontal="center" vertical="center"/>
    </xf>
    <xf numFmtId="0" fontId="15" fillId="9" borderId="32" xfId="0" applyFont="1" applyFill="1" applyBorder="1" applyAlignment="1">
      <alignment horizontal="center" vertical="center"/>
    </xf>
    <xf numFmtId="0" fontId="15" fillId="9" borderId="34" xfId="0" applyFont="1" applyFill="1" applyBorder="1" applyAlignment="1">
      <alignment horizontal="center" vertical="center"/>
    </xf>
    <xf numFmtId="26" fontId="0" fillId="9" borderId="32" xfId="0" applyNumberFormat="1" applyFill="1" applyBorder="1" applyAlignment="1">
      <alignment horizontal="center"/>
    </xf>
    <xf numFmtId="26" fontId="0" fillId="9" borderId="34" xfId="0" applyNumberFormat="1" applyFill="1" applyBorder="1" applyAlignment="1">
      <alignment horizontal="center"/>
    </xf>
    <xf numFmtId="0" fontId="15" fillId="9" borderId="79" xfId="0" applyFont="1" applyFill="1" applyBorder="1" applyAlignment="1">
      <alignment horizontal="center" vertical="center"/>
    </xf>
    <xf numFmtId="0" fontId="15" fillId="9" borderId="73" xfId="0" applyFont="1" applyFill="1" applyBorder="1" applyAlignment="1">
      <alignment horizontal="center" vertical="center"/>
    </xf>
    <xf numFmtId="26" fontId="0" fillId="9" borderId="44" xfId="0" applyNumberFormat="1" applyFill="1" applyBorder="1" applyAlignment="1">
      <alignment horizontal="center"/>
    </xf>
    <xf numFmtId="26" fontId="0" fillId="9" borderId="46" xfId="0" applyNumberFormat="1" applyFill="1" applyBorder="1" applyAlignment="1">
      <alignment horizontal="center"/>
    </xf>
    <xf numFmtId="26" fontId="0" fillId="9" borderId="37" xfId="0" applyNumberFormat="1" applyFill="1" applyBorder="1" applyAlignment="1">
      <alignment horizontal="center"/>
    </xf>
    <xf numFmtId="26" fontId="0" fillId="9" borderId="38" xfId="0" applyNumberFormat="1" applyFill="1" applyBorder="1" applyAlignment="1">
      <alignment horizontal="center"/>
    </xf>
    <xf numFmtId="26" fontId="7" fillId="9" borderId="30" xfId="0" applyNumberFormat="1" applyFont="1" applyFill="1" applyBorder="1" applyAlignment="1">
      <alignment horizontal="center" vertical="center" wrapText="1"/>
    </xf>
    <xf numFmtId="26" fontId="7" fillId="9" borderId="31" xfId="0" applyNumberFormat="1" applyFont="1" applyFill="1" applyBorder="1" applyAlignment="1">
      <alignment horizontal="center" vertical="center" wrapText="1"/>
    </xf>
    <xf numFmtId="26" fontId="0" fillId="9" borderId="30" xfId="0" applyNumberFormat="1" applyFill="1" applyBorder="1" applyAlignment="1">
      <alignment horizontal="center"/>
    </xf>
    <xf numFmtId="26" fontId="0" fillId="9" borderId="31" xfId="0" applyNumberFormat="1" applyFill="1" applyBorder="1" applyAlignment="1">
      <alignment horizontal="center"/>
    </xf>
    <xf numFmtId="26" fontId="0" fillId="9" borderId="79" xfId="0" applyNumberFormat="1" applyFill="1" applyBorder="1"/>
    <xf numFmtId="26" fontId="0" fillId="9" borderId="73" xfId="0" applyNumberFormat="1" applyFill="1" applyBorder="1"/>
    <xf numFmtId="26" fontId="0" fillId="9" borderId="27" xfId="0" applyNumberFormat="1" applyFill="1" applyBorder="1" applyAlignment="1">
      <alignment horizontal="center"/>
    </xf>
    <xf numFmtId="26" fontId="0" fillId="9" borderId="29" xfId="0" applyNumberFormat="1" applyFill="1" applyBorder="1" applyAlignment="1">
      <alignment horizontal="center"/>
    </xf>
    <xf numFmtId="0" fontId="12" fillId="9" borderId="27" xfId="0" applyFont="1" applyFill="1" applyBorder="1" applyAlignment="1">
      <alignment horizontal="center" vertical="center"/>
    </xf>
    <xf numFmtId="0" fontId="12" fillId="9" borderId="29" xfId="0" applyFont="1" applyFill="1" applyBorder="1" applyAlignment="1">
      <alignment horizontal="center" vertical="center"/>
    </xf>
    <xf numFmtId="0" fontId="12" fillId="9" borderId="30" xfId="0" applyFont="1" applyFill="1" applyBorder="1" applyAlignment="1">
      <alignment horizontal="center" vertical="center"/>
    </xf>
    <xf numFmtId="0" fontId="12" fillId="9" borderId="31" xfId="0" applyFont="1" applyFill="1" applyBorder="1" applyAlignment="1">
      <alignment horizontal="center" vertical="center"/>
    </xf>
    <xf numFmtId="0" fontId="12" fillId="9" borderId="32" xfId="0" applyFont="1" applyFill="1" applyBorder="1" applyAlignment="1">
      <alignment horizontal="center" vertical="center"/>
    </xf>
    <xf numFmtId="0" fontId="12" fillId="9" borderId="34" xfId="0" applyFont="1" applyFill="1" applyBorder="1" applyAlignment="1">
      <alignment horizontal="center" vertical="center"/>
    </xf>
    <xf numFmtId="0" fontId="12" fillId="9" borderId="79" xfId="0" applyFont="1" applyFill="1" applyBorder="1" applyAlignment="1">
      <alignment horizontal="center" vertical="center"/>
    </xf>
    <xf numFmtId="0" fontId="12" fillId="9" borderId="73" xfId="0" applyFont="1" applyFill="1" applyBorder="1" applyAlignment="1">
      <alignment horizontal="center" vertical="center"/>
    </xf>
  </cellXfs>
  <cellStyles count="8">
    <cellStyle name="Hyperlink" xfId="1" xr:uid="{875FE3D6-B714-4B8F-99AA-F27C862139EE}"/>
    <cellStyle name="ハイパーリンク" xfId="7" builtinId="8"/>
    <cellStyle name="標準" xfId="0" builtinId="0"/>
    <cellStyle name="標準 2" xfId="2" xr:uid="{34F4153C-6F3C-4C5D-BDBC-CCE02E9F948A}"/>
    <cellStyle name="標準 2 2" xfId="5" xr:uid="{E5D42A5E-8AC0-4F3B-8D26-FDCBFD6A57AE}"/>
    <cellStyle name="標準 3" xfId="3" xr:uid="{904771C9-BCE6-472A-83B4-970556D39B1C}"/>
    <cellStyle name="標準 4" xfId="4" xr:uid="{D4CF2794-0D7C-47D6-B1C5-DEC8A1EE5EB0}"/>
    <cellStyle name="標準 4 2" xfId="6" xr:uid="{89870B2C-C47E-4164-8A50-2CEC08022E2E}"/>
  </cellStyles>
  <dxfs count="161">
    <dxf>
      <fill>
        <patternFill>
          <bgColor rgb="FFFFC0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auto="1"/>
      </font>
      <fill>
        <patternFill>
          <bgColor rgb="FFFF0000"/>
        </patternFill>
      </fill>
    </dxf>
    <dxf>
      <font>
        <b/>
        <i val="0"/>
        <color rgb="FFC00000"/>
      </font>
    </dxf>
    <dxf>
      <fill>
        <patternFill>
          <bgColor rgb="FFFFC000"/>
        </patternFill>
      </fill>
    </dxf>
    <dxf>
      <font>
        <b/>
        <i val="0"/>
      </font>
      <fill>
        <patternFill>
          <bgColor rgb="FFFF0000"/>
        </patternFill>
      </fill>
    </dxf>
    <dxf>
      <font>
        <b/>
        <i val="0"/>
        <color rgb="FFFF0000"/>
      </font>
    </dxf>
    <dxf>
      <fill>
        <patternFill>
          <bgColor rgb="FFFFC000"/>
        </patternFill>
      </fill>
    </dxf>
    <dxf>
      <font>
        <b/>
        <i val="0"/>
      </font>
      <fill>
        <patternFill>
          <bgColor rgb="FFFF0000"/>
        </patternFill>
      </fill>
    </dxf>
    <dxf>
      <font>
        <b/>
        <i val="0"/>
        <color rgb="FFFF0000"/>
      </font>
    </dxf>
    <dxf>
      <font>
        <color rgb="FFC00000"/>
      </font>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auto="1"/>
      </font>
      <fill>
        <patternFill>
          <bgColor rgb="FFFF0000"/>
        </patternFill>
      </fill>
    </dxf>
    <dxf>
      <fill>
        <patternFill>
          <bgColor rgb="FFFFC000"/>
        </patternFill>
      </fill>
    </dxf>
    <dxf>
      <font>
        <b/>
        <i val="0"/>
        <color rgb="FFC00000"/>
      </font>
    </dxf>
    <dxf>
      <font>
        <color rgb="FFC00000"/>
      </font>
    </dxf>
    <dxf>
      <font>
        <color rgb="FFFF0000"/>
      </font>
    </dxf>
    <dxf>
      <font>
        <color rgb="FFC00000"/>
      </font>
    </dxf>
    <dxf>
      <font>
        <color rgb="FFFF0000"/>
      </font>
    </dxf>
    <dxf>
      <font>
        <color rgb="FFC00000"/>
      </font>
    </dxf>
    <dxf>
      <font>
        <strike val="0"/>
        <color rgb="FFC00000"/>
      </font>
    </dxf>
    <dxf>
      <font>
        <color rgb="FFC00000"/>
      </font>
    </dxf>
    <dxf>
      <font>
        <color rgb="FFC00000"/>
      </font>
    </dxf>
    <dxf>
      <font>
        <strike val="0"/>
        <color rgb="FFC00000"/>
      </font>
    </dxf>
    <dxf>
      <font>
        <color rgb="FFC00000"/>
      </font>
    </dxf>
    <dxf>
      <font>
        <b/>
        <i val="0"/>
      </font>
      <fill>
        <patternFill>
          <bgColor rgb="FFFF0000"/>
        </patternFill>
      </fill>
    </dxf>
    <dxf>
      <font>
        <b/>
        <i val="0"/>
      </font>
      <fill>
        <patternFill>
          <bgColor rgb="FFFF0000"/>
        </patternFill>
      </fill>
    </dxf>
    <dxf>
      <font>
        <b/>
        <i val="0"/>
      </font>
      <fill>
        <patternFill>
          <bgColor rgb="FFFF0000"/>
        </patternFill>
      </fill>
    </dxf>
    <dxf>
      <font>
        <b/>
        <i val="0"/>
        <color rgb="FFFF0000"/>
      </font>
    </dxf>
    <dxf>
      <font>
        <b/>
        <i val="0"/>
      </font>
      <fill>
        <patternFill>
          <bgColor rgb="FFFF0000"/>
        </patternFill>
      </fill>
    </dxf>
    <dxf>
      <font>
        <b/>
        <i val="0"/>
        <color rgb="FFFF0000"/>
      </font>
    </dxf>
    <dxf>
      <fill>
        <patternFill>
          <bgColor rgb="FFFFC000"/>
        </patternFill>
      </fill>
    </dxf>
    <dxf>
      <font>
        <color rgb="FFC00000"/>
      </font>
    </dxf>
    <dxf>
      <font>
        <color rgb="FFC00000"/>
      </font>
    </dxf>
    <dxf>
      <font>
        <color rgb="FFFF0000"/>
      </font>
    </dxf>
    <dxf>
      <font>
        <color rgb="FFC00000"/>
      </font>
    </dxf>
    <dxf>
      <font>
        <color rgb="FFC00000"/>
      </font>
    </dxf>
    <dxf>
      <font>
        <strike val="0"/>
        <color rgb="FFC00000"/>
      </font>
    </dxf>
    <dxf>
      <font>
        <color rgb="FFC00000"/>
      </font>
    </dxf>
    <dxf>
      <font>
        <strike val="0"/>
        <color rgb="FFC00000"/>
      </font>
    </dxf>
    <dxf>
      <font>
        <color rgb="FFC00000"/>
      </font>
    </dxf>
    <dxf>
      <font>
        <color rgb="FFC00000"/>
      </font>
    </dxf>
    <dxf>
      <font>
        <strike val="0"/>
        <color rgb="FFC00000"/>
      </font>
    </dxf>
    <dxf>
      <fill>
        <patternFill>
          <bgColor rgb="FFFFFF99"/>
        </patternFill>
      </fill>
    </dxf>
    <dxf>
      <fill>
        <patternFill>
          <bgColor rgb="FFFFFF99"/>
        </patternFill>
      </fill>
    </dxf>
    <dxf>
      <fill>
        <patternFill>
          <bgColor rgb="FFFF66FF"/>
        </patternFill>
      </fill>
    </dxf>
    <dxf>
      <font>
        <b/>
        <i val="0"/>
      </font>
      <fill>
        <patternFill>
          <bgColor rgb="FFFFFF00"/>
        </patternFill>
      </fill>
    </dxf>
    <dxf>
      <font>
        <b/>
        <i val="0"/>
      </font>
      <fill>
        <patternFill>
          <bgColor rgb="FFFFFF00"/>
        </patternFill>
      </fill>
    </dxf>
    <dxf>
      <font>
        <b/>
        <i val="0"/>
      </font>
      <fill>
        <patternFill>
          <bgColor rgb="FFFF0000"/>
        </patternFill>
      </fill>
    </dxf>
    <dxf>
      <fill>
        <patternFill>
          <bgColor rgb="FFFFC000"/>
        </patternFill>
      </fill>
    </dxf>
    <dxf>
      <font>
        <b/>
        <i val="0"/>
      </font>
      <fill>
        <patternFill>
          <fgColor auto="1"/>
          <bgColor rgb="FFFF0000"/>
        </patternFill>
      </fill>
    </dxf>
    <dxf>
      <font>
        <color rgb="FF9C0006"/>
      </font>
    </dxf>
    <dxf>
      <font>
        <color rgb="FF9C0006"/>
      </font>
    </dxf>
    <dxf>
      <font>
        <color rgb="FFC00000"/>
      </font>
    </dxf>
    <dxf>
      <font>
        <color rgb="FFFF0000"/>
      </font>
    </dxf>
    <dxf>
      <font>
        <color rgb="FFFF0000"/>
      </font>
    </dxf>
    <dxf>
      <font>
        <color rgb="FFC00000"/>
      </font>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auto="1"/>
      </font>
      <fill>
        <patternFill>
          <bgColor rgb="FFFF0000"/>
        </patternFill>
      </fill>
    </dxf>
    <dxf>
      <fill>
        <patternFill>
          <bgColor rgb="FFFFC000"/>
        </patternFill>
      </fill>
    </dxf>
    <dxf>
      <font>
        <b/>
        <i val="0"/>
      </font>
      <fill>
        <patternFill>
          <bgColor rgb="FFFFFF00"/>
        </patternFill>
      </fill>
    </dxf>
    <dxf>
      <font>
        <b/>
        <i val="0"/>
      </font>
      <fill>
        <patternFill>
          <fgColor auto="1"/>
          <bgColor rgb="FFFF0000"/>
        </patternFill>
      </fill>
    </dxf>
    <dxf>
      <fill>
        <patternFill>
          <bgColor rgb="FFFFC000"/>
        </patternFill>
      </fill>
    </dxf>
    <dxf>
      <font>
        <b/>
        <i val="0"/>
      </font>
      <fill>
        <patternFill>
          <bgColor rgb="FFFFFF00"/>
        </patternFill>
      </fill>
    </dxf>
    <dxf>
      <font>
        <b/>
        <i val="0"/>
      </font>
      <fill>
        <patternFill>
          <bgColor rgb="FFFF0000"/>
        </patternFill>
      </fill>
    </dxf>
    <dxf>
      <fill>
        <patternFill>
          <bgColor rgb="FFFFC000"/>
        </patternFill>
      </fill>
    </dxf>
    <dxf>
      <font>
        <color auto="1"/>
      </font>
      <fill>
        <patternFill>
          <bgColor rgb="FFFFFF00"/>
        </patternFill>
      </fill>
    </dxf>
    <dxf>
      <font>
        <b/>
        <i val="0"/>
        <color auto="1"/>
      </font>
      <fill>
        <patternFill>
          <bgColor rgb="FFFF0000"/>
        </patternFill>
      </fill>
    </dxf>
    <dxf>
      <fill>
        <patternFill>
          <bgColor rgb="FFFFC0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font>
      <fill>
        <patternFill>
          <fgColor auto="1"/>
          <bgColor rgb="FFFF0000"/>
        </patternFill>
      </fill>
    </dxf>
    <dxf>
      <font>
        <b/>
        <i val="0"/>
      </font>
      <fill>
        <patternFill>
          <bgColor rgb="FFFFFF00"/>
        </patternFill>
      </fill>
    </dxf>
    <dxf>
      <font>
        <b/>
        <i val="0"/>
      </font>
      <fill>
        <patternFill>
          <bgColor rgb="FFFFFF00"/>
        </patternFill>
      </fill>
    </dxf>
    <dxf>
      <font>
        <b/>
        <i val="0"/>
      </font>
      <fill>
        <patternFill>
          <bgColor rgb="FFFF0000"/>
        </patternFill>
      </fill>
    </dxf>
    <dxf>
      <fill>
        <patternFill>
          <bgColor rgb="FFFFC000"/>
        </patternFill>
      </fill>
    </dxf>
    <dxf>
      <font>
        <color rgb="FFC00000"/>
      </font>
    </dxf>
    <dxf>
      <font>
        <color rgb="FF9C0006"/>
      </font>
    </dxf>
    <dxf>
      <font>
        <strike val="0"/>
        <color rgb="FFFF0000"/>
      </font>
    </dxf>
    <dxf>
      <font>
        <color rgb="FF9C0006"/>
      </font>
    </dxf>
    <dxf>
      <font>
        <color rgb="FFFF0000"/>
      </font>
    </dxf>
    <dxf>
      <font>
        <color rgb="FFFF0000"/>
      </font>
    </dxf>
    <dxf>
      <fill>
        <patternFill>
          <bgColor rgb="FFFFC000"/>
        </patternFill>
      </fill>
    </dxf>
    <dxf>
      <font>
        <color rgb="FFFF0000"/>
      </font>
    </dxf>
    <dxf>
      <font>
        <color rgb="FFFF0000"/>
      </font>
    </dxf>
    <dxf>
      <font>
        <b/>
        <i val="0"/>
      </font>
      <fill>
        <patternFill>
          <bgColor rgb="FFFF00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auto="1"/>
      </font>
      <fill>
        <patternFill>
          <bgColor rgb="FFFF00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auto="1"/>
      </font>
      <fill>
        <patternFill>
          <bgColor rgb="FFFF0000"/>
        </patternFill>
      </fill>
    </dxf>
    <dxf>
      <fill>
        <patternFill>
          <bgColor rgb="FFFFC0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auto="1"/>
      </font>
      <fill>
        <patternFill>
          <bgColor rgb="FFFF0000"/>
        </patternFill>
      </fill>
    </dxf>
    <dxf>
      <font>
        <color auto="1"/>
      </font>
      <fill>
        <patternFill>
          <bgColor rgb="FFFFFF00"/>
        </patternFill>
      </fill>
    </dxf>
    <dxf>
      <font>
        <color auto="1"/>
      </font>
      <fill>
        <patternFill>
          <bgColor rgb="FFFFFF00"/>
        </patternFill>
      </fill>
    </dxf>
    <dxf>
      <font>
        <b/>
        <i val="0"/>
        <color rgb="FFFF0000"/>
      </font>
    </dxf>
    <dxf>
      <font>
        <b/>
        <i val="0"/>
      </font>
      <fill>
        <patternFill>
          <bgColor rgb="FFFF0000"/>
        </patternFill>
      </fill>
    </dxf>
    <dxf>
      <fill>
        <patternFill>
          <bgColor rgb="FFFFC000"/>
        </patternFill>
      </fill>
    </dxf>
    <dxf>
      <font>
        <b/>
        <i val="0"/>
        <color rgb="FFC00000"/>
      </font>
    </dxf>
    <dxf>
      <font>
        <b/>
        <i val="0"/>
        <color auto="1"/>
      </font>
      <fill>
        <patternFill>
          <bgColor rgb="FFFF00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rgb="FFC00000"/>
      </font>
    </dxf>
    <dxf>
      <font>
        <color rgb="FFC00000"/>
      </font>
    </dxf>
    <dxf>
      <font>
        <strike val="0"/>
        <color rgb="FFC00000"/>
      </font>
    </dxf>
    <dxf>
      <font>
        <color rgb="FFC00000"/>
      </font>
    </dxf>
    <dxf>
      <font>
        <color rgb="FFC00000"/>
      </font>
    </dxf>
    <dxf>
      <font>
        <color rgb="FFC00000"/>
      </font>
    </dxf>
    <dxf>
      <font>
        <color rgb="FFC00000"/>
      </font>
    </dxf>
    <dxf>
      <font>
        <color rgb="FFC00000"/>
      </font>
    </dxf>
    <dxf>
      <font>
        <strike val="0"/>
        <color rgb="FFFF0000"/>
      </font>
    </dxf>
    <dxf>
      <fill>
        <patternFill>
          <bgColor rgb="FFFFFF99"/>
        </patternFill>
      </fill>
    </dxf>
    <dxf>
      <fill>
        <patternFill>
          <bgColor rgb="FFFF66FF"/>
        </patternFill>
      </fill>
    </dxf>
    <dxf>
      <font>
        <strike val="0"/>
        <color rgb="FFFF0000"/>
      </font>
    </dxf>
    <dxf>
      <font>
        <color rgb="FFC00000"/>
      </font>
    </dxf>
    <dxf>
      <font>
        <strike val="0"/>
        <color rgb="FFC00000"/>
      </font>
    </dxf>
    <dxf>
      <font>
        <strike val="0"/>
        <color rgb="FFC00000"/>
      </font>
    </dxf>
    <dxf>
      <font>
        <color rgb="FFC00000"/>
      </font>
    </dxf>
    <dxf>
      <font>
        <color rgb="FFC00000"/>
      </font>
    </dxf>
    <dxf>
      <font>
        <strike val="0"/>
        <color rgb="FFC00000"/>
      </font>
    </dxf>
    <dxf>
      <font>
        <color rgb="FFC00000"/>
      </font>
    </dxf>
    <dxf>
      <font>
        <strike val="0"/>
        <color rgb="FFC00000"/>
      </font>
    </dxf>
    <dxf>
      <font>
        <color rgb="FFC00000"/>
      </font>
    </dxf>
    <dxf>
      <font>
        <strike val="0"/>
        <color rgb="FFC00000"/>
      </font>
    </dxf>
    <dxf>
      <font>
        <color rgb="FFC00000"/>
      </font>
    </dxf>
    <dxf>
      <font>
        <strike val="0"/>
        <color rgb="FFC00000"/>
      </font>
    </dxf>
  </dxfs>
  <tableStyles count="0" defaultTableStyle="TableStyleMedium2" defaultPivotStyle="PivotStyleLight16"/>
  <colors>
    <mruColors>
      <color rgb="FFFF66FF"/>
      <color rgb="FFFFFF99"/>
      <color rgb="FFFFA3FF"/>
      <color rgb="FFFF00FF"/>
      <color rgb="FFFF6D6D"/>
      <color rgb="FFFFE8A7"/>
      <color rgb="FFFFDC79"/>
      <color rgb="FFFFF4D5"/>
      <color rgb="FFFF6161"/>
      <color rgb="FFFF4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asaaki Hori" id="{ED125297-F0F0-40AA-BAAE-86B770B74AD6}" userId="Masaaki Hori"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884" dT="2022-12-16T06:45:00.27" personId="{ED125297-F0F0-40AA-BAAE-86B770B74AD6}" id="{AD335BD0-CE91-40EC-83FA-FF853F3DDB48}">
    <text>ここからSFDC migration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app.asana.com/0/1201273699674925/1207143556236546" TargetMode="External"/><Relationship Id="rId18" Type="http://schemas.openxmlformats.org/officeDocument/2006/relationships/hyperlink" Target="https://domo-support.domo.com/s/article/000005815?language=en_US" TargetMode="External"/><Relationship Id="rId26" Type="http://schemas.openxmlformats.org/officeDocument/2006/relationships/hyperlink" Target="https://domo-support.domo.com/s/article/000005839?language=en_US" TargetMode="External"/><Relationship Id="rId21" Type="http://schemas.openxmlformats.org/officeDocument/2006/relationships/hyperlink" Target="https://domo-support.domo.com/s/article/360044876614?language=en_US" TargetMode="External"/><Relationship Id="rId34" Type="http://schemas.openxmlformats.org/officeDocument/2006/relationships/hyperlink" Target="https://domosoftware-my.sharepoint.com/:x:/g/personal/masaaki_hori_domo_com/IQDKAOkm3uUAQp3yXlM2DzxkATgPJrxb0f9aGUmNmujB8bc?e=OUkfSJ&amp;nav=MTJfJEMkODQ6JEgkODZfezQ5QjExODQ0LUY5MjUtNDk0OS1BOTk4LUY4OERDNUZEOTU0Mn0" TargetMode="External"/><Relationship Id="rId7" Type="http://schemas.openxmlformats.org/officeDocument/2006/relationships/hyperlink" Target="https://app.asana.com/0/1201273699674925/1207869780337260" TargetMode="External"/><Relationship Id="rId12" Type="http://schemas.openxmlformats.org/officeDocument/2006/relationships/hyperlink" Target="https://app.asana.com/0/home/1207377655414706/1207890980021637" TargetMode="External"/><Relationship Id="rId17" Type="http://schemas.openxmlformats.org/officeDocument/2006/relationships/hyperlink" Target="https://onjira.domo.com/browse/DOMO-476609" TargetMode="External"/><Relationship Id="rId25" Type="http://schemas.openxmlformats.org/officeDocument/2006/relationships/hyperlink" Target="https://domo-support.domo.com/s/article/000005492?language=en_US" TargetMode="External"/><Relationship Id="rId33" Type="http://schemas.openxmlformats.org/officeDocument/2006/relationships/hyperlink" Target="https://domo-support.domo.com/s/article/000005756?language=en_US" TargetMode="External"/><Relationship Id="rId38" Type="http://schemas.microsoft.com/office/2017/10/relationships/threadedComment" Target="../threadedComments/threadedComment1.xml"/><Relationship Id="rId2" Type="http://schemas.openxmlformats.org/officeDocument/2006/relationships/hyperlink" Target="https://app.asana.com/0/1201273699674925/1207143556236546" TargetMode="External"/><Relationship Id="rId16" Type="http://schemas.openxmlformats.org/officeDocument/2006/relationships/hyperlink" Target="https://domo-custom-training-jp.domo.com/page/383675890" TargetMode="External"/><Relationship Id="rId20" Type="http://schemas.openxmlformats.org/officeDocument/2006/relationships/hyperlink" Target="https://domo-support.domo.com/s/article/360044876094?language=en_US" TargetMode="External"/><Relationship Id="rId29" Type="http://schemas.openxmlformats.org/officeDocument/2006/relationships/hyperlink" Target="https://domo-support.domo.com/s/article/000005865?language=en_US" TargetMode="External"/><Relationship Id="rId1" Type="http://schemas.openxmlformats.org/officeDocument/2006/relationships/hyperlink" Target="https://onjira.domo.com/browse/DOMO-396937" TargetMode="External"/><Relationship Id="rId6" Type="http://schemas.openxmlformats.org/officeDocument/2006/relationships/hyperlink" Target="https://app.asana.com/0/1201273699674925/1206384968584833" TargetMode="External"/><Relationship Id="rId11" Type="http://schemas.openxmlformats.org/officeDocument/2006/relationships/hyperlink" Target="https://app.asana.com/0/1201273699674925/1208184703205518" TargetMode="External"/><Relationship Id="rId24" Type="http://schemas.openxmlformats.org/officeDocument/2006/relationships/hyperlink" Target="https://domo-support.domo.com/s/article/360044876874?language=en_US" TargetMode="External"/><Relationship Id="rId32" Type="http://schemas.openxmlformats.org/officeDocument/2006/relationships/hyperlink" Target="https://domo-support.domo.com/s/article/000005744?language=en_US" TargetMode="External"/><Relationship Id="rId37" Type="http://schemas.openxmlformats.org/officeDocument/2006/relationships/comments" Target="../comments1.xml"/><Relationship Id="rId5" Type="http://schemas.openxmlformats.org/officeDocument/2006/relationships/hyperlink" Target="https://app.asana.com/0/1201273699674925/1207473696481288" TargetMode="External"/><Relationship Id="rId15" Type="http://schemas.openxmlformats.org/officeDocument/2006/relationships/hyperlink" Target="https://domo-support.domo.com/s/topic/0TO5w000000ZamoGAC/visualize-data-in-domo?language=ja" TargetMode="External"/><Relationship Id="rId23" Type="http://schemas.openxmlformats.org/officeDocument/2006/relationships/hyperlink" Target="https://domo-support.domo.com/s/article/360044876874?language=en_US" TargetMode="External"/><Relationship Id="rId28" Type="http://schemas.openxmlformats.org/officeDocument/2006/relationships/hyperlink" Target="https://domo-support.domo.com/s/article/000005240?language=en_US" TargetMode="External"/><Relationship Id="rId36" Type="http://schemas.openxmlformats.org/officeDocument/2006/relationships/vmlDrawing" Target="../drawings/vmlDrawing1.vml"/><Relationship Id="rId10" Type="http://schemas.openxmlformats.org/officeDocument/2006/relationships/hyperlink" Target="https://onjira.domo.com/browse/DOMO-422602" TargetMode="External"/><Relationship Id="rId19" Type="http://schemas.openxmlformats.org/officeDocument/2006/relationships/hyperlink" Target="https://domo-support.domo.com/s/article/360044876874?language=en_US" TargetMode="External"/><Relationship Id="rId31" Type="http://schemas.openxmlformats.org/officeDocument/2006/relationships/hyperlink" Target="https://domo-support.domo.com/s/article/360044876194?language=en_US" TargetMode="External"/><Relationship Id="rId4" Type="http://schemas.openxmlformats.org/officeDocument/2006/relationships/hyperlink" Target="https://app.asana.com/0/1201273699674925/1207259640144549" TargetMode="External"/><Relationship Id="rId9" Type="http://schemas.openxmlformats.org/officeDocument/2006/relationships/hyperlink" Target="https://domo-support.domo.com/s/article/360044876614" TargetMode="External"/><Relationship Id="rId14" Type="http://schemas.openxmlformats.org/officeDocument/2006/relationships/hyperlink" Target="https://onjira.domo.com/browse/DOMO-448273" TargetMode="External"/><Relationship Id="rId22" Type="http://schemas.openxmlformats.org/officeDocument/2006/relationships/hyperlink" Target="https://domo-support.domo.com/s/article/360044258533?language=en_US" TargetMode="External"/><Relationship Id="rId27" Type="http://schemas.openxmlformats.org/officeDocument/2006/relationships/hyperlink" Target="https://domo-support.domo.com/s/article/000005827?language=en_US" TargetMode="External"/><Relationship Id="rId30" Type="http://schemas.openxmlformats.org/officeDocument/2006/relationships/hyperlink" Target="https://domo-support.domo.com/s/article/000005797?language=en_US" TargetMode="External"/><Relationship Id="rId35" Type="http://schemas.openxmlformats.org/officeDocument/2006/relationships/printerSettings" Target="../printerSettings/printerSettings2.bin"/><Relationship Id="rId8" Type="http://schemas.openxmlformats.org/officeDocument/2006/relationships/hyperlink" Target="https://app.asana.com/0/1201273699674925/1205079654686495" TargetMode="External"/><Relationship Id="rId3" Type="http://schemas.openxmlformats.org/officeDocument/2006/relationships/hyperlink" Target="https://app.asana.com/0/1201273699674925/120755403503098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mosoftware-my.sharepoint.com/:x:/g/personal/masaaki_hori_domo_com/IQDKAOkm3uUAQp3yXlM2DzxkATgPJrxb0f9aGUmNmujB8bc?e=OUkfSJ&amp;nav=MTJfJEMkODQ6JEgkODZfezQ5QjExODQ0LUY5MjUtNDk0OS1BOTk4LUY4OERDNUZEOTU0Mn0" TargetMode="External"/><Relationship Id="rId2" Type="http://schemas.openxmlformats.org/officeDocument/2006/relationships/hyperlink" Target="https://domosoftware-my.sharepoint.com/:x:/g/personal/masaaki_hori_domo_com/IQDKAOkm3uUAQp3yXlM2DzxkATgPJrxb0f9aGUmNmujB8bc?e=OUkfSJ&amp;nav=MTJfJEMkODQ6JEgkODZfezQ5QjExODQ0LUY5MjUtNDk0OS1BOTk4LUY4OERDNUZEOTU0Mn0" TargetMode="External"/><Relationship Id="rId1" Type="http://schemas.openxmlformats.org/officeDocument/2006/relationships/hyperlink" Target="https://domosoftware-my.sharepoint.com/:x:/g/personal/masaaki_hori_domo_com/IQDKAOkm3uUAQp3yXlM2DzxkATgPJrxb0f9aGUmNmujB8bc?e=OUkfSJ&amp;nav=MTJfJEMkODQ6JEgkODZfezQ5QjExODQ0LUY5MjUtNDk0OS1BOTk4LUY4OERDNUZEOTU0Mn0"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hyperlink" Target="https://domo.domo.com/app-studio/1729376511/pages/18413313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file:///C:\Users\Masaaki.Hori\OneDrive%20-%20Domo%20Inc\_____01_KB%20Project%20management\Report%20to%20Ranjeet" TargetMode="External"/><Relationship Id="rId13" Type="http://schemas.openxmlformats.org/officeDocument/2006/relationships/hyperlink" Target="file:///C:\Users\Masaaki.Hori\OneDrive%20-%20Domo%20Inc\_____01_KB%20Project%20management\Report%20to%20Ranjeet" TargetMode="External"/><Relationship Id="rId3" Type="http://schemas.openxmlformats.org/officeDocument/2006/relationships/hyperlink" Target="../../../../../../../:f:/g/personal/masaaki_hori_domo_com/EgANZoCc7lZGivOP6gdzXLsBIN4HebVIOo-KyWYiDAlmag?e=hY7pmZ" TargetMode="External"/><Relationship Id="rId7"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___FY23/Toin/Invoice" TargetMode="External"/><Relationship Id="rId12" Type="http://schemas.openxmlformats.org/officeDocument/2006/relationships/hyperlink" Target="../../../../:f:/g/personal/masaaki_hori_domo_com/EgANZoCc7lZGivOP6gdzXLsBIN4HebVIOo-KyWYiDAlmag?e=pE8jZr" TargetMode="External"/><Relationship Id="rId2" Type="http://schemas.openxmlformats.org/officeDocument/2006/relationships/hyperlink" Target="../../../../../../../:f:/g/personal/masaaki_hori_domo_com/EgANZoCc7lZGivOP6gdzXLsBIN4HebVIOo-KyWYiDAlmag" TargetMode="External"/><Relationship Id="rId1" Type="http://schemas.openxmlformats.org/officeDocument/2006/relationships/hyperlink" Target="../../../../_____01_KB%20Project%20management/Report%20to%20Ranjeet/Localization%20status.xlsx" TargetMode="External"/><Relationship Id="rId6"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___FY23/Toin/Invoice/DOMO_&#26410;&#35531;&#27714;_221122.xlsx" TargetMode="External"/><Relationship Id="rId11" Type="http://schemas.openxmlformats.org/officeDocument/2006/relationships/hyperlink" Target="../../../../Users/Masaaki%20Hori/AppData/Roaming/Microsoft/Users/Masaaki%20Hori/AppData/Roaming/Microsoft/Users/Masaaki%20Hori/AppData/Roaming/Microsoft/Users/Masaaki%20Hori/AppData/Roaming/Microsoft/__Data/_____Finance/Toin/Invoice/FY24" TargetMode="External"/><Relationship Id="rId5" Type="http://schemas.openxmlformats.org/officeDocument/2006/relationships/hyperlink" Target="../../../../__Data/_____Finance/Toin/Quote/Quote-Toin.xlsx" TargetMode="External"/><Relationship Id="rId10" Type="http://schemas.openxmlformats.org/officeDocument/2006/relationships/hyperlink" Target="../../../../Users/Masaaki%20Hori/AppData/Roaming/Microsoft/Users/Masaaki%20Hori/AppData/Roaming/Microsoft/Users/Masaaki%20Hori/AppData/Roaming/Microsoft/Users/Masaaki%20Hori/AppData/Roaming/Microsoft/__Data/_____Finance/Toin/Invoicing%20summary" TargetMode="External"/><Relationship Id="rId4"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___1_Change_Requests&#65286;Issues/&#20462;&#27491;&#12522;&#12463;&#12456;&#12473;&#12488;" TargetMode="External"/><Relationship Id="rId9" Type="http://schemas.openxmlformats.org/officeDocument/2006/relationships/hyperlink" Target="file:///C:\Users\Masaaki.Hori\OneDrive%20-%20Domo%20Inc\________Data\_____Finance\_Toin\Quote" TargetMode="External"/><Relationship Id="rId14"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8" Type="http://schemas.openxmlformats.org/officeDocument/2006/relationships/hyperlink" Target="../_____01_KB%20Project%20management/Report%20to%20Ranjeet" TargetMode="External"/><Relationship Id="rId3" Type="http://schemas.openxmlformats.org/officeDocument/2006/relationships/hyperlink" Target="../../../../:f:/g/personal/masaaki_hori_domo_com/EgANZoCc7lZGivOP6gdzXLsBIN4HebVIOo-KyWYiDAlmag?e=hY7pmZ" TargetMode="External"/><Relationship Id="rId7"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___FY23/Toin/Invoice" TargetMode="External"/><Relationship Id="rId12" Type="http://schemas.openxmlformats.org/officeDocument/2006/relationships/printerSettings" Target="../printerSettings/printerSettings5.bin"/><Relationship Id="rId2" Type="http://schemas.openxmlformats.org/officeDocument/2006/relationships/hyperlink" Target="../../../../:f:/g/personal/masaaki_hori_domo_com/EgANZoCc7lZGivOP6gdzXLsBIN4HebVIOo-KyWYiDAlmag" TargetMode="External"/><Relationship Id="rId1" Type="http://schemas.openxmlformats.org/officeDocument/2006/relationships/hyperlink" Target="../_____01_KB%20Project%20management/Report%20to%20Ranjeet/Localization%20status.xlsx" TargetMode="External"/><Relationship Id="rId6"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___FY23/Toin/Invoice/DOMO_&#26410;&#35531;&#27714;_221122.xlsx" TargetMode="External"/><Relationship Id="rId11" Type="http://schemas.openxmlformats.org/officeDocument/2006/relationships/hyperlink" Target="../Users/Masaaki%20Hori/AppData/Roaming/Microsoft/Users/Masaaki%20Hori/AppData/Roaming/Microsoft/Users/Masaaki%20Hori/AppData/Roaming/Microsoft/Users/Masaaki%20Hori/AppData/Roaming/Microsoft/__Data/_____Finance/Toin/Invoice/FY24" TargetMode="External"/><Relationship Id="rId5" Type="http://schemas.openxmlformats.org/officeDocument/2006/relationships/hyperlink" Target="..\__Data\_____Finance\Toin\Quote\Quote-Toin.xlsx" TargetMode="External"/><Relationship Id="rId10" Type="http://schemas.openxmlformats.org/officeDocument/2006/relationships/hyperlink" Target="../Users/Masaaki%20Hori/AppData/Roaming/Microsoft/Users/Masaaki%20Hori/AppData/Roaming/Microsoft/Users/Masaaki%20Hori/AppData/Roaming/Microsoft/Users/Masaaki%20Hori/AppData/Roaming/Microsoft/__Data/_____Finance/Toin/Invoicing%20summary" TargetMode="External"/><Relationship Id="rId4"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___1_Change_Requests&#65286;Issues\&#20462;&#27491;&#12522;&#12463;&#12456;&#12473;&#12488;" TargetMode="External"/><Relationship Id="rId9" Type="http://schemas.openxmlformats.org/officeDocument/2006/relationships/hyperlink" Target="..\__Data\_____Finance\_Toin\Quote"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__Projects___Education/___KB-Project%20management/FY23" TargetMode="External"/><Relationship Id="rId2" Type="http://schemas.openxmlformats.org/officeDocument/2006/relationships/hyperlink" Target="../../_layouts/15/onedrive.aspx?originalPath=aHR0cHM6Ly9kb21vc29mdHdhcmUtbXkuc2hhcmVwb2ludC5jb20vOmY6L2cvcGVyc29uYWwvbWFzYWFraV9ob3JpX2RvbW9fY29tL0VqRkJPTkRWQW1CTXNYbkZma3RYRWJjQm1wVzZ3anJyVGxmQ2Z4VjVFTzlYMUE%5FcnRpbWU9cVdMN3RGamgxMGc&amp;id=%2Fpersonal%2Fmasaaki%5Fhori%5Fdomo%5Fcom%2FDocuments%2F%5F%5F%5F%5F%5F%5F%5F%5FData%2F%5F%5F%5F%5F%5FFinance%2F%5FToin%2FQuote&amp;view=0" TargetMode="External"/><Relationship Id="rId1"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__Projects___Education/___KB-Project%20management/Report%20to%20Ranjeet" TargetMode="External"/><Relationship Id="rId5"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Budget/Budget%20Balance" TargetMode="External"/><Relationship Id="rId4"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8" Type="http://schemas.openxmlformats.org/officeDocument/2006/relationships/hyperlink" Target="../_____01_KB%20Project%20management/Report%20to%20Ranjeet" TargetMode="External"/><Relationship Id="rId3" Type="http://schemas.openxmlformats.org/officeDocument/2006/relationships/hyperlink" Target="../../_layouts/15/onedrive.aspx?id=%2Fpersonal%2Fmasaaki%5Fhori%5Fdomo%5Fcom%2FDocuments%2FLocalization%2FPublic%2FLocalization%2FBudget&amp;ga=1" TargetMode="External"/><Relationship Id="rId7"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___FY23/Toin/Invoice" TargetMode="External"/><Relationship Id="rId12" Type="http://schemas.openxmlformats.org/officeDocument/2006/relationships/printerSettings" Target="../printerSettings/printerSettings7.bin"/><Relationship Id="rId2" Type="http://schemas.openxmlformats.org/officeDocument/2006/relationships/hyperlink" Target="../../../../:f:/g/personal/masaaki_hori_domo_com/EgANZoCc7lZGivOP6gdzXLsBIN4HebVIOo-KyWYiDAlmag" TargetMode="External"/><Relationship Id="rId1" Type="http://schemas.openxmlformats.org/officeDocument/2006/relationships/hyperlink" Target="..\_____01_KB%20Project%20management\Report%20to%20Ranjeet\Localization%20status.xlsx" TargetMode="External"/><Relationship Id="rId6"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___FY23/Toin/Invoice/DOMO_&#26410;&#35531;&#27714;_221122.xlsx" TargetMode="External"/><Relationship Id="rId11" Type="http://schemas.openxmlformats.org/officeDocument/2006/relationships/hyperlink" Target="../Users/Masaaki%20Hori/AppData/Roaming/Microsoft/Users/Masaaki%20Hori/AppData/Roaming/Microsoft/Users/Masaaki%20Hori/AppData/Roaming/Microsoft/Users/Masaaki%20Hori/AppData/Roaming/Microsoft/__Data/_____Finance/Toin/Invoice/FY24" TargetMode="External"/><Relationship Id="rId5" Type="http://schemas.openxmlformats.org/officeDocument/2006/relationships/hyperlink" Target="../Users/Masaaki%20Hori/AppData/Roaming/Microsoft/Users/Masaaki%20Hori/AppData/Roaming/Microsoft/Users/Masaaki%20Hori/AppData/Roaming/Microsoft/Users/Masaaki%20Hori/AppData/Roaming/Microsoft/__Data/_____Finance/Toin/Quote/Quote-Toin.xlsx" TargetMode="External"/><Relationship Id="rId10" Type="http://schemas.openxmlformats.org/officeDocument/2006/relationships/hyperlink" Target="../Users/Masaaki%20Hori/AppData/Roaming/Microsoft/Users/Masaaki%20Hori/AppData/Roaming/Microsoft/Users/Masaaki%20Hori/AppData/Roaming/Microsoft/Users/Masaaki%20Hori/AppData/Roaming/Microsoft/__Data/_____Finance/Toin/Invoicing%20summary" TargetMode="External"/><Relationship Id="rId4"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___1_Change_Requests&#65286;Issues\&#20462;&#27491;&#12522;&#12463;&#12456;&#12473;&#12488;" TargetMode="External"/><Relationship Id="rId9" Type="http://schemas.openxmlformats.org/officeDocument/2006/relationships/hyperlink" Target="../Users/Masaaki%20Hori/AppData/Roaming/Microsoft/Users/Masaaki%20Hori/AppData/Roaming/Microsoft/Users/Masaaki%20Hori/AppData/Roaming/Microsoft/Users/Masaaki%20Hori/AppData/Roaming/Microsoft/__Data/_____Finance/Toin/Quote"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8" Type="http://schemas.openxmlformats.org/officeDocument/2006/relationships/hyperlink" Target="../Users/Masaaki%20Hori/AppData/Roaming/Microsoft/Users/Masaaki%20Hori/AppData/Roaming/Microsoft/Users/Masaaki%20Hori/AppData/Roaming/Microsoft/Users/Masaaki%20Hori/AppData/Roaming/Microsoft/_____01_KB%20Project%20management/Report%20to%20Ranjeet" TargetMode="External"/><Relationship Id="rId3" Type="http://schemas.openxmlformats.org/officeDocument/2006/relationships/hyperlink" Target="../../_layouts/15/onedrive.aspx?id=%2Fpersonal%2Fmasaaki%5Fhori%5Fdomo%5Fcom%2FDocuments%2FLocalization%2FPublic%2FLocalization%2FBudget&amp;ga=1" TargetMode="External"/><Relationship Id="rId7"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___FY23/Toin/Invoice" TargetMode="External"/><Relationship Id="rId2" Type="http://schemas.openxmlformats.org/officeDocument/2006/relationships/hyperlink" Target="../../../../:f:/g/personal/masaaki_hori_domo_com/EgANZoCc7lZGivOP6gdzXLsBIN4HebVIOo-KyWYiDAlmag" TargetMode="External"/><Relationship Id="rId1" Type="http://schemas.openxmlformats.org/officeDocument/2006/relationships/hyperlink" Target="../Users/Masaaki%20Hori/AppData/Roaming/Microsoft/Users/Masaaki%20Hori/AppData/Roaming/Microsoft/Users/Masaaki%20Hori/AppData/Roaming/Microsoft/Users/Masaaki%20Hori/AppData/Roaming/Microsoft/_____01_KB%20Project%20management/Report%20to%20Ranjeet/Localization%20status.xlsx" TargetMode="External"/><Relationship Id="rId6"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___FY23/Toin/Invoice/DOMO_&#26410;&#35531;&#27714;_221122.xlsx" TargetMode="External"/><Relationship Id="rId5" Type="http://schemas.openxmlformats.org/officeDocument/2006/relationships/hyperlink" Target="../Users/Masaaki%20Hori/AppData/Roaming/Microsoft/Users/Masaaki%20Hori/AppData/Roaming/Microsoft/Users/Masaaki%20Hori/AppData/Roaming/Microsoft/Users/Masaaki%20Hori/AppData/Roaming/Microsoft/__Data/_____Finance/___FY23/Toin/Quote/Quote-Toin.xlsx" TargetMode="External"/><Relationship Id="rId10" Type="http://schemas.openxmlformats.org/officeDocument/2006/relationships/printerSettings" Target="../printerSettings/printerSettings9.bin"/><Relationship Id="rId4"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___1_Change_Requests&#65286;Issues/&#20462;&#27491;&#12522;&#12463;&#12456;&#12473;&#12488;" TargetMode="External"/><Relationship Id="rId9" Type="http://schemas.openxmlformats.org/officeDocument/2006/relationships/hyperlink" Target="../Users/Masaaki%20Hori/AppData/Roaming/Microsoft/Users/Masaaki%20Hori/AppData/Roaming/Microsoft/Users/Masaaki%20Hori/AppData/Roaming/Microsoft/Users/Masaaki%20Hori/AppData/Roaming/Microsoft/__Data/_____Finance/___FY23/Toin/Quote"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Users/Masaaki%20Hori/AppData/Roaming/Microsoft/Users/Masaaki%20Hori/AppData/Roaming/Microsoft/Users/Masaaki%20Hori/AppData/Roaming/Microsoft/Users/Masaaki%20Hori/AppData/Roaming/Microsoft/Users/Masaaki%20Hori/AppData/Roaming/Microsoft/Users/Masaaki%20Hori/AppData/Roaming/Microsoft/Users/Masaaki%20Hori/AppData/Roaming/Microsoft/__Data/_____Finance/___FY23/Toin/Invoice/DOMO_&#26410;&#35531;&#27714;_221122.xls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9543-DB58-4E60-B650-9019875A9573}">
  <sheetPr>
    <tabColor theme="8"/>
  </sheetPr>
  <dimension ref="A1:L1503"/>
  <sheetViews>
    <sheetView topLeftCell="B999" workbookViewId="0">
      <selection activeCell="K1017" sqref="K1017"/>
    </sheetView>
  </sheetViews>
  <sheetFormatPr defaultRowHeight="18"/>
  <cols>
    <col min="1" max="1" width="4.69921875" customWidth="1"/>
    <col min="2" max="2" width="4.59765625" customWidth="1"/>
    <col min="3" max="3" width="6.19921875" customWidth="1"/>
    <col min="4" max="4" width="4.3984375" style="300" customWidth="1"/>
    <col min="5" max="5" width="4.59765625" customWidth="1"/>
    <col min="6" max="6" width="9.69921875" customWidth="1"/>
    <col min="7" max="7" width="44.09765625" customWidth="1"/>
    <col min="8" max="8" width="4.09765625" customWidth="1"/>
    <col min="9" max="9" width="12.19921875" customWidth="1"/>
    <col min="10" max="10" width="3.3984375" customWidth="1"/>
    <col min="11" max="11" width="65.09765625" customWidth="1"/>
    <col min="12" max="12" width="48.3984375" customWidth="1"/>
  </cols>
  <sheetData>
    <row r="1" spans="1:12" s="297" customFormat="1" ht="30">
      <c r="A1" s="297" t="s">
        <v>0</v>
      </c>
      <c r="B1" s="296" t="s">
        <v>1</v>
      </c>
      <c r="C1" s="297" t="s">
        <v>2</v>
      </c>
      <c r="D1" s="307" t="s">
        <v>3</v>
      </c>
      <c r="E1" s="297" t="s">
        <v>4</v>
      </c>
      <c r="F1" s="297" t="s">
        <v>5</v>
      </c>
      <c r="G1" s="297" t="s">
        <v>6</v>
      </c>
      <c r="H1" s="297" t="s">
        <v>7</v>
      </c>
      <c r="I1" s="297" t="s">
        <v>8</v>
      </c>
      <c r="K1" s="297" t="s">
        <v>9</v>
      </c>
      <c r="L1" s="297" t="s">
        <v>10</v>
      </c>
    </row>
    <row r="2" spans="1:12">
      <c r="A2">
        <v>1</v>
      </c>
      <c r="B2" t="s">
        <v>11</v>
      </c>
      <c r="C2">
        <v>2205</v>
      </c>
      <c r="F2" t="s">
        <v>12</v>
      </c>
      <c r="G2" t="s">
        <v>13</v>
      </c>
      <c r="H2" t="s">
        <v>14</v>
      </c>
      <c r="I2" t="s">
        <v>15</v>
      </c>
      <c r="K2" t="str">
        <f t="shared" ref="K2:K10" si="0">B2&amp;C2&amp;"_"&amp;F2&amp;"-"&amp;G2&amp;"-"&amp;H2&amp;I2</f>
        <v>SA2205_ACSM-TEST Project-JA_Batch-1</v>
      </c>
    </row>
    <row r="3" spans="1:12">
      <c r="A3">
        <v>2</v>
      </c>
      <c r="B3" t="s">
        <v>16</v>
      </c>
      <c r="C3">
        <v>2206</v>
      </c>
      <c r="F3" t="s">
        <v>17</v>
      </c>
      <c r="G3" t="s">
        <v>18</v>
      </c>
      <c r="H3" t="s">
        <v>14</v>
      </c>
      <c r="I3" t="s">
        <v>19</v>
      </c>
      <c r="K3" t="str">
        <f t="shared" si="0"/>
        <v>ED2206_KB-FY21-Q2-Batch-1_Mindtouch-Zendesk-JA_Batch-3</v>
      </c>
    </row>
    <row r="4" spans="1:12">
      <c r="A4">
        <v>3</v>
      </c>
      <c r="B4" t="s">
        <v>16</v>
      </c>
      <c r="C4">
        <v>2206</v>
      </c>
      <c r="F4" t="s">
        <v>20</v>
      </c>
      <c r="G4" t="s">
        <v>21</v>
      </c>
      <c r="H4" t="s">
        <v>14</v>
      </c>
      <c r="K4" t="str">
        <f t="shared" si="0"/>
        <v>ED2206_Learn Domo-LearnBySkill.xlsx-JA</v>
      </c>
    </row>
    <row r="5" spans="1:12">
      <c r="A5">
        <v>4</v>
      </c>
      <c r="B5" t="s">
        <v>22</v>
      </c>
      <c r="C5">
        <v>2206</v>
      </c>
      <c r="F5" t="s">
        <v>23</v>
      </c>
      <c r="G5" t="s">
        <v>24</v>
      </c>
      <c r="H5" t="s">
        <v>14</v>
      </c>
      <c r="K5" t="str">
        <f t="shared" si="0"/>
        <v>MK2206_Web-FY21-Q2-MKTG_Website-JA</v>
      </c>
    </row>
    <row r="6" spans="1:12">
      <c r="A6">
        <v>5</v>
      </c>
      <c r="B6" t="s">
        <v>16</v>
      </c>
      <c r="C6" t="s">
        <v>25</v>
      </c>
      <c r="F6" t="s">
        <v>17</v>
      </c>
      <c r="G6" t="s">
        <v>26</v>
      </c>
      <c r="H6" t="s">
        <v>14</v>
      </c>
      <c r="I6" t="s">
        <v>27</v>
      </c>
      <c r="K6" t="str">
        <f t="shared" si="0"/>
        <v>ED22**_KB-FY22-Q*-Zendesk-JA_Batch-*</v>
      </c>
      <c r="L6" t="s">
        <v>28</v>
      </c>
    </row>
    <row r="7" spans="1:12">
      <c r="A7">
        <v>6</v>
      </c>
      <c r="B7" t="s">
        <v>16</v>
      </c>
      <c r="C7">
        <v>2206</v>
      </c>
      <c r="F7" t="s">
        <v>20</v>
      </c>
      <c r="G7" t="s">
        <v>29</v>
      </c>
      <c r="H7" t="s">
        <v>14</v>
      </c>
      <c r="K7" t="str">
        <f t="shared" si="0"/>
        <v>ED2206_Learn Domo-Domo University exam courses-JA</v>
      </c>
    </row>
    <row r="8" spans="1:12">
      <c r="A8">
        <v>7</v>
      </c>
      <c r="B8" t="s">
        <v>16</v>
      </c>
      <c r="C8">
        <v>2206</v>
      </c>
      <c r="F8" t="s">
        <v>17</v>
      </c>
      <c r="G8" t="s">
        <v>30</v>
      </c>
      <c r="H8" t="s">
        <v>14</v>
      </c>
      <c r="I8" t="s">
        <v>31</v>
      </c>
      <c r="K8" t="str">
        <f t="shared" si="0"/>
        <v>ED2206_KB-FY21-Q2_Mindtouch-Zendesk-JA_Batch-4</v>
      </c>
    </row>
    <row r="9" spans="1:12">
      <c r="A9">
        <v>8</v>
      </c>
      <c r="B9" t="s">
        <v>16</v>
      </c>
      <c r="C9">
        <v>2206</v>
      </c>
      <c r="F9" t="s">
        <v>17</v>
      </c>
      <c r="G9" t="s">
        <v>32</v>
      </c>
      <c r="H9" t="s">
        <v>14</v>
      </c>
      <c r="I9" t="s">
        <v>15</v>
      </c>
      <c r="K9" t="str">
        <f t="shared" si="0"/>
        <v>ED2206_KB-FY22-Q2_Zendesk-Priority_High-JA_Batch-1</v>
      </c>
    </row>
    <row r="10" spans="1:12">
      <c r="A10">
        <v>9</v>
      </c>
      <c r="B10" t="s">
        <v>16</v>
      </c>
      <c r="C10">
        <v>2207</v>
      </c>
      <c r="F10" t="s">
        <v>17</v>
      </c>
      <c r="G10" t="s">
        <v>33</v>
      </c>
      <c r="H10" t="s">
        <v>14</v>
      </c>
      <c r="K10" t="str">
        <f t="shared" si="0"/>
        <v>ED2207_KB-Upsert in a MySQL DataFlow-JA</v>
      </c>
    </row>
    <row r="11" spans="1:12">
      <c r="A11">
        <v>10</v>
      </c>
      <c r="H11" t="s">
        <v>14</v>
      </c>
      <c r="K11" t="s">
        <v>34</v>
      </c>
    </row>
    <row r="12" spans="1:12">
      <c r="A12">
        <v>11</v>
      </c>
      <c r="K12" t="s">
        <v>35</v>
      </c>
    </row>
    <row r="13" spans="1:12">
      <c r="A13">
        <v>12</v>
      </c>
      <c r="B13" t="s">
        <v>16</v>
      </c>
      <c r="C13">
        <v>2207</v>
      </c>
      <c r="F13" t="s">
        <v>17</v>
      </c>
      <c r="G13" t="s">
        <v>36</v>
      </c>
      <c r="H13" t="s">
        <v>14</v>
      </c>
      <c r="K13" t="str">
        <f t="shared" ref="K13:K25" si="1">B13&amp;C13&amp;"_"&amp;F13&amp;"-"&amp;G13&amp;"-"&amp;H13&amp;I13</f>
        <v>ED2207_KB-FY22-July-Current Release Notes-JA</v>
      </c>
    </row>
    <row r="14" spans="1:12">
      <c r="A14">
        <v>13</v>
      </c>
      <c r="G14" t="s">
        <v>37</v>
      </c>
      <c r="K14" t="str">
        <f t="shared" si="1"/>
        <v>_-July 2021 Release Updated Existing Articles - Japanese-</v>
      </c>
    </row>
    <row r="15" spans="1:12">
      <c r="A15">
        <v>14</v>
      </c>
      <c r="B15" t="s">
        <v>16</v>
      </c>
      <c r="C15">
        <v>2207</v>
      </c>
      <c r="F15" t="s">
        <v>17</v>
      </c>
      <c r="G15" t="s">
        <v>38</v>
      </c>
      <c r="H15" t="s">
        <v>14</v>
      </c>
      <c r="K15" t="str">
        <f t="shared" si="1"/>
        <v>ED2207_KB-Beast Mode Functions Reference Guide/Beast Mode関数リファレンスガイド-JA</v>
      </c>
    </row>
    <row r="16" spans="1:12">
      <c r="A16">
        <v>15</v>
      </c>
      <c r="B16" t="s">
        <v>16</v>
      </c>
      <c r="C16">
        <v>2207</v>
      </c>
      <c r="E16" t="s">
        <v>39</v>
      </c>
      <c r="F16" t="s">
        <v>40</v>
      </c>
      <c r="G16" t="s">
        <v>41</v>
      </c>
      <c r="H16" t="s">
        <v>14</v>
      </c>
      <c r="K16" t="str">
        <f t="shared" si="1"/>
        <v>ED2207_App-Using Domo Embed-JA</v>
      </c>
    </row>
    <row r="17" spans="1:11">
      <c r="A17">
        <v>16</v>
      </c>
      <c r="B17" t="s">
        <v>42</v>
      </c>
      <c r="C17">
        <v>2207</v>
      </c>
      <c r="F17" t="s">
        <v>43</v>
      </c>
      <c r="G17" t="s">
        <v>44</v>
      </c>
      <c r="H17" t="s">
        <v>14</v>
      </c>
      <c r="K17" t="str">
        <f t="shared" si="1"/>
        <v>CS2207_SalesPlays_indd-Customer Stories_Domo Everywhere (Internal Only).PDF-JA</v>
      </c>
    </row>
    <row r="18" spans="1:11">
      <c r="A18">
        <v>17</v>
      </c>
      <c r="B18" t="s">
        <v>42</v>
      </c>
      <c r="C18">
        <v>2208</v>
      </c>
      <c r="F18" t="s">
        <v>45</v>
      </c>
      <c r="G18" t="s">
        <v>46</v>
      </c>
      <c r="H18" t="s">
        <v>14</v>
      </c>
      <c r="K18" t="str">
        <f t="shared" si="1"/>
        <v>CS2208_SalesPlays-Domo Everywhere - PPTX+INDD-JA</v>
      </c>
    </row>
    <row r="19" spans="1:11">
      <c r="A19">
        <v>18</v>
      </c>
      <c r="B19" t="s">
        <v>42</v>
      </c>
      <c r="C19">
        <v>2208</v>
      </c>
      <c r="F19" t="s">
        <v>45</v>
      </c>
      <c r="G19" t="s">
        <v>47</v>
      </c>
      <c r="H19" t="s">
        <v>14</v>
      </c>
      <c r="K19" t="str">
        <f t="shared" si="1"/>
        <v>CS2208_SalesPlays-Customer Story - Media and Entertainment-JA</v>
      </c>
    </row>
    <row r="20" spans="1:11">
      <c r="A20">
        <v>19</v>
      </c>
      <c r="B20" t="s">
        <v>16</v>
      </c>
      <c r="C20">
        <v>2208</v>
      </c>
      <c r="F20" t="s">
        <v>48</v>
      </c>
      <c r="G20" t="s">
        <v>49</v>
      </c>
      <c r="H20" t="s">
        <v>14</v>
      </c>
      <c r="K20" t="str">
        <f t="shared" si="1"/>
        <v>ED2208_App-PLC-Governing Your User Ecosystem-JA</v>
      </c>
    </row>
    <row r="21" spans="1:11">
      <c r="A21">
        <v>20</v>
      </c>
      <c r="B21" t="s">
        <v>42</v>
      </c>
      <c r="C21">
        <v>2208</v>
      </c>
      <c r="F21" t="s">
        <v>50</v>
      </c>
      <c r="G21" t="s">
        <v>51</v>
      </c>
      <c r="H21" t="s">
        <v>14</v>
      </c>
      <c r="K21" t="str">
        <f t="shared" si="1"/>
        <v>CS2208_Movie-Domo Everywhere-JA</v>
      </c>
    </row>
    <row r="22" spans="1:11">
      <c r="A22">
        <v>21</v>
      </c>
      <c r="B22" t="s">
        <v>52</v>
      </c>
      <c r="C22">
        <v>2208</v>
      </c>
      <c r="G22" t="s">
        <v>53</v>
      </c>
      <c r="H22" t="s">
        <v>14</v>
      </c>
      <c r="K22" t="str">
        <f t="shared" si="1"/>
        <v>US2208_-JP sales assets-JA</v>
      </c>
    </row>
    <row r="23" spans="1:11">
      <c r="A23">
        <v>22</v>
      </c>
      <c r="B23" t="s">
        <v>42</v>
      </c>
      <c r="C23">
        <v>2208</v>
      </c>
      <c r="F23" t="s">
        <v>54</v>
      </c>
      <c r="G23" t="s">
        <v>55</v>
      </c>
      <c r="H23" t="s">
        <v>14</v>
      </c>
      <c r="K23" t="str">
        <f t="shared" si="1"/>
        <v>CS2208_indd-Enterprise+Apps-Take Domo to the next level with Enterprise Apps.-JA</v>
      </c>
    </row>
    <row r="24" spans="1:11">
      <c r="A24">
        <v>23</v>
      </c>
      <c r="B24" t="s">
        <v>42</v>
      </c>
      <c r="C24">
        <v>2208</v>
      </c>
      <c r="G24" t="s">
        <v>56</v>
      </c>
      <c r="H24" t="s">
        <v>14</v>
      </c>
      <c r="K24" t="str">
        <f t="shared" si="1"/>
        <v>CS2208_-MS Word template for Brochures-JA</v>
      </c>
    </row>
    <row r="25" spans="1:11">
      <c r="A25">
        <v>24</v>
      </c>
      <c r="B25" t="s">
        <v>11</v>
      </c>
      <c r="C25">
        <v>2209</v>
      </c>
      <c r="F25" t="s">
        <v>45</v>
      </c>
      <c r="G25" t="s">
        <v>57</v>
      </c>
      <c r="H25" t="s">
        <v>14</v>
      </c>
      <c r="K25" t="str">
        <f t="shared" si="1"/>
        <v>SA2209_SalesPlays-Domo Value Framework-JA</v>
      </c>
    </row>
    <row r="26" spans="1:11">
      <c r="A26">
        <v>25</v>
      </c>
      <c r="B26" t="s">
        <v>11</v>
      </c>
      <c r="C26">
        <v>2209</v>
      </c>
      <c r="E26" t="s">
        <v>39</v>
      </c>
      <c r="F26" t="s">
        <v>45</v>
      </c>
      <c r="G26" t="s">
        <v>57</v>
      </c>
      <c r="H26" t="s">
        <v>14</v>
      </c>
      <c r="K26" t="str">
        <f t="shared" ref="K26:K89" si="2">B26&amp;C26&amp;"_"&amp;F26&amp;"-"&amp;G26&amp;"-"&amp;H26&amp;"_"&amp;E26&amp;I26</f>
        <v>SA2209_SalesPlays-Domo Value Framework-JA_MO</v>
      </c>
    </row>
    <row r="27" spans="1:11">
      <c r="A27">
        <v>26</v>
      </c>
      <c r="B27" t="s">
        <v>16</v>
      </c>
      <c r="C27">
        <v>2209</v>
      </c>
      <c r="F27" t="s">
        <v>23</v>
      </c>
      <c r="G27" t="s">
        <v>58</v>
      </c>
      <c r="H27" t="s">
        <v>14</v>
      </c>
      <c r="K27" t="str">
        <f t="shared" si="2"/>
        <v>ED2209_Web-Copy-JA_</v>
      </c>
    </row>
    <row r="28" spans="1:11">
      <c r="A28">
        <v>27</v>
      </c>
      <c r="B28" t="s">
        <v>16</v>
      </c>
      <c r="C28">
        <v>2209</v>
      </c>
      <c r="E28" t="s">
        <v>59</v>
      </c>
      <c r="F28" t="s">
        <v>17</v>
      </c>
      <c r="G28" t="s">
        <v>32</v>
      </c>
      <c r="H28" t="s">
        <v>14</v>
      </c>
      <c r="I28" t="s">
        <v>19</v>
      </c>
      <c r="K28" t="str">
        <f t="shared" si="2"/>
        <v>ED2209_KB-FY22-Q2_Zendesk-Priority_High-JA_AL_Batch-3</v>
      </c>
    </row>
    <row r="29" spans="1:11">
      <c r="A29">
        <v>28</v>
      </c>
      <c r="B29" t="s">
        <v>16</v>
      </c>
      <c r="C29">
        <v>2209</v>
      </c>
      <c r="E29" t="s">
        <v>59</v>
      </c>
      <c r="F29" t="s">
        <v>17</v>
      </c>
      <c r="G29" t="s">
        <v>32</v>
      </c>
      <c r="H29" t="s">
        <v>14</v>
      </c>
      <c r="I29" t="s">
        <v>31</v>
      </c>
      <c r="K29" t="str">
        <f t="shared" si="2"/>
        <v>ED2209_KB-FY22-Q2_Zendesk-Priority_High-JA_AL_Batch-4</v>
      </c>
    </row>
    <row r="30" spans="1:11">
      <c r="A30">
        <v>29</v>
      </c>
      <c r="B30" t="s">
        <v>16</v>
      </c>
      <c r="C30">
        <v>2209</v>
      </c>
      <c r="E30" t="s">
        <v>59</v>
      </c>
      <c r="F30" t="s">
        <v>17</v>
      </c>
      <c r="G30" t="s">
        <v>32</v>
      </c>
      <c r="H30" t="s">
        <v>14</v>
      </c>
      <c r="I30" t="s">
        <v>60</v>
      </c>
      <c r="K30" t="str">
        <f t="shared" si="2"/>
        <v>ED2209_KB-FY22-Q2_Zendesk-Priority_High-JA_AL_Batch-5</v>
      </c>
    </row>
    <row r="31" spans="1:11">
      <c r="A31">
        <v>30</v>
      </c>
      <c r="G31" t="s">
        <v>61</v>
      </c>
      <c r="K31" t="str">
        <f t="shared" si="2"/>
        <v>_-Feature Page-_</v>
      </c>
    </row>
    <row r="32" spans="1:11">
      <c r="A32">
        <v>31</v>
      </c>
      <c r="B32" t="s">
        <v>11</v>
      </c>
      <c r="C32">
        <v>2210</v>
      </c>
      <c r="E32" t="s">
        <v>59</v>
      </c>
      <c r="F32" t="s">
        <v>62</v>
      </c>
      <c r="G32" t="s">
        <v>63</v>
      </c>
      <c r="H32" t="s">
        <v>14</v>
      </c>
      <c r="K32" t="str">
        <f t="shared" si="2"/>
        <v>SA2210_Seismic-Industry App Enablement - Use Case Document-JA_AL</v>
      </c>
    </row>
    <row r="33" spans="1:11">
      <c r="A33">
        <v>32</v>
      </c>
      <c r="B33" t="s">
        <v>16</v>
      </c>
      <c r="C33">
        <v>2010</v>
      </c>
      <c r="E33" t="s">
        <v>59</v>
      </c>
      <c r="F33" t="s">
        <v>17</v>
      </c>
      <c r="G33" t="s">
        <v>64</v>
      </c>
      <c r="H33" t="s">
        <v>14</v>
      </c>
      <c r="K33" t="str">
        <f t="shared" si="2"/>
        <v>ED2010_KB-Non-queryable DataSets-JA_AL</v>
      </c>
    </row>
    <row r="34" spans="1:11">
      <c r="A34">
        <v>33</v>
      </c>
      <c r="B34" t="s">
        <v>16</v>
      </c>
      <c r="C34">
        <v>2010</v>
      </c>
      <c r="E34" t="s">
        <v>59</v>
      </c>
      <c r="F34" t="s">
        <v>17</v>
      </c>
      <c r="G34" s="298" t="s">
        <v>65</v>
      </c>
      <c r="H34" t="s">
        <v>14</v>
      </c>
      <c r="K34" t="str">
        <f t="shared" si="2"/>
        <v>ED2010_KB-Managing Pages-JA_AL</v>
      </c>
    </row>
    <row r="35" spans="1:11">
      <c r="A35">
        <v>34</v>
      </c>
      <c r="B35" t="s">
        <v>16</v>
      </c>
      <c r="C35">
        <v>2210</v>
      </c>
      <c r="F35" t="s">
        <v>17</v>
      </c>
      <c r="G35" t="s">
        <v>66</v>
      </c>
      <c r="H35" t="s">
        <v>14</v>
      </c>
      <c r="K35" t="str">
        <f t="shared" si="2"/>
        <v>ED2210_KB-System Requirements-JA_</v>
      </c>
    </row>
    <row r="36" spans="1:11">
      <c r="A36">
        <v>35</v>
      </c>
      <c r="B36" t="s">
        <v>16</v>
      </c>
      <c r="C36">
        <v>2210</v>
      </c>
      <c r="E36" t="s">
        <v>59</v>
      </c>
      <c r="F36" t="s">
        <v>17</v>
      </c>
      <c r="G36" t="s">
        <v>67</v>
      </c>
      <c r="H36" t="s">
        <v>14</v>
      </c>
      <c r="K36" t="str">
        <f t="shared" si="2"/>
        <v>ED2210_KB-Adding a Drill Path to Your Chart-JA_AL</v>
      </c>
    </row>
    <row r="37" spans="1:11">
      <c r="A37">
        <v>36</v>
      </c>
      <c r="B37" t="s">
        <v>16</v>
      </c>
      <c r="C37">
        <v>2211</v>
      </c>
      <c r="E37" t="s">
        <v>59</v>
      </c>
      <c r="F37" t="s">
        <v>17</v>
      </c>
      <c r="G37" t="s">
        <v>68</v>
      </c>
      <c r="H37" t="s">
        <v>14</v>
      </c>
      <c r="I37" t="s">
        <v>69</v>
      </c>
      <c r="K37" t="str">
        <f t="shared" si="2"/>
        <v>ED2211_KB-FY22-Q2_Zendesk-Priority_High-JA_AL_Batch-6</v>
      </c>
    </row>
    <row r="38" spans="1:11">
      <c r="A38">
        <v>37</v>
      </c>
      <c r="B38" t="s">
        <v>16</v>
      </c>
      <c r="C38">
        <v>2211</v>
      </c>
      <c r="E38" t="s">
        <v>59</v>
      </c>
      <c r="F38" t="s">
        <v>17</v>
      </c>
      <c r="G38" t="s">
        <v>70</v>
      </c>
      <c r="H38" t="s">
        <v>14</v>
      </c>
      <c r="K38" t="str">
        <f t="shared" si="2"/>
        <v>ED2211_KB-Google Analytics Advanced Connector-JA_AL</v>
      </c>
    </row>
    <row r="39" spans="1:11">
      <c r="A39">
        <v>38</v>
      </c>
      <c r="B39" t="s">
        <v>16</v>
      </c>
      <c r="C39">
        <v>2211</v>
      </c>
      <c r="E39" t="s">
        <v>59</v>
      </c>
      <c r="F39" t="s">
        <v>48</v>
      </c>
      <c r="G39" t="s">
        <v>71</v>
      </c>
      <c r="H39" t="s">
        <v>14</v>
      </c>
      <c r="K39" t="str">
        <f t="shared" si="2"/>
        <v>ED2211_App-PLC-October 2021 Release Update-JA_AL</v>
      </c>
    </row>
    <row r="40" spans="1:11">
      <c r="A40">
        <v>39</v>
      </c>
      <c r="B40" t="s">
        <v>11</v>
      </c>
      <c r="C40">
        <v>2211</v>
      </c>
      <c r="E40" s="299" t="s">
        <v>72</v>
      </c>
      <c r="F40" t="s">
        <v>73</v>
      </c>
      <c r="G40" t="s">
        <v>74</v>
      </c>
      <c r="H40" t="s">
        <v>14</v>
      </c>
      <c r="K40" t="str">
        <f t="shared" si="2"/>
        <v>SA2211_Enablement-GMT20211020-163018-JA_Taeko</v>
      </c>
    </row>
    <row r="41" spans="1:11">
      <c r="A41">
        <v>40</v>
      </c>
      <c r="B41" t="s">
        <v>16</v>
      </c>
      <c r="C41">
        <v>2211</v>
      </c>
      <c r="E41" t="s">
        <v>59</v>
      </c>
      <c r="F41" t="s">
        <v>17</v>
      </c>
      <c r="G41" t="s">
        <v>75</v>
      </c>
      <c r="H41" t="s">
        <v>14</v>
      </c>
      <c r="K41" t="str">
        <f t="shared" si="2"/>
        <v>ED2211_KB-New Magic ETL Tiles: Pivot-JA_AL</v>
      </c>
    </row>
    <row r="42" spans="1:11">
      <c r="A42">
        <v>41</v>
      </c>
      <c r="B42" t="s">
        <v>16</v>
      </c>
      <c r="C42">
        <v>2211</v>
      </c>
      <c r="E42" t="s">
        <v>59</v>
      </c>
      <c r="F42" t="s">
        <v>17</v>
      </c>
      <c r="G42" t="s">
        <v>76</v>
      </c>
      <c r="H42" t="s">
        <v>14</v>
      </c>
      <c r="K42" t="str">
        <f t="shared" si="2"/>
        <v>ED2211_KB-Installing Workbench 5.1-JA_AL</v>
      </c>
    </row>
    <row r="43" spans="1:11">
      <c r="A43">
        <v>42</v>
      </c>
      <c r="B43" t="s">
        <v>16</v>
      </c>
      <c r="C43">
        <v>2211</v>
      </c>
      <c r="E43" t="s">
        <v>59</v>
      </c>
      <c r="F43" t="s">
        <v>17</v>
      </c>
      <c r="G43" t="s">
        <v>77</v>
      </c>
      <c r="H43" t="s">
        <v>14</v>
      </c>
      <c r="K43" t="str">
        <f t="shared" si="2"/>
        <v>ED2211_KB-Adding a Unique Key Column Using Magic ETL-JA_AL</v>
      </c>
    </row>
    <row r="44" spans="1:11">
      <c r="A44">
        <v>43</v>
      </c>
      <c r="B44" t="s">
        <v>16</v>
      </c>
      <c r="C44">
        <v>2211</v>
      </c>
      <c r="E44" t="s">
        <v>59</v>
      </c>
      <c r="F44" t="s">
        <v>17</v>
      </c>
      <c r="G44" t="s">
        <v>78</v>
      </c>
      <c r="H44" t="s">
        <v>14</v>
      </c>
      <c r="K44" t="str">
        <f t="shared" si="2"/>
        <v>ED2211_KB-Adding and Subtracting Hours in the Old Magic ETL-JA_AL</v>
      </c>
    </row>
    <row r="45" spans="1:11">
      <c r="A45">
        <v>44</v>
      </c>
      <c r="B45" t="s">
        <v>16</v>
      </c>
      <c r="C45">
        <v>2211</v>
      </c>
      <c r="E45" t="s">
        <v>59</v>
      </c>
      <c r="F45" t="s">
        <v>17</v>
      </c>
      <c r="G45" t="s">
        <v>79</v>
      </c>
      <c r="H45" t="s">
        <v>14</v>
      </c>
      <c r="K45" t="str">
        <f t="shared" si="2"/>
        <v>ED2211_KB-Adding Missing Dates to Your Data-JA_AL</v>
      </c>
    </row>
    <row r="46" spans="1:11">
      <c r="A46">
        <v>45</v>
      </c>
      <c r="B46" t="s">
        <v>16</v>
      </c>
      <c r="C46">
        <v>2211</v>
      </c>
      <c r="E46" t="s">
        <v>59</v>
      </c>
      <c r="F46" t="s">
        <v>17</v>
      </c>
      <c r="G46" t="s">
        <v>80</v>
      </c>
      <c r="H46" t="s">
        <v>14</v>
      </c>
      <c r="K46" t="str">
        <f t="shared" si="2"/>
        <v>ED2211_KB-Requested by Support team-20210817-JA_AL</v>
      </c>
    </row>
    <row r="47" spans="1:11">
      <c r="A47">
        <v>46</v>
      </c>
      <c r="B47" t="s">
        <v>16</v>
      </c>
      <c r="C47">
        <v>2211</v>
      </c>
      <c r="E47" t="s">
        <v>59</v>
      </c>
      <c r="F47" t="s">
        <v>17</v>
      </c>
      <c r="G47" t="s">
        <v>80</v>
      </c>
      <c r="H47" t="s">
        <v>14</v>
      </c>
      <c r="I47" t="s">
        <v>81</v>
      </c>
      <c r="K47" t="str">
        <f t="shared" si="2"/>
        <v>ED2211_KB-Requested by Support team-20210817-JA_AL_Batch-2</v>
      </c>
    </row>
    <row r="48" spans="1:11">
      <c r="A48">
        <v>47</v>
      </c>
      <c r="B48" t="s">
        <v>16</v>
      </c>
      <c r="C48">
        <v>2211</v>
      </c>
      <c r="E48" t="s">
        <v>59</v>
      </c>
      <c r="F48" t="s">
        <v>17</v>
      </c>
      <c r="G48" t="s">
        <v>80</v>
      </c>
      <c r="H48" t="s">
        <v>14</v>
      </c>
      <c r="I48" t="s">
        <v>19</v>
      </c>
      <c r="K48" t="str">
        <f t="shared" si="2"/>
        <v>ED2211_KB-Requested by Support team-20210817-JA_AL_Batch-3</v>
      </c>
    </row>
    <row r="49" spans="1:11">
      <c r="A49">
        <v>48</v>
      </c>
      <c r="B49" t="s">
        <v>16</v>
      </c>
      <c r="C49">
        <v>2211</v>
      </c>
      <c r="E49" t="s">
        <v>59</v>
      </c>
      <c r="F49" t="s">
        <v>17</v>
      </c>
      <c r="G49" t="s">
        <v>82</v>
      </c>
      <c r="H49" t="s">
        <v>14</v>
      </c>
      <c r="K49" t="str">
        <f t="shared" si="2"/>
        <v>ED2211_KB-Understanding Joins-JA_AL</v>
      </c>
    </row>
    <row r="50" spans="1:11">
      <c r="A50">
        <v>49</v>
      </c>
      <c r="B50" t="s">
        <v>16</v>
      </c>
      <c r="C50">
        <v>2211</v>
      </c>
      <c r="E50" t="s">
        <v>59</v>
      </c>
      <c r="F50" t="s">
        <v>17</v>
      </c>
      <c r="G50" t="s">
        <v>83</v>
      </c>
      <c r="H50" t="s">
        <v>14</v>
      </c>
      <c r="K50" t="str">
        <f t="shared" si="2"/>
        <v>ED2211_KB-Understanding and Configuring Domo Single Sign-On Using SAML-JA_AL</v>
      </c>
    </row>
    <row r="51" spans="1:11">
      <c r="A51">
        <v>50</v>
      </c>
      <c r="B51" t="s">
        <v>16</v>
      </c>
      <c r="C51">
        <v>2211</v>
      </c>
      <c r="F51" t="s">
        <v>17</v>
      </c>
      <c r="G51" t="s">
        <v>65</v>
      </c>
      <c r="H51" t="s">
        <v>14</v>
      </c>
      <c r="I51" t="s">
        <v>84</v>
      </c>
      <c r="K51" t="str">
        <f t="shared" si="2"/>
        <v>ED2211_KB-Managing Pages-JA_Masaaki</v>
      </c>
    </row>
    <row r="52" spans="1:11">
      <c r="A52">
        <v>51</v>
      </c>
      <c r="B52" t="s">
        <v>16</v>
      </c>
      <c r="C52">
        <v>2211</v>
      </c>
      <c r="E52" t="s">
        <v>59</v>
      </c>
      <c r="F52" t="s">
        <v>17</v>
      </c>
      <c r="G52" t="s">
        <v>85</v>
      </c>
      <c r="H52" t="s">
        <v>14</v>
      </c>
      <c r="K52" t="str">
        <f t="shared" si="2"/>
        <v>ED2211_KB-Scheduling Reports-JA_AL</v>
      </c>
    </row>
    <row r="53" spans="1:11">
      <c r="A53">
        <v>52</v>
      </c>
      <c r="B53" t="s">
        <v>16</v>
      </c>
      <c r="C53">
        <v>2211</v>
      </c>
      <c r="E53" t="s">
        <v>59</v>
      </c>
      <c r="F53" t="s">
        <v>17</v>
      </c>
      <c r="G53" t="s">
        <v>86</v>
      </c>
      <c r="H53" t="s">
        <v>14</v>
      </c>
      <c r="K53" t="str">
        <f t="shared" si="2"/>
        <v>ED2211_KB-Sharing and Removing Access to Cards and Pages-JA_AL</v>
      </c>
    </row>
    <row r="54" spans="1:11">
      <c r="A54">
        <v>53</v>
      </c>
      <c r="B54" t="s">
        <v>16</v>
      </c>
      <c r="C54">
        <v>2211</v>
      </c>
      <c r="E54" t="s">
        <v>59</v>
      </c>
      <c r="F54" t="s">
        <v>17</v>
      </c>
      <c r="G54" t="s">
        <v>87</v>
      </c>
      <c r="H54" t="s">
        <v>14</v>
      </c>
      <c r="K54" t="str">
        <f t="shared" si="2"/>
        <v>ED2211_KB-Creating and Deleting PDP Policies-JA_AL</v>
      </c>
    </row>
    <row r="55" spans="1:11">
      <c r="A55">
        <v>54</v>
      </c>
      <c r="B55" t="s">
        <v>16</v>
      </c>
      <c r="C55">
        <v>2211</v>
      </c>
      <c r="E55" t="s">
        <v>59</v>
      </c>
      <c r="F55" t="s">
        <v>17</v>
      </c>
      <c r="G55" t="s">
        <v>88</v>
      </c>
      <c r="H55" t="s">
        <v>14</v>
      </c>
      <c r="K55" t="str">
        <f t="shared" si="2"/>
        <v>ED2211_KB-Instagram Connector (Deprecated)-JA_AL</v>
      </c>
    </row>
    <row r="56" spans="1:11">
      <c r="A56">
        <v>55</v>
      </c>
      <c r="B56" t="s">
        <v>16</v>
      </c>
      <c r="C56">
        <v>2211</v>
      </c>
      <c r="E56" t="s">
        <v>59</v>
      </c>
      <c r="F56" t="s">
        <v>17</v>
      </c>
      <c r="G56" t="s">
        <v>89</v>
      </c>
      <c r="H56" t="s">
        <v>14</v>
      </c>
      <c r="K56" t="str">
        <f t="shared" si="2"/>
        <v>ED2211_KB-Adding an Account in Workbench 5&amp;5.1-JA_AL</v>
      </c>
    </row>
    <row r="57" spans="1:11">
      <c r="A57">
        <v>56</v>
      </c>
      <c r="B57" t="s">
        <v>16</v>
      </c>
      <c r="C57">
        <v>2211</v>
      </c>
      <c r="E57" t="s">
        <v>59</v>
      </c>
      <c r="F57" t="s">
        <v>17</v>
      </c>
      <c r="G57" t="s">
        <v>32</v>
      </c>
      <c r="H57" t="s">
        <v>14</v>
      </c>
      <c r="I57" t="s">
        <v>90</v>
      </c>
      <c r="K57" t="str">
        <f t="shared" si="2"/>
        <v>ED2211_KB-FY22-Q2_Zendesk-Priority_High-JA_AL_Batch-7</v>
      </c>
    </row>
    <row r="58" spans="1:11">
      <c r="A58">
        <v>57</v>
      </c>
      <c r="B58" t="s">
        <v>16</v>
      </c>
      <c r="C58">
        <v>2211</v>
      </c>
      <c r="E58" t="s">
        <v>59</v>
      </c>
      <c r="F58" t="s">
        <v>17</v>
      </c>
      <c r="G58" t="s">
        <v>32</v>
      </c>
      <c r="H58" t="s">
        <v>14</v>
      </c>
      <c r="I58" t="s">
        <v>91</v>
      </c>
      <c r="K58" t="str">
        <f t="shared" si="2"/>
        <v>ED2211_KB-FY22-Q2_Zendesk-Priority_High-JA_AL_Batch-8</v>
      </c>
    </row>
    <row r="59" spans="1:11">
      <c r="A59">
        <v>58</v>
      </c>
      <c r="B59" t="s">
        <v>16</v>
      </c>
      <c r="C59">
        <v>2211</v>
      </c>
      <c r="E59" t="s">
        <v>59</v>
      </c>
      <c r="F59" t="s">
        <v>17</v>
      </c>
      <c r="G59" t="s">
        <v>32</v>
      </c>
      <c r="H59" t="s">
        <v>14</v>
      </c>
      <c r="I59" t="s">
        <v>92</v>
      </c>
      <c r="K59" t="str">
        <f t="shared" si="2"/>
        <v>ED2211_KB-FY22-Q2_Zendesk-Priority_High-JA_AL_Batch-9</v>
      </c>
    </row>
    <row r="60" spans="1:11">
      <c r="A60">
        <v>59</v>
      </c>
      <c r="B60" t="s">
        <v>16</v>
      </c>
      <c r="C60">
        <v>2211</v>
      </c>
      <c r="E60" t="s">
        <v>59</v>
      </c>
      <c r="F60" t="s">
        <v>17</v>
      </c>
      <c r="G60" t="s">
        <v>32</v>
      </c>
      <c r="H60" t="s">
        <v>14</v>
      </c>
      <c r="I60" t="s">
        <v>93</v>
      </c>
      <c r="K60" t="str">
        <f t="shared" si="2"/>
        <v>ED2211_KB-FY22-Q2_Zendesk-Priority_High-JA_AL_Batch-10</v>
      </c>
    </row>
    <row r="61" spans="1:11">
      <c r="A61">
        <v>60</v>
      </c>
      <c r="B61" t="s">
        <v>16</v>
      </c>
      <c r="C61">
        <v>2211</v>
      </c>
      <c r="E61" t="s">
        <v>59</v>
      </c>
      <c r="F61" t="s">
        <v>48</v>
      </c>
      <c r="G61" t="s">
        <v>94</v>
      </c>
      <c r="H61" t="s">
        <v>14</v>
      </c>
      <c r="K61" t="str">
        <f t="shared" si="2"/>
        <v>ED2211_App-PLC-Video link update-JA_AL</v>
      </c>
    </row>
    <row r="62" spans="1:11">
      <c r="A62">
        <v>61</v>
      </c>
      <c r="B62" t="s">
        <v>16</v>
      </c>
      <c r="C62">
        <v>2212</v>
      </c>
      <c r="E62" t="s">
        <v>59</v>
      </c>
      <c r="F62" t="s">
        <v>48</v>
      </c>
      <c r="G62" t="s">
        <v>94</v>
      </c>
      <c r="H62" t="s">
        <v>14</v>
      </c>
      <c r="I62" t="s">
        <v>81</v>
      </c>
      <c r="K62" t="str">
        <f t="shared" si="2"/>
        <v>ED2212_App-PLC-Video link update-JA_AL_Batch-2</v>
      </c>
    </row>
    <row r="63" spans="1:11">
      <c r="A63">
        <v>62</v>
      </c>
      <c r="B63" t="s">
        <v>16</v>
      </c>
      <c r="C63">
        <v>2212</v>
      </c>
      <c r="E63" t="s">
        <v>59</v>
      </c>
      <c r="F63" t="s">
        <v>48</v>
      </c>
      <c r="G63" t="s">
        <v>94</v>
      </c>
      <c r="H63" t="s">
        <v>14</v>
      </c>
      <c r="I63" t="s">
        <v>19</v>
      </c>
      <c r="K63" t="str">
        <f t="shared" si="2"/>
        <v>ED2212_App-PLC-Video link update-JA_AL_Batch-3</v>
      </c>
    </row>
    <row r="64" spans="1:11">
      <c r="A64">
        <v>63</v>
      </c>
      <c r="B64" t="s">
        <v>16</v>
      </c>
      <c r="C64">
        <v>2212</v>
      </c>
      <c r="F64" t="s">
        <v>20</v>
      </c>
      <c r="G64" t="s">
        <v>95</v>
      </c>
      <c r="H64" t="s">
        <v>14</v>
      </c>
      <c r="I64" t="s">
        <v>96</v>
      </c>
      <c r="K64" t="str">
        <f t="shared" si="2"/>
        <v>ED2212_Learn Domo-October 2021 Release Update-Course Description-JA_MH</v>
      </c>
    </row>
    <row r="65" spans="1:12">
      <c r="A65">
        <v>64</v>
      </c>
      <c r="B65" t="s">
        <v>42</v>
      </c>
      <c r="C65">
        <v>2212</v>
      </c>
      <c r="E65" t="s">
        <v>59</v>
      </c>
      <c r="F65" t="s">
        <v>54</v>
      </c>
      <c r="G65" t="s">
        <v>97</v>
      </c>
      <c r="H65" t="s">
        <v>14</v>
      </c>
      <c r="K65" t="str">
        <f t="shared" si="2"/>
        <v>CS2212_indd-Domo Trust White paper.pdf-JA_AL</v>
      </c>
    </row>
    <row r="66" spans="1:12">
      <c r="A66">
        <v>65</v>
      </c>
      <c r="B66" t="s">
        <v>16</v>
      </c>
      <c r="C66">
        <v>2212</v>
      </c>
      <c r="E66" t="s">
        <v>59</v>
      </c>
      <c r="F66" t="s">
        <v>17</v>
      </c>
      <c r="G66" t="s">
        <v>32</v>
      </c>
      <c r="H66" t="s">
        <v>14</v>
      </c>
      <c r="I66" t="s">
        <v>98</v>
      </c>
      <c r="K66" t="str">
        <f t="shared" si="2"/>
        <v>ED2212_KB-FY22-Q2_Zendesk-Priority_High-JA_AL_Batch-11</v>
      </c>
    </row>
    <row r="67" spans="1:12">
      <c r="A67">
        <v>66</v>
      </c>
      <c r="B67" t="s">
        <v>16</v>
      </c>
      <c r="C67">
        <v>2212</v>
      </c>
      <c r="E67" t="s">
        <v>59</v>
      </c>
      <c r="F67" t="s">
        <v>17</v>
      </c>
      <c r="G67" t="s">
        <v>32</v>
      </c>
      <c r="H67" t="s">
        <v>14</v>
      </c>
      <c r="I67" t="s">
        <v>99</v>
      </c>
      <c r="K67" t="str">
        <f t="shared" si="2"/>
        <v>ED2212_KB-FY22-Q2_Zendesk-Priority_High-JA_AL_Batch-12</v>
      </c>
    </row>
    <row r="68" spans="1:12">
      <c r="A68">
        <v>67</v>
      </c>
      <c r="B68" t="s">
        <v>16</v>
      </c>
      <c r="C68">
        <v>2212</v>
      </c>
      <c r="E68" t="s">
        <v>59</v>
      </c>
      <c r="F68" t="s">
        <v>17</v>
      </c>
      <c r="G68" t="s">
        <v>32</v>
      </c>
      <c r="H68" t="s">
        <v>14</v>
      </c>
      <c r="I68" t="s">
        <v>100</v>
      </c>
      <c r="K68" t="str">
        <f t="shared" si="2"/>
        <v>ED2212_KB-FY22-Q2_Zendesk-Priority_High-JA_AL_Batch-13</v>
      </c>
    </row>
    <row r="69" spans="1:12">
      <c r="A69">
        <v>68</v>
      </c>
      <c r="B69" t="s">
        <v>16</v>
      </c>
      <c r="C69">
        <v>2201</v>
      </c>
      <c r="F69" t="s">
        <v>17</v>
      </c>
      <c r="G69" t="s">
        <v>101</v>
      </c>
      <c r="H69" t="s">
        <v>14</v>
      </c>
      <c r="I69" t="s">
        <v>96</v>
      </c>
      <c r="K69" t="str">
        <f t="shared" si="2"/>
        <v>ED2201_KB-New Section Names in the Knowledge Base-JA_MH</v>
      </c>
    </row>
    <row r="70" spans="1:12">
      <c r="A70">
        <v>69</v>
      </c>
      <c r="B70" t="s">
        <v>16</v>
      </c>
      <c r="C70">
        <v>2201</v>
      </c>
      <c r="E70" t="s">
        <v>59</v>
      </c>
      <c r="F70" t="s">
        <v>17</v>
      </c>
      <c r="G70" t="s">
        <v>102</v>
      </c>
      <c r="H70" t="s">
        <v>14</v>
      </c>
      <c r="K70" t="str">
        <f t="shared" si="2"/>
        <v>ED2201_KB-Update for PLC-JA_AL</v>
      </c>
    </row>
    <row r="71" spans="1:12">
      <c r="A71">
        <v>70</v>
      </c>
      <c r="B71" t="s">
        <v>103</v>
      </c>
      <c r="C71">
        <v>2201</v>
      </c>
      <c r="E71" t="s">
        <v>59</v>
      </c>
      <c r="F71" t="s">
        <v>17</v>
      </c>
      <c r="G71" t="s">
        <v>104</v>
      </c>
      <c r="H71" t="s">
        <v>14</v>
      </c>
      <c r="K71" t="str">
        <f t="shared" si="2"/>
        <v>ED2201_KB-DataFlow Tips and Tricks-JA_AL</v>
      </c>
    </row>
    <row r="72" spans="1:12">
      <c r="A72">
        <v>71</v>
      </c>
      <c r="B72" t="s">
        <v>16</v>
      </c>
      <c r="C72">
        <v>2201</v>
      </c>
      <c r="F72" t="s">
        <v>17</v>
      </c>
      <c r="G72" t="s">
        <v>105</v>
      </c>
      <c r="H72" t="s">
        <v>14</v>
      </c>
      <c r="I72" t="s">
        <v>96</v>
      </c>
      <c r="K72" t="str">
        <f t="shared" si="2"/>
        <v>ED2201_KB-Using Does Not Contain in Magic ETL-JA_MH</v>
      </c>
    </row>
    <row r="73" spans="1:12">
      <c r="A73">
        <v>72</v>
      </c>
      <c r="B73" t="s">
        <v>16</v>
      </c>
      <c r="C73">
        <v>2201</v>
      </c>
      <c r="E73" t="s">
        <v>59</v>
      </c>
      <c r="F73" t="s">
        <v>20</v>
      </c>
      <c r="G73" t="s">
        <v>106</v>
      </c>
      <c r="H73" t="s">
        <v>14</v>
      </c>
      <c r="K73" t="str">
        <f t="shared" si="2"/>
        <v>ED2201_Learn Domo-Domo Certification-JA_AL</v>
      </c>
    </row>
    <row r="74" spans="1:12">
      <c r="A74">
        <v>73</v>
      </c>
      <c r="B74" t="s">
        <v>16</v>
      </c>
      <c r="C74">
        <v>2302</v>
      </c>
      <c r="E74" t="s">
        <v>59</v>
      </c>
      <c r="F74" t="s">
        <v>20</v>
      </c>
      <c r="G74" t="s">
        <v>107</v>
      </c>
      <c r="H74" t="s">
        <v>14</v>
      </c>
      <c r="K74" t="str">
        <f t="shared" si="2"/>
        <v>ED2302_Learn Domo-Certification Translation request 20220204-JA_AL</v>
      </c>
    </row>
    <row r="75" spans="1:12">
      <c r="A75">
        <v>74</v>
      </c>
      <c r="B75" t="s">
        <v>16</v>
      </c>
      <c r="C75">
        <v>2303</v>
      </c>
      <c r="E75" t="s">
        <v>59</v>
      </c>
      <c r="F75" t="s">
        <v>17</v>
      </c>
      <c r="G75" t="s">
        <v>65</v>
      </c>
      <c r="H75" t="s">
        <v>14</v>
      </c>
      <c r="K75" t="str">
        <f t="shared" si="2"/>
        <v>ED2303_KB-Managing Pages-JA_AL</v>
      </c>
      <c r="L75" t="s">
        <v>108</v>
      </c>
    </row>
    <row r="76" spans="1:12">
      <c r="A76">
        <v>75</v>
      </c>
      <c r="B76" t="s">
        <v>16</v>
      </c>
      <c r="C76">
        <v>2303</v>
      </c>
      <c r="E76" t="s">
        <v>59</v>
      </c>
      <c r="F76" t="s">
        <v>17</v>
      </c>
      <c r="G76" t="s">
        <v>109</v>
      </c>
      <c r="H76" t="s">
        <v>14</v>
      </c>
      <c r="K76" t="str">
        <f t="shared" si="2"/>
        <v>ED2303_KB-DataSet Views-JA_AL</v>
      </c>
      <c r="L76" t="s">
        <v>108</v>
      </c>
    </row>
    <row r="77" spans="1:12">
      <c r="A77">
        <v>76</v>
      </c>
      <c r="B77" t="s">
        <v>16</v>
      </c>
      <c r="C77">
        <v>2303</v>
      </c>
      <c r="E77" t="s">
        <v>59</v>
      </c>
      <c r="F77" t="s">
        <v>17</v>
      </c>
      <c r="G77" t="s">
        <v>110</v>
      </c>
      <c r="H77" t="s">
        <v>14</v>
      </c>
      <c r="K77" t="str">
        <f t="shared" si="2"/>
        <v>ED2303_KB-PDP Policy Autocreation-JA_AL</v>
      </c>
      <c r="L77" t="s">
        <v>108</v>
      </c>
    </row>
    <row r="78" spans="1:12">
      <c r="A78">
        <v>77</v>
      </c>
      <c r="B78" t="s">
        <v>16</v>
      </c>
      <c r="C78">
        <v>2303</v>
      </c>
      <c r="E78" t="s">
        <v>59</v>
      </c>
      <c r="F78" t="s">
        <v>17</v>
      </c>
      <c r="G78" t="s">
        <v>111</v>
      </c>
      <c r="H78" t="s">
        <v>14</v>
      </c>
      <c r="K78" t="str">
        <f t="shared" si="2"/>
        <v>ED2303_KB-Creating Domo Stories-JA_AL</v>
      </c>
      <c r="L78" t="s">
        <v>108</v>
      </c>
    </row>
    <row r="79" spans="1:12">
      <c r="A79">
        <v>78</v>
      </c>
      <c r="B79" t="s">
        <v>16</v>
      </c>
      <c r="C79">
        <v>2303</v>
      </c>
      <c r="E79" t="s">
        <v>59</v>
      </c>
      <c r="F79" t="s">
        <v>112</v>
      </c>
      <c r="G79" t="s">
        <v>113</v>
      </c>
      <c r="H79" t="s">
        <v>14</v>
      </c>
      <c r="K79" t="str">
        <f t="shared" si="2"/>
        <v>ED2303_KB-Workbench 5.1-JA_AL</v>
      </c>
    </row>
    <row r="80" spans="1:12">
      <c r="A80">
        <v>79</v>
      </c>
      <c r="B80" t="s">
        <v>16</v>
      </c>
      <c r="C80">
        <v>2303</v>
      </c>
      <c r="E80" t="s">
        <v>114</v>
      </c>
      <c r="F80" t="s">
        <v>17</v>
      </c>
      <c r="G80" t="s">
        <v>115</v>
      </c>
      <c r="H80" t="s">
        <v>14</v>
      </c>
      <c r="K80" t="str">
        <f t="shared" si="2"/>
        <v>ED2303_KB-FY23-Q1_Zendesk-1-JA_TO</v>
      </c>
    </row>
    <row r="81" spans="1:11">
      <c r="A81">
        <v>80</v>
      </c>
      <c r="B81" t="s">
        <v>16</v>
      </c>
      <c r="C81">
        <v>2303</v>
      </c>
      <c r="E81" t="s">
        <v>114</v>
      </c>
      <c r="F81" t="s">
        <v>17</v>
      </c>
      <c r="G81" t="s">
        <v>116</v>
      </c>
      <c r="H81" t="s">
        <v>14</v>
      </c>
      <c r="K81" t="str">
        <f t="shared" si="2"/>
        <v>ED2303_KB-FY23-Q1_Zendesk-2-JA_TO</v>
      </c>
    </row>
    <row r="82" spans="1:11">
      <c r="A82">
        <v>81</v>
      </c>
      <c r="B82" t="s">
        <v>16</v>
      </c>
      <c r="C82">
        <v>2303</v>
      </c>
      <c r="E82" t="s">
        <v>59</v>
      </c>
      <c r="F82" t="s">
        <v>17</v>
      </c>
      <c r="G82" t="s">
        <v>117</v>
      </c>
      <c r="H82" t="s">
        <v>14</v>
      </c>
      <c r="K82" t="str">
        <f t="shared" si="2"/>
        <v>ED2303_KB-FY23-Q1_Zendesk-3-JA_AL</v>
      </c>
    </row>
    <row r="83" spans="1:11">
      <c r="A83">
        <v>82</v>
      </c>
      <c r="B83" t="s">
        <v>16</v>
      </c>
      <c r="C83">
        <v>2303</v>
      </c>
      <c r="E83" t="s">
        <v>59</v>
      </c>
      <c r="F83" t="s">
        <v>17</v>
      </c>
      <c r="G83" t="s">
        <v>118</v>
      </c>
      <c r="H83" t="s">
        <v>14</v>
      </c>
      <c r="K83" t="str">
        <f t="shared" si="2"/>
        <v>ED2303_KB-DataFusion Performance Recommendations-JA_AL</v>
      </c>
    </row>
    <row r="84" spans="1:11">
      <c r="A84">
        <v>83</v>
      </c>
      <c r="B84" t="s">
        <v>16</v>
      </c>
      <c r="C84">
        <v>2303</v>
      </c>
      <c r="E84" t="s">
        <v>59</v>
      </c>
      <c r="F84" t="s">
        <v>17</v>
      </c>
      <c r="G84" t="s">
        <v>119</v>
      </c>
      <c r="H84" t="s">
        <v>14</v>
      </c>
      <c r="K84" t="str">
        <f t="shared" si="2"/>
        <v>ED2303_KB-Backing Up Workbench 5.1 Jobs-JA_AL</v>
      </c>
    </row>
    <row r="85" spans="1:11">
      <c r="A85">
        <v>84</v>
      </c>
      <c r="B85" t="s">
        <v>16</v>
      </c>
      <c r="C85">
        <v>2303</v>
      </c>
      <c r="E85" t="s">
        <v>59</v>
      </c>
      <c r="F85" t="s">
        <v>17</v>
      </c>
      <c r="G85" t="s">
        <v>120</v>
      </c>
      <c r="H85" t="s">
        <v>14</v>
      </c>
      <c r="K85" t="str">
        <f t="shared" si="2"/>
        <v>ED2303_KB-New Magic ETL Tiles Performance-JA_AL</v>
      </c>
    </row>
    <row r="86" spans="1:11">
      <c r="A86">
        <v>85</v>
      </c>
      <c r="G86" t="s">
        <v>121</v>
      </c>
      <c r="K86" t="str">
        <f t="shared" si="2"/>
        <v>_-Japanese Domopalooza Release 2022 - New Articles-_</v>
      </c>
    </row>
    <row r="87" spans="1:11">
      <c r="A87">
        <v>86</v>
      </c>
      <c r="G87" t="s">
        <v>122</v>
      </c>
      <c r="K87" t="str">
        <f t="shared" si="2"/>
        <v>_-Japanese Domopalooza Release Notes 2022-_</v>
      </c>
    </row>
    <row r="88" spans="1:11">
      <c r="A88">
        <v>87</v>
      </c>
      <c r="B88" t="s">
        <v>16</v>
      </c>
      <c r="C88">
        <v>2303</v>
      </c>
      <c r="E88" t="s">
        <v>114</v>
      </c>
      <c r="F88" t="s">
        <v>17</v>
      </c>
      <c r="G88" t="s">
        <v>123</v>
      </c>
      <c r="H88" t="s">
        <v>14</v>
      </c>
      <c r="K88" t="str">
        <f t="shared" si="2"/>
        <v>ED2303_KB-Whitelisting IP Addresses for Connectors &amp; Federated Adapters-JA_TO</v>
      </c>
    </row>
    <row r="89" spans="1:11">
      <c r="A89">
        <v>88</v>
      </c>
      <c r="B89" t="s">
        <v>16</v>
      </c>
      <c r="C89">
        <v>2303</v>
      </c>
      <c r="E89" t="s">
        <v>59</v>
      </c>
      <c r="F89" t="s">
        <v>17</v>
      </c>
      <c r="G89" t="s">
        <v>124</v>
      </c>
      <c r="H89" t="s">
        <v>14</v>
      </c>
      <c r="K89" t="str">
        <f t="shared" si="2"/>
        <v>ED2303_KB-Enabling SSO with Okta-JA_AL</v>
      </c>
    </row>
    <row r="90" spans="1:11">
      <c r="A90">
        <v>89</v>
      </c>
      <c r="B90" t="s">
        <v>16</v>
      </c>
      <c r="C90">
        <v>2303</v>
      </c>
      <c r="E90" t="s">
        <v>114</v>
      </c>
      <c r="F90" t="s">
        <v>17</v>
      </c>
      <c r="G90" t="s">
        <v>125</v>
      </c>
      <c r="H90" t="s">
        <v>14</v>
      </c>
      <c r="K90" t="str">
        <f t="shared" ref="K90:K122" si="3">B90&amp;C90&amp;"_"&amp;F90&amp;"-"&amp;G90&amp;"-"&amp;H90&amp;"_"&amp;E90&amp;I90</f>
        <v>ED2303_KB-Using the Federated Data Solution-JA_TO</v>
      </c>
    </row>
    <row r="91" spans="1:11">
      <c r="A91">
        <v>90</v>
      </c>
      <c r="B91" t="s">
        <v>16</v>
      </c>
      <c r="C91">
        <v>2303</v>
      </c>
      <c r="E91" t="s">
        <v>114</v>
      </c>
      <c r="F91" t="s">
        <v>17</v>
      </c>
      <c r="G91" t="s">
        <v>126</v>
      </c>
      <c r="H91" t="s">
        <v>14</v>
      </c>
      <c r="K91" t="str">
        <f t="shared" si="3"/>
        <v>ED2303_KB-KCS_RFC-KB-JP | Google Ad Manager Connector-JA_TO</v>
      </c>
    </row>
    <row r="92" spans="1:11">
      <c r="A92">
        <v>91</v>
      </c>
      <c r="B92" t="s">
        <v>16</v>
      </c>
      <c r="C92">
        <v>2303</v>
      </c>
      <c r="E92" t="s">
        <v>114</v>
      </c>
      <c r="F92" t="s">
        <v>17</v>
      </c>
      <c r="G92" s="4" t="s">
        <v>127</v>
      </c>
      <c r="H92" t="s">
        <v>14</v>
      </c>
      <c r="K92" t="str">
        <f t="shared" si="3"/>
        <v>ED2303_KB-KCS_RFC-KB-JP | Social User FAQs and Video-JA_TO</v>
      </c>
    </row>
    <row r="93" spans="1:11">
      <c r="A93">
        <v>92</v>
      </c>
      <c r="B93" t="s">
        <v>16</v>
      </c>
      <c r="C93">
        <v>2303</v>
      </c>
      <c r="E93" t="s">
        <v>114</v>
      </c>
      <c r="F93" t="s">
        <v>17</v>
      </c>
      <c r="G93" t="s">
        <v>128</v>
      </c>
      <c r="H93" t="s">
        <v>14</v>
      </c>
      <c r="I93" t="s">
        <v>15</v>
      </c>
      <c r="K93" t="str">
        <f t="shared" si="3"/>
        <v>ED2303_KB-Ads connectors-JA_TO_Batch-1</v>
      </c>
    </row>
    <row r="94" spans="1:11">
      <c r="A94">
        <v>93</v>
      </c>
      <c r="B94" t="s">
        <v>16</v>
      </c>
      <c r="C94">
        <v>2303</v>
      </c>
      <c r="E94" t="s">
        <v>114</v>
      </c>
      <c r="F94" t="s">
        <v>17</v>
      </c>
      <c r="G94" t="s">
        <v>128</v>
      </c>
      <c r="H94" t="s">
        <v>14</v>
      </c>
      <c r="I94" t="s">
        <v>129</v>
      </c>
      <c r="K94" t="str">
        <f t="shared" si="3"/>
        <v>ED2303_KB-Ads connectors-JA_TO_Batch-2</v>
      </c>
    </row>
    <row r="95" spans="1:11">
      <c r="A95">
        <v>94</v>
      </c>
      <c r="B95" t="s">
        <v>16</v>
      </c>
      <c r="C95">
        <v>2303</v>
      </c>
      <c r="E95" t="s">
        <v>114</v>
      </c>
      <c r="F95" t="s">
        <v>17</v>
      </c>
      <c r="G95" t="s">
        <v>128</v>
      </c>
      <c r="H95" t="s">
        <v>14</v>
      </c>
      <c r="I95" t="s">
        <v>130</v>
      </c>
      <c r="K95" t="str">
        <f t="shared" si="3"/>
        <v>ED2303_KB-Ads connectors-JA_TO_Batch-3</v>
      </c>
    </row>
    <row r="96" spans="1:11">
      <c r="A96">
        <v>95</v>
      </c>
      <c r="B96" t="s">
        <v>16</v>
      </c>
      <c r="C96">
        <v>2304</v>
      </c>
      <c r="E96" t="s">
        <v>114</v>
      </c>
      <c r="F96" t="s">
        <v>40</v>
      </c>
      <c r="G96" t="s">
        <v>131</v>
      </c>
      <c r="H96" t="s">
        <v>14</v>
      </c>
      <c r="K96" t="str">
        <f t="shared" si="3"/>
        <v>ED2304_App-March 2022 Release Update - Japan Modules-JA_TO</v>
      </c>
    </row>
    <row r="97" spans="1:11">
      <c r="A97">
        <v>96</v>
      </c>
      <c r="B97" t="s">
        <v>16</v>
      </c>
      <c r="C97">
        <v>2304</v>
      </c>
      <c r="E97" t="s">
        <v>114</v>
      </c>
      <c r="F97" t="s">
        <v>17</v>
      </c>
      <c r="G97" t="s">
        <v>132</v>
      </c>
      <c r="H97" t="s">
        <v>14</v>
      </c>
      <c r="I97" t="s">
        <v>15</v>
      </c>
      <c r="K97" t="str">
        <f t="shared" si="3"/>
        <v>ED2304_KB-KCS-RFC-KB-JP-April-JA_TO_Batch-1</v>
      </c>
    </row>
    <row r="98" spans="1:11">
      <c r="A98">
        <v>97</v>
      </c>
      <c r="B98" t="s">
        <v>16</v>
      </c>
      <c r="C98">
        <v>2304</v>
      </c>
      <c r="E98" t="s">
        <v>114</v>
      </c>
      <c r="F98" t="s">
        <v>17</v>
      </c>
      <c r="G98" t="s">
        <v>133</v>
      </c>
      <c r="H98" t="s">
        <v>14</v>
      </c>
      <c r="K98" t="str">
        <f t="shared" si="3"/>
        <v>ED2304_KB-New Articles - April-JA_TO</v>
      </c>
    </row>
    <row r="99" spans="1:11">
      <c r="A99">
        <v>98</v>
      </c>
      <c r="B99" t="s">
        <v>16</v>
      </c>
      <c r="C99">
        <v>2304</v>
      </c>
      <c r="E99" t="s">
        <v>114</v>
      </c>
      <c r="F99" t="s">
        <v>17</v>
      </c>
      <c r="G99" t="s">
        <v>134</v>
      </c>
      <c r="H99" t="s">
        <v>14</v>
      </c>
      <c r="K99" t="str">
        <f t="shared" si="3"/>
        <v>ED2304_KB-Updated Articles - April-JA_TO</v>
      </c>
    </row>
    <row r="100" spans="1:11">
      <c r="A100">
        <v>99</v>
      </c>
      <c r="B100" t="s">
        <v>22</v>
      </c>
      <c r="C100">
        <v>2304</v>
      </c>
      <c r="E100" t="s">
        <v>135</v>
      </c>
      <c r="F100" t="s">
        <v>23</v>
      </c>
      <c r="G100" t="s">
        <v>136</v>
      </c>
      <c r="H100" t="s">
        <v>14</v>
      </c>
      <c r="K100" t="str">
        <f t="shared" si="3"/>
        <v>MK2304_Web-privacypolicy.json-JA_Domo</v>
      </c>
    </row>
    <row r="101" spans="1:11">
      <c r="A101">
        <v>100</v>
      </c>
      <c r="B101" t="s">
        <v>16</v>
      </c>
      <c r="C101">
        <v>2304</v>
      </c>
      <c r="E101" t="s">
        <v>96</v>
      </c>
      <c r="F101" t="s">
        <v>137</v>
      </c>
      <c r="G101" t="s">
        <v>138</v>
      </c>
      <c r="H101" t="s">
        <v>14</v>
      </c>
      <c r="K101" t="str">
        <f t="shared" si="3"/>
        <v>ED2304_Education-Domo Professional Knowledge Test (2h)_export_2022-04-04.txt-JA_MH</v>
      </c>
    </row>
    <row r="102" spans="1:11">
      <c r="A102">
        <v>101</v>
      </c>
      <c r="B102" t="s">
        <v>16</v>
      </c>
      <c r="C102">
        <v>2304</v>
      </c>
      <c r="E102" t="s">
        <v>114</v>
      </c>
      <c r="F102" t="s">
        <v>17</v>
      </c>
      <c r="G102" t="s">
        <v>139</v>
      </c>
      <c r="H102" t="s">
        <v>14</v>
      </c>
      <c r="I102" t="s">
        <v>15</v>
      </c>
      <c r="K102" t="str">
        <f t="shared" si="3"/>
        <v>ED2304_KB-New Magic ETL-JA_TO_Batch-1</v>
      </c>
    </row>
    <row r="103" spans="1:11">
      <c r="A103">
        <v>102</v>
      </c>
      <c r="B103" t="s">
        <v>16</v>
      </c>
      <c r="C103">
        <v>2304</v>
      </c>
      <c r="E103" t="s">
        <v>114</v>
      </c>
      <c r="F103" t="s">
        <v>17</v>
      </c>
      <c r="G103" t="s">
        <v>139</v>
      </c>
      <c r="H103" t="s">
        <v>14</v>
      </c>
      <c r="I103" t="s">
        <v>81</v>
      </c>
      <c r="K103" t="str">
        <f t="shared" si="3"/>
        <v>ED2304_KB-New Magic ETL-JA_TO_Batch-2</v>
      </c>
    </row>
    <row r="104" spans="1:11">
      <c r="A104">
        <v>103</v>
      </c>
      <c r="B104" t="s">
        <v>16</v>
      </c>
      <c r="C104">
        <v>2304</v>
      </c>
      <c r="E104" t="s">
        <v>114</v>
      </c>
      <c r="F104" t="s">
        <v>17</v>
      </c>
      <c r="G104" t="s">
        <v>140</v>
      </c>
      <c r="H104" t="s">
        <v>14</v>
      </c>
      <c r="K104" t="str">
        <f t="shared" si="3"/>
        <v>ED2304_KB-RFC-KB-JP  Specifying Your Personal Profile Information-JA_TO</v>
      </c>
    </row>
    <row r="105" spans="1:11">
      <c r="A105">
        <v>104</v>
      </c>
      <c r="B105" t="s">
        <v>16</v>
      </c>
      <c r="C105">
        <v>2304</v>
      </c>
      <c r="E105" t="s">
        <v>114</v>
      </c>
      <c r="F105" t="s">
        <v>17</v>
      </c>
      <c r="G105" t="s">
        <v>141</v>
      </c>
      <c r="H105" t="s">
        <v>14</v>
      </c>
      <c r="K105" t="str">
        <f t="shared" si="3"/>
        <v>ED2304_KB-RFC-KB-JP | Adobe Analytics 1.4 OAuth Connector-JA_TO</v>
      </c>
    </row>
    <row r="106" spans="1:11">
      <c r="A106">
        <v>105</v>
      </c>
      <c r="B106" t="s">
        <v>16</v>
      </c>
      <c r="C106">
        <v>2304</v>
      </c>
      <c r="E106" t="s">
        <v>96</v>
      </c>
      <c r="F106" t="s">
        <v>137</v>
      </c>
      <c r="G106" t="s">
        <v>138</v>
      </c>
      <c r="H106" t="s">
        <v>14</v>
      </c>
      <c r="I106" t="s">
        <v>81</v>
      </c>
      <c r="K106" t="str">
        <f t="shared" si="3"/>
        <v>ED2304_Education-Domo Professional Knowledge Test (2h)_export_2022-04-04.txt-JA_MH_Batch-2</v>
      </c>
    </row>
    <row r="107" spans="1:11">
      <c r="A107">
        <v>106</v>
      </c>
      <c r="B107" t="s">
        <v>16</v>
      </c>
      <c r="C107">
        <v>2304</v>
      </c>
      <c r="E107" t="s">
        <v>114</v>
      </c>
      <c r="F107" t="s">
        <v>17</v>
      </c>
      <c r="G107" t="s">
        <v>142</v>
      </c>
      <c r="H107" t="s">
        <v>14</v>
      </c>
      <c r="K107" t="str">
        <f t="shared" si="3"/>
        <v>ED2304_KB-Fun Sample DataSets-JA_TO</v>
      </c>
    </row>
    <row r="108" spans="1:11">
      <c r="A108">
        <v>107</v>
      </c>
      <c r="B108" t="s">
        <v>22</v>
      </c>
      <c r="C108">
        <v>2304</v>
      </c>
      <c r="E108" t="s">
        <v>96</v>
      </c>
      <c r="F108" t="s">
        <v>143</v>
      </c>
      <c r="G108" t="s">
        <v>144</v>
      </c>
      <c r="H108" t="s">
        <v>14</v>
      </c>
      <c r="K108" t="str">
        <f t="shared" si="3"/>
        <v>MK2304_Review-Future of BI Reprint Translation - Domo-JA_MH</v>
      </c>
    </row>
    <row r="109" spans="1:11">
      <c r="A109">
        <v>108</v>
      </c>
      <c r="B109" t="s">
        <v>16</v>
      </c>
      <c r="C109">
        <v>2304</v>
      </c>
      <c r="E109" t="s">
        <v>96</v>
      </c>
      <c r="F109" t="s">
        <v>17</v>
      </c>
      <c r="G109" t="s">
        <v>145</v>
      </c>
      <c r="H109" t="s">
        <v>14</v>
      </c>
      <c r="K109" t="str">
        <f t="shared" si="3"/>
        <v>ED2304_KB-Instagram Business Connector-JA_MH</v>
      </c>
    </row>
    <row r="110" spans="1:11">
      <c r="A110">
        <v>109</v>
      </c>
      <c r="B110" t="s">
        <v>16</v>
      </c>
      <c r="C110">
        <v>2304</v>
      </c>
      <c r="E110" t="s">
        <v>96</v>
      </c>
      <c r="F110" t="s">
        <v>17</v>
      </c>
      <c r="G110" t="s">
        <v>123</v>
      </c>
      <c r="H110" t="s">
        <v>14</v>
      </c>
      <c r="K110" t="str">
        <f t="shared" si="3"/>
        <v>ED2304_KB-Whitelisting IP Addresses for Connectors &amp; Federated Adapters-JA_MH</v>
      </c>
    </row>
    <row r="111" spans="1:11">
      <c r="A111">
        <v>110</v>
      </c>
      <c r="B111" t="s">
        <v>16</v>
      </c>
      <c r="C111">
        <v>2304</v>
      </c>
      <c r="E111" t="s">
        <v>114</v>
      </c>
      <c r="F111" t="s">
        <v>17</v>
      </c>
      <c r="G111" t="s">
        <v>146</v>
      </c>
      <c r="H111" t="s">
        <v>14</v>
      </c>
      <c r="K111" t="str">
        <f t="shared" si="3"/>
        <v>ED2304_KB-RFC-KB-JP Adding a Beast Mode Calculation to Your Chart-JA_TO</v>
      </c>
    </row>
    <row r="112" spans="1:11">
      <c r="A112">
        <v>111</v>
      </c>
      <c r="B112" t="s">
        <v>16</v>
      </c>
      <c r="C112">
        <v>2304</v>
      </c>
      <c r="E112" t="s">
        <v>114</v>
      </c>
      <c r="F112" t="s">
        <v>17</v>
      </c>
      <c r="G112" t="s">
        <v>147</v>
      </c>
      <c r="H112" t="s">
        <v>14</v>
      </c>
      <c r="K112" t="str">
        <f t="shared" si="3"/>
        <v>ED2304_KB-RFC-KB-JP Understanding the Workbench 5.1 User Interface-JA_TO</v>
      </c>
    </row>
    <row r="113" spans="1:11">
      <c r="A113">
        <v>112</v>
      </c>
      <c r="B113" t="s">
        <v>16</v>
      </c>
      <c r="C113">
        <v>2304</v>
      </c>
      <c r="E113" t="s">
        <v>114</v>
      </c>
      <c r="F113" t="s">
        <v>17</v>
      </c>
      <c r="G113" t="s">
        <v>148</v>
      </c>
      <c r="H113" t="s">
        <v>14</v>
      </c>
      <c r="K113" t="str">
        <f t="shared" si="3"/>
        <v>ED2304_KB-RFC-KB-JP Installing Workbench 5.1-JA_TO</v>
      </c>
    </row>
    <row r="114" spans="1:11">
      <c r="A114">
        <v>113</v>
      </c>
      <c r="B114" t="s">
        <v>16</v>
      </c>
      <c r="C114">
        <v>2304</v>
      </c>
      <c r="E114" t="s">
        <v>114</v>
      </c>
      <c r="F114" t="s">
        <v>137</v>
      </c>
      <c r="G114" t="s">
        <v>149</v>
      </c>
      <c r="H114" t="s">
        <v>14</v>
      </c>
      <c r="K114" t="str">
        <f t="shared" si="3"/>
        <v>ED2304_Education-End of Course Surveys-JA_TO</v>
      </c>
    </row>
    <row r="115" spans="1:11">
      <c r="A115">
        <v>114</v>
      </c>
      <c r="B115" t="s">
        <v>16</v>
      </c>
      <c r="C115">
        <v>2304</v>
      </c>
      <c r="E115" t="s">
        <v>114</v>
      </c>
      <c r="F115" t="s">
        <v>17</v>
      </c>
      <c r="G115" t="s">
        <v>150</v>
      </c>
      <c r="H115" t="s">
        <v>14</v>
      </c>
      <c r="I115" t="s">
        <v>15</v>
      </c>
      <c r="K115" t="str">
        <f t="shared" si="3"/>
        <v>ED2304_KB-Zendesk FY23-Q1 04 New translation-JA_TO_Batch-1</v>
      </c>
    </row>
    <row r="116" spans="1:11">
      <c r="A116">
        <v>115</v>
      </c>
      <c r="B116" t="s">
        <v>16</v>
      </c>
      <c r="C116">
        <v>2304</v>
      </c>
      <c r="E116" t="s">
        <v>114</v>
      </c>
      <c r="F116" t="s">
        <v>17</v>
      </c>
      <c r="G116" t="s">
        <v>150</v>
      </c>
      <c r="H116" t="s">
        <v>14</v>
      </c>
      <c r="I116" t="s">
        <v>81</v>
      </c>
      <c r="K116" t="str">
        <f t="shared" si="3"/>
        <v>ED2304_KB-Zendesk FY23-Q1 04 New translation-JA_TO_Batch-2</v>
      </c>
    </row>
    <row r="117" spans="1:11">
      <c r="A117">
        <v>116</v>
      </c>
      <c r="B117" t="s">
        <v>16</v>
      </c>
      <c r="C117">
        <v>2304</v>
      </c>
      <c r="E117" t="s">
        <v>114</v>
      </c>
      <c r="F117" t="s">
        <v>17</v>
      </c>
      <c r="G117" t="s">
        <v>150</v>
      </c>
      <c r="H117" t="s">
        <v>14</v>
      </c>
      <c r="I117" t="s">
        <v>19</v>
      </c>
      <c r="K117" t="str">
        <f t="shared" si="3"/>
        <v>ED2304_KB-Zendesk FY23-Q1 04 New translation-JA_TO_Batch-3</v>
      </c>
    </row>
    <row r="118" spans="1:11">
      <c r="A118">
        <v>117</v>
      </c>
      <c r="B118" t="s">
        <v>16</v>
      </c>
      <c r="C118">
        <v>2304</v>
      </c>
      <c r="E118" t="s">
        <v>114</v>
      </c>
      <c r="F118" t="s">
        <v>17</v>
      </c>
      <c r="G118" t="s">
        <v>150</v>
      </c>
      <c r="H118" t="s">
        <v>14</v>
      </c>
      <c r="I118" t="s">
        <v>31</v>
      </c>
      <c r="K118" t="str">
        <f t="shared" si="3"/>
        <v>ED2304_KB-Zendesk FY23-Q1 04 New translation-JA_TO_Batch-4</v>
      </c>
    </row>
    <row r="119" spans="1:11">
      <c r="A119">
        <v>118</v>
      </c>
      <c r="B119" t="s">
        <v>16</v>
      </c>
      <c r="C119">
        <v>2304</v>
      </c>
      <c r="E119" t="s">
        <v>114</v>
      </c>
      <c r="F119" t="s">
        <v>17</v>
      </c>
      <c r="G119" t="s">
        <v>150</v>
      </c>
      <c r="H119" t="s">
        <v>14</v>
      </c>
      <c r="I119" t="s">
        <v>60</v>
      </c>
      <c r="K119" t="str">
        <f t="shared" si="3"/>
        <v>ED2304_KB-Zendesk FY23-Q1 04 New translation-JA_TO_Batch-5</v>
      </c>
    </row>
    <row r="120" spans="1:11">
      <c r="A120">
        <v>119</v>
      </c>
      <c r="B120" t="s">
        <v>16</v>
      </c>
      <c r="C120">
        <v>2304</v>
      </c>
      <c r="E120" t="s">
        <v>114</v>
      </c>
      <c r="F120" t="s">
        <v>17</v>
      </c>
      <c r="G120" t="s">
        <v>150</v>
      </c>
      <c r="H120" t="s">
        <v>14</v>
      </c>
      <c r="I120" t="s">
        <v>69</v>
      </c>
      <c r="K120" t="str">
        <f t="shared" si="3"/>
        <v>ED2304_KB-Zendesk FY23-Q1 04 New translation-JA_TO_Batch-6</v>
      </c>
    </row>
    <row r="121" spans="1:11">
      <c r="A121">
        <v>120</v>
      </c>
      <c r="B121" t="s">
        <v>16</v>
      </c>
      <c r="C121">
        <v>2304</v>
      </c>
      <c r="E121" t="s">
        <v>114</v>
      </c>
      <c r="F121" t="s">
        <v>17</v>
      </c>
      <c r="G121" t="s">
        <v>150</v>
      </c>
      <c r="H121" t="s">
        <v>14</v>
      </c>
      <c r="I121" t="s">
        <v>90</v>
      </c>
      <c r="K121" t="str">
        <f t="shared" si="3"/>
        <v>ED2304_KB-Zendesk FY23-Q1 04 New translation-JA_TO_Batch-7</v>
      </c>
    </row>
    <row r="122" spans="1:11">
      <c r="A122">
        <v>121</v>
      </c>
      <c r="B122" t="s">
        <v>16</v>
      </c>
      <c r="C122">
        <v>2304</v>
      </c>
      <c r="E122" t="s">
        <v>114</v>
      </c>
      <c r="F122" t="s">
        <v>17</v>
      </c>
      <c r="G122" t="s">
        <v>150</v>
      </c>
      <c r="H122" t="s">
        <v>14</v>
      </c>
      <c r="I122" t="s">
        <v>91</v>
      </c>
      <c r="K122" t="str">
        <f t="shared" si="3"/>
        <v>ED2304_KB-Zendesk FY23-Q1 04 New translation-JA_TO_Batch-8</v>
      </c>
    </row>
    <row r="123" spans="1:11">
      <c r="A123">
        <v>122</v>
      </c>
      <c r="B123" t="s">
        <v>16</v>
      </c>
      <c r="C123">
        <v>2305</v>
      </c>
      <c r="E123" t="s">
        <v>114</v>
      </c>
      <c r="F123" t="s">
        <v>17</v>
      </c>
      <c r="G123" t="s">
        <v>151</v>
      </c>
      <c r="H123" t="s">
        <v>14</v>
      </c>
      <c r="I123" t="s">
        <v>92</v>
      </c>
      <c r="K123" t="str">
        <f>B123&amp;C123&amp;"-"&amp;E123&amp;"_"&amp;F123&amp;"-"&amp;G123&amp;"-"&amp;H123&amp;I123</f>
        <v>ED2305-TO_KB-Zendesk FY23-Q2 05 New translation-JA_Batch-9</v>
      </c>
    </row>
    <row r="124" spans="1:11">
      <c r="A124">
        <v>123</v>
      </c>
      <c r="B124" t="s">
        <v>16</v>
      </c>
      <c r="C124">
        <v>2305</v>
      </c>
      <c r="E124" t="s">
        <v>114</v>
      </c>
      <c r="F124" t="s">
        <v>17</v>
      </c>
      <c r="G124" t="s">
        <v>151</v>
      </c>
      <c r="H124" t="s">
        <v>14</v>
      </c>
      <c r="I124" t="s">
        <v>93</v>
      </c>
      <c r="K124" t="str">
        <f>B124&amp;C124&amp;"-"&amp;E124&amp;"_"&amp;F124&amp;"-"&amp;G124&amp;"-"&amp;H124&amp;I124</f>
        <v>ED2305-TO_KB-Zendesk FY23-Q2 05 New translation-JA_Batch-10</v>
      </c>
    </row>
    <row r="125" spans="1:11">
      <c r="A125">
        <v>124</v>
      </c>
      <c r="B125" t="s">
        <v>16</v>
      </c>
      <c r="C125">
        <v>2305</v>
      </c>
      <c r="E125" t="s">
        <v>152</v>
      </c>
      <c r="F125" t="s">
        <v>137</v>
      </c>
      <c r="G125" t="s">
        <v>138</v>
      </c>
      <c r="H125" t="s">
        <v>14</v>
      </c>
      <c r="I125" t="s">
        <v>153</v>
      </c>
      <c r="K125" t="str">
        <f t="shared" ref="K125:K188" si="4">B125&amp;C125&amp;"-"&amp;E125&amp;"_"&amp;F125&amp;"-"&amp;G125&amp;"-"&amp;H125&amp;I125</f>
        <v>ED2305-MH_Education-Domo Professional Knowledge Test (2h)_export_2022-04-04.txt-JA_Update</v>
      </c>
    </row>
    <row r="126" spans="1:11">
      <c r="A126">
        <v>125</v>
      </c>
      <c r="B126" t="s">
        <v>16</v>
      </c>
      <c r="C126">
        <v>2305</v>
      </c>
      <c r="E126" t="s">
        <v>152</v>
      </c>
      <c r="F126" t="s">
        <v>17</v>
      </c>
      <c r="G126" t="s">
        <v>154</v>
      </c>
      <c r="H126" t="s">
        <v>14</v>
      </c>
      <c r="I126" t="s">
        <v>155</v>
      </c>
      <c r="K126" t="str">
        <f t="shared" si="4"/>
        <v>ED2305-MH_KB-Adding a Beast Mode Calculation to Your Chart-JA_Bugfix</v>
      </c>
    </row>
    <row r="127" spans="1:11">
      <c r="A127">
        <v>126</v>
      </c>
      <c r="B127" t="s">
        <v>16</v>
      </c>
      <c r="C127">
        <v>2305</v>
      </c>
      <c r="E127" t="s">
        <v>114</v>
      </c>
      <c r="F127" t="s">
        <v>17</v>
      </c>
      <c r="G127" t="s">
        <v>156</v>
      </c>
      <c r="H127" t="s">
        <v>14</v>
      </c>
      <c r="I127" t="s">
        <v>157</v>
      </c>
      <c r="K127" t="str">
        <f t="shared" si="4"/>
        <v>ED2305-TO_KB-Bucketing Data Using Beast Mode-JA_Update</v>
      </c>
    </row>
    <row r="128" spans="1:11">
      <c r="A128">
        <v>127</v>
      </c>
      <c r="B128" t="s">
        <v>16</v>
      </c>
      <c r="C128">
        <v>2305</v>
      </c>
      <c r="E128" t="s">
        <v>114</v>
      </c>
      <c r="F128" t="s">
        <v>17</v>
      </c>
      <c r="G128" t="s">
        <v>158</v>
      </c>
      <c r="H128" t="s">
        <v>14</v>
      </c>
      <c r="I128" t="s">
        <v>157</v>
      </c>
      <c r="K128" t="str">
        <f t="shared" si="4"/>
        <v>ED2305-TO_KB-Sample Beast Mode Calculations- Date Transforms-JA_Update</v>
      </c>
    </row>
    <row r="129" spans="1:11">
      <c r="A129">
        <v>128</v>
      </c>
      <c r="B129" t="s">
        <v>16</v>
      </c>
      <c r="C129">
        <v>2305</v>
      </c>
      <c r="E129" t="s">
        <v>114</v>
      </c>
      <c r="F129" t="s">
        <v>17</v>
      </c>
      <c r="G129" t="s">
        <v>159</v>
      </c>
      <c r="H129" t="s">
        <v>160</v>
      </c>
      <c r="K129" t="str">
        <f t="shared" si="4"/>
        <v>ED2305-TO_KB-Domo for Office Add-Ins-JA</v>
      </c>
    </row>
    <row r="130" spans="1:11">
      <c r="A130">
        <v>129</v>
      </c>
      <c r="B130" t="s">
        <v>16</v>
      </c>
      <c r="C130">
        <v>2305</v>
      </c>
      <c r="E130" t="s">
        <v>114</v>
      </c>
      <c r="F130" t="s">
        <v>17</v>
      </c>
      <c r="G130" t="s">
        <v>161</v>
      </c>
      <c r="H130" t="s">
        <v>160</v>
      </c>
      <c r="K130" t="str">
        <f t="shared" si="4"/>
        <v>ED2305-TO_KB-RFC-KB-JP Plugins for Sharing Domo Content-JA</v>
      </c>
    </row>
    <row r="131" spans="1:11">
      <c r="A131">
        <v>130</v>
      </c>
      <c r="B131" t="s">
        <v>16</v>
      </c>
      <c r="C131">
        <v>2305</v>
      </c>
      <c r="E131" t="s">
        <v>114</v>
      </c>
      <c r="F131" t="s">
        <v>17</v>
      </c>
      <c r="G131" t="s">
        <v>162</v>
      </c>
      <c r="H131" t="s">
        <v>160</v>
      </c>
      <c r="K131" t="str">
        <f t="shared" si="4"/>
        <v>ED2305-TO_KB-RFC-KB-JP Sample Beast Mode Calculations- Card Element Transforms-JA</v>
      </c>
    </row>
    <row r="132" spans="1:11">
      <c r="A132">
        <v>131</v>
      </c>
      <c r="B132" t="s">
        <v>16</v>
      </c>
      <c r="C132">
        <v>2305</v>
      </c>
      <c r="E132" t="s">
        <v>114</v>
      </c>
      <c r="F132" t="s">
        <v>17</v>
      </c>
      <c r="G132" t="s">
        <v>163</v>
      </c>
      <c r="H132" t="s">
        <v>160</v>
      </c>
      <c r="K132" t="str">
        <f t="shared" si="4"/>
        <v>ED2305-TO_KB-RFC-KB-JP Table Chart-JA</v>
      </c>
    </row>
    <row r="133" spans="1:11">
      <c r="A133">
        <v>132</v>
      </c>
      <c r="B133" t="s">
        <v>16</v>
      </c>
      <c r="C133">
        <v>2305</v>
      </c>
      <c r="E133" t="s">
        <v>152</v>
      </c>
      <c r="F133" t="s">
        <v>17</v>
      </c>
      <c r="G133" t="s">
        <v>164</v>
      </c>
      <c r="H133" t="s">
        <v>14</v>
      </c>
      <c r="I133" t="s">
        <v>15</v>
      </c>
      <c r="K133" t="str">
        <f t="shared" si="4"/>
        <v>ED2305-MH_KB-Workbench 5.1 publishing issue-JA_Batch-1</v>
      </c>
    </row>
    <row r="134" spans="1:11">
      <c r="A134">
        <v>133</v>
      </c>
      <c r="B134" t="s">
        <v>16</v>
      </c>
      <c r="C134">
        <v>2305</v>
      </c>
      <c r="E134" t="s">
        <v>152</v>
      </c>
      <c r="F134" t="s">
        <v>17</v>
      </c>
      <c r="G134" t="s">
        <v>164</v>
      </c>
      <c r="H134" t="s">
        <v>14</v>
      </c>
      <c r="I134" t="s">
        <v>129</v>
      </c>
      <c r="K134" t="str">
        <f t="shared" si="4"/>
        <v>ED2305-MH_KB-Workbench 5.1 publishing issue-JA_Batch-2</v>
      </c>
    </row>
    <row r="135" spans="1:11">
      <c r="A135">
        <v>134</v>
      </c>
      <c r="B135" t="s">
        <v>16</v>
      </c>
      <c r="C135">
        <v>2305</v>
      </c>
      <c r="E135" t="s">
        <v>152</v>
      </c>
      <c r="F135" t="s">
        <v>17</v>
      </c>
      <c r="G135" t="s">
        <v>164</v>
      </c>
      <c r="H135" t="s">
        <v>14</v>
      </c>
      <c r="I135" t="s">
        <v>130</v>
      </c>
      <c r="K135" t="str">
        <f t="shared" si="4"/>
        <v>ED2305-MH_KB-Workbench 5.1 publishing issue-JA_Batch-3</v>
      </c>
    </row>
    <row r="136" spans="1:11">
      <c r="A136">
        <v>135</v>
      </c>
      <c r="B136" t="s">
        <v>16</v>
      </c>
      <c r="C136">
        <v>2305</v>
      </c>
      <c r="E136" t="s">
        <v>152</v>
      </c>
      <c r="F136" t="s">
        <v>17</v>
      </c>
      <c r="G136" t="s">
        <v>165</v>
      </c>
      <c r="H136" t="s">
        <v>14</v>
      </c>
      <c r="K136" t="str">
        <f t="shared" si="4"/>
        <v>ED2305-MH_KB-Installing Workbench 5.1-JA</v>
      </c>
    </row>
    <row r="137" spans="1:11">
      <c r="A137">
        <v>136</v>
      </c>
      <c r="B137" t="s">
        <v>16</v>
      </c>
      <c r="C137">
        <v>2305</v>
      </c>
      <c r="E137" t="s">
        <v>114</v>
      </c>
      <c r="F137" t="s">
        <v>17</v>
      </c>
      <c r="G137" t="s">
        <v>166</v>
      </c>
      <c r="H137" t="s">
        <v>14</v>
      </c>
      <c r="K137" t="str">
        <f t="shared" si="4"/>
        <v>ED2305-TO_KB-RFC-KB-JP Using Programmatic Filters with Domo Embed-JA</v>
      </c>
    </row>
    <row r="138" spans="1:11">
      <c r="A138">
        <v>137</v>
      </c>
      <c r="B138" t="s">
        <v>16</v>
      </c>
      <c r="C138">
        <v>2306</v>
      </c>
      <c r="E138" t="s">
        <v>114</v>
      </c>
      <c r="F138" t="s">
        <v>17</v>
      </c>
      <c r="G138" t="s">
        <v>167</v>
      </c>
      <c r="H138" t="s">
        <v>14</v>
      </c>
      <c r="I138" t="s">
        <v>168</v>
      </c>
      <c r="K138" t="str">
        <f t="shared" si="4"/>
        <v>ED2306-TO_KB-Zendesk FY23-Q2 06 -JA_Update_Batch-1</v>
      </c>
    </row>
    <row r="139" spans="1:11">
      <c r="A139">
        <v>138</v>
      </c>
      <c r="B139" t="s">
        <v>16</v>
      </c>
      <c r="C139">
        <v>2306</v>
      </c>
      <c r="E139" t="s">
        <v>114</v>
      </c>
      <c r="F139" t="s">
        <v>17</v>
      </c>
      <c r="G139" t="s">
        <v>167</v>
      </c>
      <c r="H139" t="s">
        <v>14</v>
      </c>
      <c r="I139" t="s">
        <v>169</v>
      </c>
      <c r="K139" t="str">
        <f t="shared" si="4"/>
        <v>ED2306-TO_KB-Zendesk FY23-Q2 06 -JA_Update_Batch-2</v>
      </c>
    </row>
    <row r="140" spans="1:11">
      <c r="A140">
        <v>139</v>
      </c>
      <c r="B140" t="s">
        <v>16</v>
      </c>
      <c r="C140">
        <v>2306</v>
      </c>
      <c r="E140" t="s">
        <v>114</v>
      </c>
      <c r="F140" t="s">
        <v>17</v>
      </c>
      <c r="G140" t="s">
        <v>167</v>
      </c>
      <c r="H140" t="s">
        <v>14</v>
      </c>
      <c r="I140" t="s">
        <v>170</v>
      </c>
      <c r="K140" t="str">
        <f t="shared" si="4"/>
        <v>ED2306-TO_KB-Zendesk FY23-Q2 06 -JA_Update_Batch-3</v>
      </c>
    </row>
    <row r="141" spans="1:11">
      <c r="A141">
        <v>140</v>
      </c>
      <c r="B141" t="s">
        <v>16</v>
      </c>
      <c r="C141">
        <v>2306</v>
      </c>
      <c r="E141" t="s">
        <v>114</v>
      </c>
      <c r="F141" t="s">
        <v>17</v>
      </c>
      <c r="G141" t="s">
        <v>167</v>
      </c>
      <c r="H141" t="s">
        <v>14</v>
      </c>
      <c r="I141" t="s">
        <v>171</v>
      </c>
      <c r="K141" t="str">
        <f t="shared" si="4"/>
        <v>ED2306-TO_KB-Zendesk FY23-Q2 06 -JA_Update_Batch-4</v>
      </c>
    </row>
    <row r="142" spans="1:11">
      <c r="A142">
        <v>141</v>
      </c>
      <c r="B142" t="s">
        <v>16</v>
      </c>
      <c r="C142">
        <v>2306</v>
      </c>
      <c r="E142" t="s">
        <v>114</v>
      </c>
      <c r="F142" t="s">
        <v>17</v>
      </c>
      <c r="G142" t="s">
        <v>167</v>
      </c>
      <c r="H142" t="s">
        <v>14</v>
      </c>
      <c r="I142" t="s">
        <v>172</v>
      </c>
      <c r="K142" t="str">
        <f t="shared" si="4"/>
        <v>ED2306-TO_KB-Zendesk FY23-Q2 06 -JA_Update_Batch-5</v>
      </c>
    </row>
    <row r="143" spans="1:11">
      <c r="A143">
        <v>142</v>
      </c>
      <c r="B143" t="s">
        <v>16</v>
      </c>
      <c r="C143">
        <v>2306</v>
      </c>
      <c r="E143" t="s">
        <v>114</v>
      </c>
      <c r="F143" t="s">
        <v>17</v>
      </c>
      <c r="G143" t="s">
        <v>167</v>
      </c>
      <c r="H143" t="s">
        <v>14</v>
      </c>
      <c r="I143" t="s">
        <v>173</v>
      </c>
      <c r="K143" t="str">
        <f t="shared" si="4"/>
        <v>ED2306-TO_KB-Zendesk FY23-Q2 06 -JA_New_Batch-1</v>
      </c>
    </row>
    <row r="144" spans="1:11">
      <c r="A144">
        <v>143</v>
      </c>
      <c r="B144" t="s">
        <v>16</v>
      </c>
      <c r="C144">
        <v>2306</v>
      </c>
      <c r="E144" t="s">
        <v>114</v>
      </c>
      <c r="F144" t="s">
        <v>17</v>
      </c>
      <c r="G144" t="s">
        <v>167</v>
      </c>
      <c r="H144" t="s">
        <v>14</v>
      </c>
      <c r="I144" t="s">
        <v>174</v>
      </c>
      <c r="K144" t="str">
        <f t="shared" si="4"/>
        <v>ED2306-TO_KB-Zendesk FY23-Q2 06 -JA_New_Batch-2</v>
      </c>
    </row>
    <row r="145" spans="1:12">
      <c r="A145">
        <v>144</v>
      </c>
      <c r="B145" t="s">
        <v>16</v>
      </c>
      <c r="C145">
        <v>2306</v>
      </c>
      <c r="E145" t="s">
        <v>114</v>
      </c>
      <c r="F145" t="s">
        <v>17</v>
      </c>
      <c r="G145" t="s">
        <v>167</v>
      </c>
      <c r="H145" t="s">
        <v>14</v>
      </c>
      <c r="I145" t="s">
        <v>175</v>
      </c>
      <c r="K145" t="str">
        <f t="shared" si="4"/>
        <v>ED2306-TO_KB-Zendesk FY23-Q2 06 -JA_New_Batch-3</v>
      </c>
    </row>
    <row r="146" spans="1:12">
      <c r="A146">
        <v>145</v>
      </c>
      <c r="B146" t="s">
        <v>16</v>
      </c>
      <c r="C146">
        <v>2306</v>
      </c>
      <c r="E146" t="s">
        <v>114</v>
      </c>
      <c r="F146" t="s">
        <v>17</v>
      </c>
      <c r="G146" t="s">
        <v>167</v>
      </c>
      <c r="H146" t="s">
        <v>14</v>
      </c>
      <c r="I146" t="s">
        <v>176</v>
      </c>
      <c r="K146" t="str">
        <f t="shared" si="4"/>
        <v>ED2306-TO_KB-Zendesk FY23-Q2 06 -JA_New_Batch-4</v>
      </c>
    </row>
    <row r="147" spans="1:12">
      <c r="A147">
        <v>146</v>
      </c>
      <c r="B147" t="s">
        <v>16</v>
      </c>
      <c r="C147">
        <v>2306</v>
      </c>
      <c r="E147" t="s">
        <v>114</v>
      </c>
      <c r="F147" t="s">
        <v>17</v>
      </c>
      <c r="G147" t="s">
        <v>167</v>
      </c>
      <c r="H147" t="s">
        <v>14</v>
      </c>
      <c r="I147" t="s">
        <v>177</v>
      </c>
      <c r="K147" t="str">
        <f t="shared" si="4"/>
        <v>ED2306-TO_KB-Zendesk FY23-Q2 06 -JA_New_Batch-5</v>
      </c>
    </row>
    <row r="148" spans="1:12">
      <c r="A148">
        <v>147</v>
      </c>
      <c r="B148" t="s">
        <v>16</v>
      </c>
      <c r="C148">
        <v>2306</v>
      </c>
      <c r="E148" t="s">
        <v>114</v>
      </c>
      <c r="F148" t="s">
        <v>17</v>
      </c>
      <c r="G148" t="s">
        <v>167</v>
      </c>
      <c r="H148" t="s">
        <v>14</v>
      </c>
      <c r="I148" t="s">
        <v>178</v>
      </c>
      <c r="K148" t="str">
        <f t="shared" si="4"/>
        <v>ED2306-TO_KB-Zendesk FY23-Q2 06 -JA_New_Batch-6</v>
      </c>
    </row>
    <row r="149" spans="1:12">
      <c r="A149">
        <v>148</v>
      </c>
      <c r="B149" t="s">
        <v>16</v>
      </c>
      <c r="C149">
        <v>2306</v>
      </c>
      <c r="E149" t="s">
        <v>114</v>
      </c>
      <c r="F149" t="s">
        <v>17</v>
      </c>
      <c r="G149" t="s">
        <v>179</v>
      </c>
      <c r="H149" t="s">
        <v>14</v>
      </c>
      <c r="I149" t="s">
        <v>180</v>
      </c>
      <c r="K149" t="str">
        <f t="shared" si="4"/>
        <v>ED2306-TO_KB-RFC-KB-JP Common Troubleshooting Practices for Custom Apps-JA_New</v>
      </c>
    </row>
    <row r="150" spans="1:12">
      <c r="A150">
        <v>149</v>
      </c>
      <c r="B150" t="s">
        <v>16</v>
      </c>
      <c r="C150">
        <v>2306</v>
      </c>
      <c r="E150" t="s">
        <v>114</v>
      </c>
      <c r="F150" t="s">
        <v>17</v>
      </c>
      <c r="G150" t="s">
        <v>181</v>
      </c>
      <c r="H150" t="s">
        <v>14</v>
      </c>
      <c r="I150" t="s">
        <v>180</v>
      </c>
      <c r="K150" t="str">
        <f t="shared" si="4"/>
        <v>ED2306-TO_KB-RFC-KB-JP Duplicating Dashboards (Save As)-JA_New</v>
      </c>
    </row>
    <row r="151" spans="1:12">
      <c r="A151">
        <v>150</v>
      </c>
      <c r="B151" t="s">
        <v>16</v>
      </c>
      <c r="C151">
        <v>2306</v>
      </c>
      <c r="E151" t="s">
        <v>114</v>
      </c>
      <c r="F151" t="s">
        <v>137</v>
      </c>
      <c r="G151" t="s">
        <v>182</v>
      </c>
      <c r="H151" t="s">
        <v>14</v>
      </c>
      <c r="K151" t="str">
        <f t="shared" si="4"/>
        <v>ED2306-TO_Education-March 2022 Release Update-JA</v>
      </c>
      <c r="L151" t="s">
        <v>183</v>
      </c>
    </row>
    <row r="152" spans="1:12">
      <c r="A152">
        <v>151</v>
      </c>
      <c r="B152" t="s">
        <v>16</v>
      </c>
      <c r="C152">
        <v>2306</v>
      </c>
      <c r="E152" t="s">
        <v>152</v>
      </c>
      <c r="F152" t="s">
        <v>17</v>
      </c>
      <c r="G152" t="s">
        <v>184</v>
      </c>
      <c r="H152" t="s">
        <v>160</v>
      </c>
      <c r="I152" t="s">
        <v>155</v>
      </c>
      <c r="K152" t="str">
        <f t="shared" si="4"/>
        <v>ED2306-MH_KB-RFC-KB-JP Using the Domo Excel Plugin-JA_Bugfix</v>
      </c>
    </row>
    <row r="153" spans="1:12">
      <c r="A153">
        <v>152</v>
      </c>
      <c r="B153" t="s">
        <v>16</v>
      </c>
      <c r="C153">
        <v>2306</v>
      </c>
      <c r="E153" t="s">
        <v>114</v>
      </c>
      <c r="F153" t="s">
        <v>17</v>
      </c>
      <c r="G153" t="s">
        <v>185</v>
      </c>
      <c r="H153" t="s">
        <v>160</v>
      </c>
      <c r="I153" t="s">
        <v>157</v>
      </c>
      <c r="K153" t="str">
        <f t="shared" si="4"/>
        <v>ED2306-TO_KB-RFC-KB-JP Managing User Accounts for Connectors-JA_Update</v>
      </c>
    </row>
    <row r="154" spans="1:12">
      <c r="A154">
        <v>153</v>
      </c>
      <c r="B154" t="s">
        <v>186</v>
      </c>
      <c r="C154">
        <v>2306</v>
      </c>
      <c r="E154" t="s">
        <v>114</v>
      </c>
      <c r="F154" t="s">
        <v>62</v>
      </c>
      <c r="G154" t="s">
        <v>187</v>
      </c>
      <c r="H154" t="s">
        <v>14</v>
      </c>
      <c r="K154" t="str">
        <f t="shared" si="4"/>
        <v>SC2306-TO_Seismic-Attack and Penetration Test-JA</v>
      </c>
    </row>
    <row r="155" spans="1:12">
      <c r="A155">
        <v>154</v>
      </c>
      <c r="B155" t="s">
        <v>16</v>
      </c>
      <c r="C155">
        <v>2306</v>
      </c>
      <c r="E155" t="s">
        <v>152</v>
      </c>
      <c r="F155" t="s">
        <v>40</v>
      </c>
      <c r="G155" t="s">
        <v>188</v>
      </c>
      <c r="H155" t="s">
        <v>14</v>
      </c>
      <c r="I155" t="s">
        <v>155</v>
      </c>
      <c r="K155" t="str">
        <f t="shared" si="4"/>
        <v>ED2306-MH_App-Domo certification courses issues reported by Rakuten-JA_Bugfix</v>
      </c>
    </row>
    <row r="156" spans="1:12">
      <c r="A156">
        <v>155</v>
      </c>
      <c r="B156" t="s">
        <v>16</v>
      </c>
      <c r="C156">
        <v>2306</v>
      </c>
      <c r="E156" t="s">
        <v>114</v>
      </c>
      <c r="F156" t="s">
        <v>40</v>
      </c>
      <c r="G156" t="s">
        <v>189</v>
      </c>
      <c r="H156" t="s">
        <v>14</v>
      </c>
      <c r="I156" t="s">
        <v>157</v>
      </c>
      <c r="K156" t="str">
        <f t="shared" si="4"/>
        <v>ED2306-TO_App-Using MySQL DataFlows in Domo-JA_Update</v>
      </c>
    </row>
    <row r="157" spans="1:12">
      <c r="A157">
        <v>156</v>
      </c>
      <c r="B157" t="s">
        <v>42</v>
      </c>
      <c r="C157">
        <v>2306</v>
      </c>
      <c r="E157" t="s">
        <v>114</v>
      </c>
      <c r="F157" t="s">
        <v>190</v>
      </c>
      <c r="G157" t="s">
        <v>191</v>
      </c>
      <c r="H157" t="s">
        <v>192</v>
      </c>
      <c r="K157" t="str">
        <f t="shared" si="4"/>
        <v>CS2306-TO_PPT-DomoTraining_forTMG.pptx-EN</v>
      </c>
    </row>
    <row r="158" spans="1:12">
      <c r="A158">
        <v>157</v>
      </c>
      <c r="B158" t="s">
        <v>16</v>
      </c>
      <c r="C158">
        <v>2306</v>
      </c>
      <c r="E158" t="s">
        <v>114</v>
      </c>
      <c r="F158" t="s">
        <v>17</v>
      </c>
      <c r="G158" s="4" t="s">
        <v>193</v>
      </c>
      <c r="H158" t="s">
        <v>14</v>
      </c>
      <c r="I158" t="s">
        <v>157</v>
      </c>
      <c r="K158" t="str">
        <f t="shared" si="4"/>
        <v>ED2306-TO_KB-RFC-KB-JP HTML Table Connector-JA_Update</v>
      </c>
    </row>
    <row r="159" spans="1:12">
      <c r="A159">
        <v>158</v>
      </c>
      <c r="B159" t="s">
        <v>16</v>
      </c>
      <c r="C159">
        <v>2306</v>
      </c>
      <c r="E159" t="s">
        <v>114</v>
      </c>
      <c r="F159" t="s">
        <v>17</v>
      </c>
      <c r="G159" s="4" t="s">
        <v>194</v>
      </c>
      <c r="H159" t="s">
        <v>14</v>
      </c>
      <c r="I159" t="s">
        <v>157</v>
      </c>
      <c r="K159" t="str">
        <f t="shared" si="4"/>
        <v>ED2306-TO_KB-RFC-KB-JP DataSet via Email Connector-JA_Update</v>
      </c>
    </row>
    <row r="160" spans="1:12">
      <c r="A160">
        <v>159</v>
      </c>
      <c r="B160" t="s">
        <v>16</v>
      </c>
      <c r="C160">
        <v>2306</v>
      </c>
      <c r="E160" t="s">
        <v>114</v>
      </c>
      <c r="F160" t="s">
        <v>17</v>
      </c>
      <c r="G160" s="4" t="s">
        <v>195</v>
      </c>
      <c r="H160" t="s">
        <v>14</v>
      </c>
      <c r="K160" t="str">
        <f t="shared" si="4"/>
        <v>ED2306-TO_KB-RFC-KB-JP Using a Fiscal Calendar-JA</v>
      </c>
    </row>
    <row r="161" spans="1:11">
      <c r="A161">
        <v>160</v>
      </c>
      <c r="B161" t="s">
        <v>16</v>
      </c>
      <c r="C161">
        <v>2307</v>
      </c>
      <c r="E161" t="s">
        <v>114</v>
      </c>
      <c r="F161" t="s">
        <v>50</v>
      </c>
      <c r="G161" t="s">
        <v>196</v>
      </c>
      <c r="H161" t="s">
        <v>14</v>
      </c>
      <c r="K161" t="str">
        <f t="shared" si="4"/>
        <v>ED2307-TO_Movie-Video tutorial - product feedback in Dojo-JA</v>
      </c>
    </row>
    <row r="162" spans="1:11">
      <c r="A162">
        <v>161</v>
      </c>
      <c r="B162" t="s">
        <v>16</v>
      </c>
      <c r="C162">
        <v>2307</v>
      </c>
      <c r="E162" t="s">
        <v>114</v>
      </c>
      <c r="F162" t="s">
        <v>17</v>
      </c>
      <c r="G162" t="s">
        <v>197</v>
      </c>
      <c r="H162" t="s">
        <v>14</v>
      </c>
      <c r="I162" t="s">
        <v>157</v>
      </c>
      <c r="K162" t="str">
        <f t="shared" si="4"/>
        <v>ED2307-TO_KB-FC-KB-JP Enabling SSO with Azure Active Directory-JA_Update</v>
      </c>
    </row>
    <row r="163" spans="1:11">
      <c r="A163">
        <v>162</v>
      </c>
      <c r="B163" t="s">
        <v>16</v>
      </c>
      <c r="C163">
        <v>2307</v>
      </c>
      <c r="E163" t="s">
        <v>152</v>
      </c>
      <c r="F163" t="s">
        <v>17</v>
      </c>
      <c r="G163" t="s">
        <v>198</v>
      </c>
      <c r="H163" t="s">
        <v>14</v>
      </c>
      <c r="K163" t="str">
        <f t="shared" si="4"/>
        <v>ED2307-MH_KB-Plugins for Sharing Domo Content-JA</v>
      </c>
    </row>
    <row r="164" spans="1:11">
      <c r="A164">
        <v>163</v>
      </c>
      <c r="B164" t="s">
        <v>16</v>
      </c>
      <c r="C164">
        <v>2307</v>
      </c>
      <c r="E164" t="s">
        <v>152</v>
      </c>
      <c r="F164" t="s">
        <v>199</v>
      </c>
      <c r="G164" t="s">
        <v>200</v>
      </c>
      <c r="H164" t="s">
        <v>14</v>
      </c>
      <c r="K164" t="str">
        <f t="shared" si="4"/>
        <v>ED2307-MH_WP-NDA-JA</v>
      </c>
    </row>
    <row r="165" spans="1:11">
      <c r="A165">
        <v>164</v>
      </c>
      <c r="B165" t="s">
        <v>16</v>
      </c>
      <c r="C165">
        <v>2307</v>
      </c>
      <c r="E165" t="s">
        <v>114</v>
      </c>
      <c r="F165" t="s">
        <v>17</v>
      </c>
      <c r="G165" s="4" t="s">
        <v>201</v>
      </c>
      <c r="H165" t="s">
        <v>14</v>
      </c>
      <c r="I165" t="s">
        <v>157</v>
      </c>
      <c r="K165" t="str">
        <f t="shared" si="4"/>
        <v>ED2307-TO_KB-RFC-KB-JP Domo Governance Datasets Connector-JA_Update</v>
      </c>
    </row>
    <row r="166" spans="1:11">
      <c r="A166">
        <v>165</v>
      </c>
      <c r="B166" t="s">
        <v>16</v>
      </c>
      <c r="C166">
        <v>2307</v>
      </c>
      <c r="E166" t="s">
        <v>114</v>
      </c>
      <c r="F166" t="s">
        <v>17</v>
      </c>
      <c r="G166" s="4" t="s">
        <v>202</v>
      </c>
      <c r="H166" t="s">
        <v>14</v>
      </c>
      <c r="I166" t="s">
        <v>157</v>
      </c>
      <c r="K166" t="str">
        <f t="shared" si="4"/>
        <v>ED2307-TO_KB-RFC-KB-JP Adding a Doc Card to Domo-JA_Update</v>
      </c>
    </row>
    <row r="167" spans="1:11">
      <c r="A167">
        <v>166</v>
      </c>
      <c r="B167" t="s">
        <v>16</v>
      </c>
      <c r="C167">
        <v>2307</v>
      </c>
      <c r="E167" t="s">
        <v>114</v>
      </c>
      <c r="F167" t="s">
        <v>17</v>
      </c>
      <c r="G167" s="4" t="s">
        <v>203</v>
      </c>
      <c r="H167" t="s">
        <v>14</v>
      </c>
      <c r="I167" t="s">
        <v>157</v>
      </c>
      <c r="K167" t="str">
        <f t="shared" si="4"/>
        <v>ED2307-TO_KB-RFC-KB-JP Instagram Business Connector-JA_Update</v>
      </c>
    </row>
    <row r="168" spans="1:11">
      <c r="A168">
        <v>167</v>
      </c>
      <c r="B168" t="s">
        <v>16</v>
      </c>
      <c r="C168">
        <v>2307</v>
      </c>
      <c r="E168" t="s">
        <v>114</v>
      </c>
      <c r="F168" t="s">
        <v>17</v>
      </c>
      <c r="G168" t="s">
        <v>204</v>
      </c>
      <c r="H168" t="s">
        <v>14</v>
      </c>
      <c r="I168" t="s">
        <v>173</v>
      </c>
      <c r="K168" t="str">
        <f t="shared" si="4"/>
        <v>ED2307-TO_KB-Zendesk FY23-Q2 07-JA_New_Batch-1</v>
      </c>
    </row>
    <row r="169" spans="1:11">
      <c r="A169">
        <v>168</v>
      </c>
      <c r="B169" t="s">
        <v>16</v>
      </c>
      <c r="C169">
        <v>2307</v>
      </c>
      <c r="E169" t="s">
        <v>114</v>
      </c>
      <c r="F169" t="s">
        <v>17</v>
      </c>
      <c r="G169" t="s">
        <v>204</v>
      </c>
      <c r="H169" t="s">
        <v>14</v>
      </c>
      <c r="I169" t="s">
        <v>174</v>
      </c>
      <c r="K169" t="str">
        <f t="shared" si="4"/>
        <v>ED2307-TO_KB-Zendesk FY23-Q2 07-JA_New_Batch-2</v>
      </c>
    </row>
    <row r="170" spans="1:11">
      <c r="A170">
        <v>169</v>
      </c>
      <c r="B170" t="s">
        <v>16</v>
      </c>
      <c r="C170">
        <v>2307</v>
      </c>
      <c r="E170" t="s">
        <v>114</v>
      </c>
      <c r="F170" t="s">
        <v>17</v>
      </c>
      <c r="G170" t="s">
        <v>204</v>
      </c>
      <c r="H170" t="s">
        <v>14</v>
      </c>
      <c r="I170" t="s">
        <v>175</v>
      </c>
      <c r="K170" t="str">
        <f t="shared" si="4"/>
        <v>ED2307-TO_KB-Zendesk FY23-Q2 07-JA_New_Batch-3</v>
      </c>
    </row>
    <row r="171" spans="1:11">
      <c r="A171">
        <v>170</v>
      </c>
      <c r="B171" t="s">
        <v>16</v>
      </c>
      <c r="C171">
        <v>2307</v>
      </c>
      <c r="E171" t="s">
        <v>114</v>
      </c>
      <c r="F171" t="s">
        <v>17</v>
      </c>
      <c r="G171" t="s">
        <v>205</v>
      </c>
      <c r="H171" t="s">
        <v>14</v>
      </c>
      <c r="I171" t="s">
        <v>157</v>
      </c>
      <c r="K171" t="str">
        <f t="shared" si="4"/>
        <v>ED2307-TO_KB-RFC-KB-JP Sharing a DataSet-JA_Update</v>
      </c>
    </row>
    <row r="172" spans="1:11">
      <c r="A172">
        <v>171</v>
      </c>
      <c r="B172" t="s">
        <v>16</v>
      </c>
      <c r="C172">
        <v>2307</v>
      </c>
      <c r="E172" t="s">
        <v>114</v>
      </c>
      <c r="F172" t="s">
        <v>17</v>
      </c>
      <c r="G172" t="s">
        <v>206</v>
      </c>
      <c r="H172" t="s">
        <v>14</v>
      </c>
      <c r="I172" t="s">
        <v>180</v>
      </c>
      <c r="K172" t="str">
        <f t="shared" si="4"/>
        <v>ED2307-TO_KB-RFC-KB-JP Yahoo! JAPAN Display Ad Network (YDN)-JA_New</v>
      </c>
    </row>
    <row r="173" spans="1:11">
      <c r="A173">
        <v>172</v>
      </c>
      <c r="B173" t="s">
        <v>16</v>
      </c>
      <c r="C173">
        <v>2307</v>
      </c>
      <c r="E173" t="s">
        <v>152</v>
      </c>
      <c r="F173" t="s">
        <v>17</v>
      </c>
      <c r="G173" t="s">
        <v>207</v>
      </c>
      <c r="H173" t="s">
        <v>14</v>
      </c>
      <c r="I173" t="s">
        <v>157</v>
      </c>
      <c r="K173" t="str">
        <f t="shared" si="4"/>
        <v>ED2307-MH_KB-RFC-KB-JP Jupyter Workspaces-JA_Update</v>
      </c>
    </row>
    <row r="174" spans="1:11">
      <c r="A174">
        <v>173</v>
      </c>
      <c r="B174" t="s">
        <v>16</v>
      </c>
      <c r="C174">
        <v>2307</v>
      </c>
      <c r="E174" t="s">
        <v>152</v>
      </c>
      <c r="F174" t="s">
        <v>40</v>
      </c>
      <c r="G174" t="s">
        <v>208</v>
      </c>
      <c r="H174" t="s">
        <v>14</v>
      </c>
      <c r="I174" t="s">
        <v>155</v>
      </c>
      <c r="K174" t="str">
        <f t="shared" si="4"/>
        <v>ED2307-MH_App-Using Drill Paths and Building Specific Chart Types-JA_Bugfix</v>
      </c>
    </row>
    <row r="175" spans="1:11">
      <c r="A175">
        <v>174</v>
      </c>
      <c r="B175" t="s">
        <v>16</v>
      </c>
      <c r="C175">
        <v>2307</v>
      </c>
      <c r="E175" t="s">
        <v>114</v>
      </c>
      <c r="F175" t="s">
        <v>40</v>
      </c>
      <c r="G175" t="s">
        <v>209</v>
      </c>
      <c r="H175" t="s">
        <v>14</v>
      </c>
      <c r="I175" t="s">
        <v>157</v>
      </c>
      <c r="K175" t="str">
        <f t="shared" si="4"/>
        <v>ED2307-TO_App-Governing Your Data Ecosystem-JA_Update</v>
      </c>
    </row>
    <row r="176" spans="1:11">
      <c r="A176">
        <v>175</v>
      </c>
      <c r="B176" t="s">
        <v>16</v>
      </c>
      <c r="C176">
        <v>2307</v>
      </c>
      <c r="E176" t="s">
        <v>114</v>
      </c>
      <c r="F176" t="s">
        <v>17</v>
      </c>
      <c r="G176" t="s">
        <v>204</v>
      </c>
      <c r="H176" t="s">
        <v>14</v>
      </c>
      <c r="I176" t="s">
        <v>176</v>
      </c>
      <c r="K176" t="str">
        <f t="shared" si="4"/>
        <v>ED2307-TO_KB-Zendesk FY23-Q2 07-JA_New_Batch-4</v>
      </c>
    </row>
    <row r="177" spans="1:11">
      <c r="A177">
        <v>176</v>
      </c>
      <c r="B177" t="s">
        <v>16</v>
      </c>
      <c r="C177">
        <v>2307</v>
      </c>
      <c r="E177" t="s">
        <v>114</v>
      </c>
      <c r="F177" t="s">
        <v>17</v>
      </c>
      <c r="G177" t="s">
        <v>204</v>
      </c>
      <c r="H177" t="s">
        <v>14</v>
      </c>
      <c r="I177" t="s">
        <v>168</v>
      </c>
      <c r="K177" t="str">
        <f t="shared" si="4"/>
        <v>ED2307-TO_KB-Zendesk FY23-Q2 07-JA_Update_Batch-1</v>
      </c>
    </row>
    <row r="178" spans="1:11">
      <c r="A178">
        <v>177</v>
      </c>
      <c r="B178" t="s">
        <v>16</v>
      </c>
      <c r="C178">
        <v>2307</v>
      </c>
      <c r="E178" t="s">
        <v>114</v>
      </c>
      <c r="F178" t="s">
        <v>17</v>
      </c>
      <c r="G178" t="s">
        <v>204</v>
      </c>
      <c r="H178" t="s">
        <v>14</v>
      </c>
      <c r="I178" t="s">
        <v>169</v>
      </c>
      <c r="K178" t="str">
        <f t="shared" si="4"/>
        <v>ED2307-TO_KB-Zendesk FY23-Q2 07-JA_Update_Batch-2</v>
      </c>
    </row>
    <row r="179" spans="1:11">
      <c r="A179">
        <v>178</v>
      </c>
      <c r="B179" t="s">
        <v>16</v>
      </c>
      <c r="C179">
        <v>2307</v>
      </c>
      <c r="E179" t="s">
        <v>152</v>
      </c>
      <c r="F179" t="s">
        <v>17</v>
      </c>
      <c r="G179" t="s">
        <v>210</v>
      </c>
      <c r="H179" t="s">
        <v>14</v>
      </c>
      <c r="I179" t="s">
        <v>155</v>
      </c>
      <c r="K179" t="str">
        <f t="shared" si="4"/>
        <v>ED2307-MH_KB-RFC-KB-JP Adobe Analytics v2 OAuth Partition Connector-JA_Bugfix</v>
      </c>
    </row>
    <row r="180" spans="1:11">
      <c r="A180">
        <v>179</v>
      </c>
      <c r="B180" t="s">
        <v>16</v>
      </c>
      <c r="C180">
        <v>2307</v>
      </c>
      <c r="E180" t="s">
        <v>114</v>
      </c>
      <c r="F180" t="s">
        <v>40</v>
      </c>
      <c r="G180" t="s">
        <v>211</v>
      </c>
      <c r="H180" t="s">
        <v>14</v>
      </c>
      <c r="K180" t="str">
        <f t="shared" si="4"/>
        <v>ED2307-TO_App-July 2022 Release Update-CB-JA</v>
      </c>
    </row>
    <row r="181" spans="1:11">
      <c r="A181">
        <v>180</v>
      </c>
      <c r="B181" t="s">
        <v>52</v>
      </c>
      <c r="C181">
        <v>2307</v>
      </c>
      <c r="E181" t="s">
        <v>114</v>
      </c>
      <c r="F181" t="s">
        <v>50</v>
      </c>
      <c r="G181" t="s">
        <v>212</v>
      </c>
      <c r="H181" t="s">
        <v>14</v>
      </c>
      <c r="K181" t="str">
        <f t="shared" si="4"/>
        <v>US2307-TO_Movie-Domo R Plugin &amp; Domo Python Movies-JA</v>
      </c>
    </row>
    <row r="182" spans="1:11">
      <c r="A182">
        <v>181</v>
      </c>
      <c r="B182" t="s">
        <v>16</v>
      </c>
      <c r="C182">
        <v>2307</v>
      </c>
      <c r="E182" t="s">
        <v>114</v>
      </c>
      <c r="F182" t="s">
        <v>17</v>
      </c>
      <c r="G182" t="s">
        <v>204</v>
      </c>
      <c r="H182" t="s">
        <v>14</v>
      </c>
      <c r="I182" t="s">
        <v>213</v>
      </c>
      <c r="K182" t="str">
        <f t="shared" si="4"/>
        <v>ED2307-TO_KB-Zendesk FY23-Q2 07-JA_Update_Batch-3</v>
      </c>
    </row>
    <row r="183" spans="1:11">
      <c r="A183">
        <v>182</v>
      </c>
      <c r="B183" t="s">
        <v>16</v>
      </c>
      <c r="C183">
        <v>2308</v>
      </c>
      <c r="E183" t="s">
        <v>114</v>
      </c>
      <c r="F183" t="s">
        <v>17</v>
      </c>
      <c r="G183" t="s">
        <v>214</v>
      </c>
      <c r="H183" t="s">
        <v>14</v>
      </c>
      <c r="I183" t="s">
        <v>215</v>
      </c>
      <c r="K183" t="str">
        <f t="shared" si="4"/>
        <v>ED2308-TO_KB-Zendesk FY23-Q3 08-JA_Update_Batch-4</v>
      </c>
    </row>
    <row r="184" spans="1:11">
      <c r="A184">
        <v>183</v>
      </c>
      <c r="B184" t="s">
        <v>16</v>
      </c>
      <c r="C184">
        <v>2308</v>
      </c>
      <c r="E184" t="s">
        <v>114</v>
      </c>
      <c r="F184" t="s">
        <v>17</v>
      </c>
      <c r="G184" t="s">
        <v>214</v>
      </c>
      <c r="H184" t="s">
        <v>14</v>
      </c>
      <c r="I184" t="s">
        <v>216</v>
      </c>
      <c r="K184" t="str">
        <f t="shared" si="4"/>
        <v>ED2308-TO_KB-Zendesk FY23-Q3 08-JA_Update_Batch-5</v>
      </c>
    </row>
    <row r="185" spans="1:11">
      <c r="A185">
        <v>184</v>
      </c>
      <c r="B185" t="s">
        <v>16</v>
      </c>
      <c r="C185">
        <v>2308</v>
      </c>
      <c r="E185" t="s">
        <v>114</v>
      </c>
      <c r="F185" t="s">
        <v>17</v>
      </c>
      <c r="G185" t="s">
        <v>217</v>
      </c>
      <c r="H185" t="s">
        <v>14</v>
      </c>
      <c r="I185" t="s">
        <v>157</v>
      </c>
      <c r="K185" t="str">
        <f t="shared" si="4"/>
        <v>ED2308-TO_KB-RFC-KB-JP Admin Settings Layout-JA_Update</v>
      </c>
    </row>
    <row r="186" spans="1:11">
      <c r="A186">
        <v>185</v>
      </c>
      <c r="B186" t="s">
        <v>16</v>
      </c>
      <c r="C186">
        <v>2308</v>
      </c>
      <c r="E186" t="s">
        <v>114</v>
      </c>
      <c r="F186" t="s">
        <v>17</v>
      </c>
      <c r="G186" t="s">
        <v>218</v>
      </c>
      <c r="H186" t="s">
        <v>14</v>
      </c>
      <c r="I186" t="s">
        <v>157</v>
      </c>
      <c r="K186" t="str">
        <f t="shared" si="4"/>
        <v>ED2308-TO_KB-RFC-KB-JP Governance Toolkit PDP Automation-JA_Update</v>
      </c>
    </row>
    <row r="187" spans="1:11">
      <c r="A187">
        <v>186</v>
      </c>
      <c r="B187" t="s">
        <v>16</v>
      </c>
      <c r="C187">
        <v>2308</v>
      </c>
      <c r="E187" t="s">
        <v>152</v>
      </c>
      <c r="F187" t="s">
        <v>17</v>
      </c>
      <c r="G187" t="s">
        <v>219</v>
      </c>
      <c r="H187" t="s">
        <v>14</v>
      </c>
      <c r="I187" t="s">
        <v>157</v>
      </c>
      <c r="K187" t="str">
        <f t="shared" si="4"/>
        <v>ED2308-MH_KB-Beast Mode FIXED Functions-JA_Update</v>
      </c>
    </row>
    <row r="188" spans="1:11">
      <c r="A188">
        <v>187</v>
      </c>
      <c r="B188" t="s">
        <v>16</v>
      </c>
      <c r="C188">
        <v>2308</v>
      </c>
      <c r="E188" t="s">
        <v>114</v>
      </c>
      <c r="F188" t="s">
        <v>17</v>
      </c>
      <c r="G188" t="s">
        <v>220</v>
      </c>
      <c r="H188" t="s">
        <v>14</v>
      </c>
      <c r="I188" t="s">
        <v>157</v>
      </c>
      <c r="K188" t="str">
        <f t="shared" si="4"/>
        <v>ED2308-TO_KB-Edit the Mobile Layout -JA_Update</v>
      </c>
    </row>
    <row r="189" spans="1:11">
      <c r="A189">
        <v>188</v>
      </c>
      <c r="B189" t="s">
        <v>221</v>
      </c>
      <c r="C189">
        <v>2308</v>
      </c>
      <c r="E189" t="s">
        <v>114</v>
      </c>
      <c r="F189" t="s">
        <v>62</v>
      </c>
      <c r="G189" t="s">
        <v>222</v>
      </c>
      <c r="H189" t="s">
        <v>14</v>
      </c>
      <c r="K189" t="str">
        <f t="shared" ref="K189:K232" si="5">B189&amp;C189&amp;"-"&amp;E189&amp;"_"&amp;F189&amp;"-"&amp;G189&amp;"-"&amp;H189&amp;I189</f>
        <v>PS2308-TO_Seismic-Competitive Guide-JA</v>
      </c>
    </row>
    <row r="190" spans="1:11">
      <c r="A190">
        <v>189</v>
      </c>
      <c r="B190" t="s">
        <v>42</v>
      </c>
      <c r="C190">
        <v>2308</v>
      </c>
      <c r="E190" t="s">
        <v>114</v>
      </c>
      <c r="F190" t="s">
        <v>190</v>
      </c>
      <c r="G190" t="s">
        <v>223</v>
      </c>
      <c r="H190" t="s">
        <v>14</v>
      </c>
      <c r="K190" t="str">
        <f t="shared" si="5"/>
        <v>CS2308-TO_PPT-Dashboard Best Practices-JA</v>
      </c>
    </row>
    <row r="191" spans="1:11">
      <c r="A191">
        <v>190</v>
      </c>
      <c r="B191" t="s">
        <v>16</v>
      </c>
      <c r="C191">
        <v>2308</v>
      </c>
      <c r="E191" t="s">
        <v>152</v>
      </c>
      <c r="F191" t="s">
        <v>17</v>
      </c>
      <c r="G191" t="s">
        <v>224</v>
      </c>
      <c r="H191" t="s">
        <v>14</v>
      </c>
      <c r="I191" t="s">
        <v>157</v>
      </c>
      <c r="K191" t="str">
        <f t="shared" si="5"/>
        <v>ED2308-MH_KB-RFC-KB-JP Magic ETL Tiles Scripting-JA_Update</v>
      </c>
    </row>
    <row r="192" spans="1:11">
      <c r="A192">
        <v>191</v>
      </c>
      <c r="B192" t="s">
        <v>16</v>
      </c>
      <c r="C192">
        <v>2309</v>
      </c>
      <c r="E192" t="s">
        <v>114</v>
      </c>
      <c r="F192" t="s">
        <v>17</v>
      </c>
      <c r="G192" s="9" t="s">
        <v>225</v>
      </c>
      <c r="H192" t="s">
        <v>14</v>
      </c>
      <c r="I192" t="s">
        <v>180</v>
      </c>
      <c r="K192" t="str">
        <f t="shared" si="5"/>
        <v>ED2309-TO_KB-RFC-KB-JP Governance Toolkit User Management-JA_New</v>
      </c>
    </row>
    <row r="193" spans="1:11">
      <c r="A193">
        <v>192</v>
      </c>
      <c r="B193" t="s">
        <v>16</v>
      </c>
      <c r="C193">
        <v>2308</v>
      </c>
      <c r="E193" t="s">
        <v>152</v>
      </c>
      <c r="F193" t="s">
        <v>17</v>
      </c>
      <c r="G193" s="9" t="s">
        <v>226</v>
      </c>
      <c r="H193" t="s">
        <v>14</v>
      </c>
      <c r="I193" t="s">
        <v>180</v>
      </c>
      <c r="K193" t="str">
        <f t="shared" si="5"/>
        <v>ED2308-MH_KB-RFC-KB-JP Generating a List of Users-JA_New</v>
      </c>
    </row>
    <row r="194" spans="1:11">
      <c r="A194">
        <v>193</v>
      </c>
      <c r="B194" t="s">
        <v>16</v>
      </c>
      <c r="C194">
        <v>2309</v>
      </c>
      <c r="E194" t="s">
        <v>114</v>
      </c>
      <c r="F194" t="s">
        <v>17</v>
      </c>
      <c r="G194" s="9" t="s">
        <v>194</v>
      </c>
      <c r="H194" t="s">
        <v>14</v>
      </c>
      <c r="I194" t="s">
        <v>157</v>
      </c>
      <c r="K194" t="str">
        <f t="shared" si="5"/>
        <v>ED2309-TO_KB-RFC-KB-JP DataSet via Email Connector-JA_Update</v>
      </c>
    </row>
    <row r="195" spans="1:11">
      <c r="A195">
        <v>194</v>
      </c>
      <c r="B195" t="s">
        <v>16</v>
      </c>
      <c r="C195">
        <v>2308</v>
      </c>
      <c r="E195" t="s">
        <v>152</v>
      </c>
      <c r="F195" t="s">
        <v>17</v>
      </c>
      <c r="G195" t="s">
        <v>227</v>
      </c>
      <c r="H195" t="s">
        <v>14</v>
      </c>
      <c r="I195" t="s">
        <v>228</v>
      </c>
      <c r="K195" t="str">
        <f t="shared" si="5"/>
        <v>ED2308-MH_KB-Beast Mode FIXED Functions-JA_Update_2</v>
      </c>
    </row>
    <row r="196" spans="1:11">
      <c r="A196">
        <v>195</v>
      </c>
      <c r="B196" t="s">
        <v>16</v>
      </c>
      <c r="C196">
        <v>2309</v>
      </c>
      <c r="E196" t="s">
        <v>114</v>
      </c>
      <c r="F196" t="s">
        <v>17</v>
      </c>
      <c r="G196" t="s">
        <v>229</v>
      </c>
      <c r="H196" t="s">
        <v>14</v>
      </c>
      <c r="I196" t="s">
        <v>157</v>
      </c>
      <c r="K196" t="str">
        <f t="shared" si="5"/>
        <v>ED2309-TO_KB-Setting Up Publication Groups-JA_Update</v>
      </c>
    </row>
    <row r="197" spans="1:11">
      <c r="A197">
        <v>196</v>
      </c>
      <c r="B197" t="s">
        <v>16</v>
      </c>
      <c r="C197">
        <v>2309</v>
      </c>
      <c r="E197" t="s">
        <v>114</v>
      </c>
      <c r="F197" t="s">
        <v>17</v>
      </c>
      <c r="G197" t="s">
        <v>230</v>
      </c>
      <c r="H197" t="s">
        <v>14</v>
      </c>
      <c r="I197" t="s">
        <v>157</v>
      </c>
      <c r="K197" t="str">
        <f t="shared" si="5"/>
        <v>ED2309-TO_KB-Community Built Connectors-JA_Update</v>
      </c>
    </row>
    <row r="198" spans="1:11">
      <c r="A198">
        <v>197</v>
      </c>
      <c r="B198" t="s">
        <v>16</v>
      </c>
      <c r="C198">
        <v>2308</v>
      </c>
      <c r="E198" t="s">
        <v>152</v>
      </c>
      <c r="F198" t="s">
        <v>40</v>
      </c>
      <c r="G198" t="s">
        <v>231</v>
      </c>
      <c r="H198" t="s">
        <v>14</v>
      </c>
      <c r="I198" t="s">
        <v>155</v>
      </c>
      <c r="K198" t="str">
        <f t="shared" si="5"/>
        <v>ED2308-MH_App-Domo certifications course applications -JA_Bugfix</v>
      </c>
    </row>
    <row r="199" spans="1:11">
      <c r="A199">
        <v>198</v>
      </c>
      <c r="B199" t="s">
        <v>16</v>
      </c>
      <c r="C199">
        <v>2309</v>
      </c>
      <c r="E199" t="s">
        <v>114</v>
      </c>
      <c r="F199" t="s">
        <v>17</v>
      </c>
      <c r="G199" t="s">
        <v>232</v>
      </c>
      <c r="H199" t="s">
        <v>14</v>
      </c>
      <c r="I199" t="s">
        <v>157</v>
      </c>
      <c r="K199" t="str">
        <f t="shared" si="5"/>
        <v>ED2309-TO_KB-RFC-KB-JP Google Drive Service Connector-JA_Update</v>
      </c>
    </row>
    <row r="200" spans="1:11">
      <c r="A200">
        <v>199</v>
      </c>
      <c r="B200" t="s">
        <v>16</v>
      </c>
      <c r="C200">
        <v>2309</v>
      </c>
      <c r="E200" t="s">
        <v>114</v>
      </c>
      <c r="F200" t="s">
        <v>17</v>
      </c>
      <c r="G200" t="s">
        <v>163</v>
      </c>
      <c r="H200" t="s">
        <v>14</v>
      </c>
      <c r="I200" t="s">
        <v>157</v>
      </c>
      <c r="K200" t="str">
        <f t="shared" si="5"/>
        <v>ED2309-TO_KB-RFC-KB-JP Table Chart-JA_Update</v>
      </c>
    </row>
    <row r="201" spans="1:11">
      <c r="A201">
        <v>200</v>
      </c>
      <c r="B201" t="s">
        <v>16</v>
      </c>
      <c r="C201">
        <v>2309</v>
      </c>
      <c r="E201" t="s">
        <v>114</v>
      </c>
      <c r="F201" t="s">
        <v>17</v>
      </c>
      <c r="G201" t="s">
        <v>233</v>
      </c>
      <c r="H201" t="s">
        <v>14</v>
      </c>
      <c r="I201" t="s">
        <v>157</v>
      </c>
      <c r="K201" t="str">
        <f t="shared" si="5"/>
        <v>ED2309-TO_KB-RFC-KB-JP Available Table-Type Charts-JA_Update</v>
      </c>
    </row>
    <row r="202" spans="1:11">
      <c r="A202">
        <v>201</v>
      </c>
      <c r="B202" t="s">
        <v>16</v>
      </c>
      <c r="C202">
        <v>2309</v>
      </c>
      <c r="E202" t="s">
        <v>152</v>
      </c>
      <c r="F202" t="s">
        <v>17</v>
      </c>
      <c r="G202" t="s">
        <v>234</v>
      </c>
      <c r="H202" t="s">
        <v>14</v>
      </c>
      <c r="I202" t="s">
        <v>157</v>
      </c>
      <c r="K202" t="str">
        <f t="shared" si="5"/>
        <v>ED2309-MH_KB-RFC-KB-JP Current Release Notes-JA_Update</v>
      </c>
    </row>
    <row r="203" spans="1:11">
      <c r="A203">
        <v>202</v>
      </c>
      <c r="B203" t="s">
        <v>16</v>
      </c>
      <c r="C203">
        <v>2309</v>
      </c>
      <c r="E203" t="s">
        <v>152</v>
      </c>
      <c r="F203" t="s">
        <v>17</v>
      </c>
      <c r="G203" t="s">
        <v>235</v>
      </c>
      <c r="H203" t="s">
        <v>14</v>
      </c>
      <c r="I203" t="s">
        <v>155</v>
      </c>
      <c r="K203" t="str">
        <f t="shared" si="5"/>
        <v>ED2309-MH_KB-KB Bugs reporeted by Hiro-JA_Bugfix</v>
      </c>
    </row>
    <row r="204" spans="1:11">
      <c r="A204">
        <v>203</v>
      </c>
      <c r="B204" t="s">
        <v>16</v>
      </c>
      <c r="C204">
        <v>2309</v>
      </c>
      <c r="E204" t="s">
        <v>114</v>
      </c>
      <c r="F204" t="s">
        <v>17</v>
      </c>
      <c r="G204" t="s">
        <v>236</v>
      </c>
      <c r="H204" t="s">
        <v>14</v>
      </c>
      <c r="I204" t="s">
        <v>157</v>
      </c>
      <c r="K204" t="str">
        <f t="shared" si="5"/>
        <v>ED2309-TO_KB-Behavior Changes and Feature Updates in Magic ETL-JA_Update</v>
      </c>
    </row>
    <row r="205" spans="1:11">
      <c r="A205">
        <v>204</v>
      </c>
      <c r="B205" t="s">
        <v>16</v>
      </c>
      <c r="C205">
        <v>2308</v>
      </c>
      <c r="E205" t="s">
        <v>114</v>
      </c>
      <c r="F205" t="s">
        <v>17</v>
      </c>
      <c r="G205" t="s">
        <v>214</v>
      </c>
      <c r="H205" t="s">
        <v>14</v>
      </c>
      <c r="I205" t="s">
        <v>237</v>
      </c>
      <c r="K205" t="str">
        <f t="shared" si="5"/>
        <v>ED2308-TO_KB-Zendesk FY23-Q3 08-JA_Update_Batch-6</v>
      </c>
    </row>
    <row r="206" spans="1:11">
      <c r="A206">
        <v>205</v>
      </c>
      <c r="B206" t="s">
        <v>16</v>
      </c>
      <c r="C206">
        <v>2308</v>
      </c>
      <c r="E206" t="s">
        <v>114</v>
      </c>
      <c r="F206" t="s">
        <v>17</v>
      </c>
      <c r="G206" t="s">
        <v>214</v>
      </c>
      <c r="H206" t="s">
        <v>14</v>
      </c>
      <c r="I206" t="s">
        <v>238</v>
      </c>
      <c r="K206" t="str">
        <f t="shared" si="5"/>
        <v>ED2308-TO_KB-Zendesk FY23-Q3 08-JA_Update_Batch-7</v>
      </c>
    </row>
    <row r="207" spans="1:11" ht="18.600000000000001">
      <c r="A207">
        <v>206</v>
      </c>
      <c r="B207" t="s">
        <v>16</v>
      </c>
      <c r="C207">
        <v>2309</v>
      </c>
      <c r="E207" t="s">
        <v>114</v>
      </c>
      <c r="F207" t="s">
        <v>17</v>
      </c>
      <c r="G207" s="70" t="s">
        <v>239</v>
      </c>
      <c r="H207" t="s">
        <v>14</v>
      </c>
      <c r="I207" t="s">
        <v>157</v>
      </c>
      <c r="K207" t="str">
        <f t="shared" si="5"/>
        <v>ED2309-TO_KB-Requesting Access to an App-JA_Update</v>
      </c>
    </row>
    <row r="208" spans="1:11">
      <c r="A208">
        <v>207</v>
      </c>
      <c r="B208" t="s">
        <v>16</v>
      </c>
      <c r="C208">
        <v>2309</v>
      </c>
      <c r="E208" t="s">
        <v>114</v>
      </c>
      <c r="F208" t="s">
        <v>17</v>
      </c>
      <c r="G208" t="s">
        <v>214</v>
      </c>
      <c r="H208" t="s">
        <v>14</v>
      </c>
      <c r="I208" t="s">
        <v>240</v>
      </c>
      <c r="K208" t="str">
        <f t="shared" si="5"/>
        <v>ED2309-TO_KB-Zendesk FY23-Q3 08-JA_Update_Batch-8</v>
      </c>
    </row>
    <row r="209" spans="1:11">
      <c r="A209">
        <v>208</v>
      </c>
      <c r="B209" t="s">
        <v>16</v>
      </c>
      <c r="C209">
        <v>2308</v>
      </c>
      <c r="E209" t="s">
        <v>114</v>
      </c>
      <c r="F209" t="s">
        <v>17</v>
      </c>
      <c r="G209" t="s">
        <v>214</v>
      </c>
      <c r="H209" t="s">
        <v>14</v>
      </c>
      <c r="I209" t="s">
        <v>241</v>
      </c>
      <c r="K209" t="str">
        <f t="shared" si="5"/>
        <v>ED2308-TO_KB-Zendesk FY23-Q3 08-JA_Update_Batch-9</v>
      </c>
    </row>
    <row r="210" spans="1:11">
      <c r="A210">
        <v>209</v>
      </c>
      <c r="B210" t="s">
        <v>16</v>
      </c>
      <c r="C210">
        <v>2308</v>
      </c>
      <c r="E210" t="s">
        <v>114</v>
      </c>
      <c r="F210" t="s">
        <v>17</v>
      </c>
      <c r="G210" t="s">
        <v>214</v>
      </c>
      <c r="H210" t="s">
        <v>14</v>
      </c>
      <c r="I210" t="s">
        <v>242</v>
      </c>
      <c r="K210" t="str">
        <f t="shared" si="5"/>
        <v>ED2308-TO_KB-Zendesk FY23-Q3 08-JA_Update_Batch-10</v>
      </c>
    </row>
    <row r="211" spans="1:11">
      <c r="A211">
        <v>210</v>
      </c>
      <c r="B211" t="s">
        <v>16</v>
      </c>
      <c r="C211">
        <v>2308</v>
      </c>
      <c r="E211" t="s">
        <v>114</v>
      </c>
      <c r="F211" t="s">
        <v>17</v>
      </c>
      <c r="G211" t="s">
        <v>214</v>
      </c>
      <c r="H211" t="s">
        <v>14</v>
      </c>
      <c r="I211" t="s">
        <v>243</v>
      </c>
      <c r="K211" t="str">
        <f t="shared" si="5"/>
        <v>ED2308-TO_KB-Zendesk FY23-Q3 08-JA_Update_Batch-11</v>
      </c>
    </row>
    <row r="212" spans="1:11">
      <c r="A212">
        <v>211</v>
      </c>
      <c r="B212" t="s">
        <v>16</v>
      </c>
      <c r="C212">
        <v>2309</v>
      </c>
      <c r="E212" t="s">
        <v>114</v>
      </c>
      <c r="F212" t="s">
        <v>17</v>
      </c>
      <c r="G212" t="s">
        <v>214</v>
      </c>
      <c r="H212" t="s">
        <v>14</v>
      </c>
      <c r="I212" t="s">
        <v>244</v>
      </c>
      <c r="K212" t="str">
        <f t="shared" si="5"/>
        <v>ED2309-TO_KB-Zendesk FY23-Q3 08-JA_Update_Batch-12</v>
      </c>
    </row>
    <row r="213" spans="1:11">
      <c r="A213">
        <v>212</v>
      </c>
      <c r="B213" t="s">
        <v>16</v>
      </c>
      <c r="C213">
        <v>2309</v>
      </c>
      <c r="E213" t="s">
        <v>114</v>
      </c>
      <c r="F213" t="s">
        <v>40</v>
      </c>
      <c r="G213" t="s">
        <v>245</v>
      </c>
      <c r="H213" t="s">
        <v>14</v>
      </c>
      <c r="K213" t="str">
        <f t="shared" si="5"/>
        <v>ED2309-TO_App-July 2022 Release Update - Related apps-JA</v>
      </c>
    </row>
    <row r="214" spans="1:11">
      <c r="A214">
        <v>213</v>
      </c>
      <c r="B214" t="s">
        <v>16</v>
      </c>
      <c r="C214">
        <v>2309</v>
      </c>
      <c r="E214" t="s">
        <v>114</v>
      </c>
      <c r="F214" t="s">
        <v>17</v>
      </c>
      <c r="G214" t="s">
        <v>246</v>
      </c>
      <c r="H214" t="s">
        <v>14</v>
      </c>
      <c r="I214" t="s">
        <v>155</v>
      </c>
      <c r="K214" t="str">
        <f t="shared" si="5"/>
        <v>ED2309-TO_KB-Adding a Doc Card to Domo-JA_Bugfix</v>
      </c>
    </row>
    <row r="215" spans="1:11">
      <c r="A215">
        <v>214</v>
      </c>
      <c r="B215" t="s">
        <v>16</v>
      </c>
      <c r="C215">
        <v>2309</v>
      </c>
      <c r="E215" t="s">
        <v>114</v>
      </c>
      <c r="F215" t="s">
        <v>247</v>
      </c>
      <c r="G215" t="s">
        <v>248</v>
      </c>
      <c r="H215" t="s">
        <v>14</v>
      </c>
      <c r="K215" t="str">
        <f t="shared" si="5"/>
        <v>ED2309-TO_KB-Support-KCS RFC-KB-JP Scheduling Reports-JA</v>
      </c>
    </row>
    <row r="216" spans="1:11">
      <c r="A216">
        <v>215</v>
      </c>
      <c r="B216" t="s">
        <v>16</v>
      </c>
      <c r="C216">
        <v>2309</v>
      </c>
      <c r="E216" t="s">
        <v>114</v>
      </c>
      <c r="F216" t="s">
        <v>247</v>
      </c>
      <c r="G216" t="s">
        <v>249</v>
      </c>
      <c r="H216" t="s">
        <v>14</v>
      </c>
      <c r="K216" t="str">
        <f t="shared" si="5"/>
        <v>ED2309-TO_KB-Support-KCS RFC-KB-JP Creating and Managing User Groups-JA</v>
      </c>
    </row>
    <row r="217" spans="1:11">
      <c r="A217">
        <v>216</v>
      </c>
      <c r="B217" t="s">
        <v>16</v>
      </c>
      <c r="C217">
        <v>2309</v>
      </c>
      <c r="E217" t="s">
        <v>114</v>
      </c>
      <c r="F217" t="s">
        <v>247</v>
      </c>
      <c r="G217" t="s">
        <v>250</v>
      </c>
      <c r="H217" t="s">
        <v>14</v>
      </c>
      <c r="K217" t="str">
        <f t="shared" si="5"/>
        <v>ED2309-TO_KB-Support-KCS RFC-KB-JP Viewing DataFlow Details-JA</v>
      </c>
    </row>
    <row r="218" spans="1:11" ht="18.600000000000001">
      <c r="A218">
        <v>217</v>
      </c>
      <c r="B218" t="s">
        <v>16</v>
      </c>
      <c r="C218">
        <v>2309</v>
      </c>
      <c r="E218" t="s">
        <v>152</v>
      </c>
      <c r="F218" t="s">
        <v>17</v>
      </c>
      <c r="G218" s="70" t="s">
        <v>251</v>
      </c>
      <c r="H218" t="s">
        <v>14</v>
      </c>
      <c r="I218" t="s">
        <v>155</v>
      </c>
      <c r="K218" t="str">
        <f t="shared" si="5"/>
        <v>ED2309-MH_KB-Country Map-JA_Bugfix</v>
      </c>
    </row>
    <row r="219" spans="1:11" ht="18.600000000000001">
      <c r="A219">
        <v>218</v>
      </c>
      <c r="B219" t="s">
        <v>16</v>
      </c>
      <c r="C219">
        <v>2309</v>
      </c>
      <c r="E219" t="s">
        <v>152</v>
      </c>
      <c r="F219" t="s">
        <v>17</v>
      </c>
      <c r="G219" s="70" t="s">
        <v>252</v>
      </c>
      <c r="H219" t="s">
        <v>14</v>
      </c>
      <c r="I219" t="s">
        <v>155</v>
      </c>
      <c r="K219" t="str">
        <f t="shared" si="5"/>
        <v>ED2309-MH_KB-Using a Fiscal Calendar-JA_Bugfix</v>
      </c>
    </row>
    <row r="220" spans="1:11">
      <c r="A220">
        <v>219</v>
      </c>
      <c r="B220" t="s">
        <v>16</v>
      </c>
      <c r="C220">
        <v>2309</v>
      </c>
      <c r="E220" t="s">
        <v>152</v>
      </c>
      <c r="F220" t="s">
        <v>40</v>
      </c>
      <c r="G220" t="s">
        <v>253</v>
      </c>
      <c r="H220" t="s">
        <v>14</v>
      </c>
      <c r="K220" t="str">
        <f t="shared" si="5"/>
        <v>ED2309-MH_App-July 2022 Release Update Course Description.docx-JA</v>
      </c>
    </row>
    <row r="221" spans="1:11">
      <c r="A221">
        <v>220</v>
      </c>
      <c r="B221" t="s">
        <v>16</v>
      </c>
      <c r="C221">
        <v>2309</v>
      </c>
      <c r="E221" t="s">
        <v>114</v>
      </c>
      <c r="F221" t="s">
        <v>247</v>
      </c>
      <c r="G221" t="s">
        <v>254</v>
      </c>
      <c r="H221" t="s">
        <v>14</v>
      </c>
      <c r="K221" t="str">
        <f t="shared" si="5"/>
        <v>ED2309-TO_KB-Support-Pivot Table-JA</v>
      </c>
    </row>
    <row r="222" spans="1:11">
      <c r="A222">
        <v>221</v>
      </c>
      <c r="B222" t="s">
        <v>16</v>
      </c>
      <c r="C222">
        <v>2309</v>
      </c>
      <c r="E222" t="s">
        <v>114</v>
      </c>
      <c r="F222" t="s">
        <v>247</v>
      </c>
      <c r="G222" t="s">
        <v>255</v>
      </c>
      <c r="H222" t="s">
        <v>14</v>
      </c>
      <c r="K222" t="str">
        <f t="shared" si="5"/>
        <v>ED2309-TO_KB-Support-Behavior Changes and Feature Updates in Magic ETL-JA</v>
      </c>
    </row>
    <row r="223" spans="1:11">
      <c r="A223">
        <v>222</v>
      </c>
      <c r="B223" t="s">
        <v>16</v>
      </c>
      <c r="C223">
        <v>2309</v>
      </c>
      <c r="E223" t="s">
        <v>152</v>
      </c>
      <c r="F223" t="s">
        <v>247</v>
      </c>
      <c r="G223" t="s">
        <v>256</v>
      </c>
      <c r="H223" t="s">
        <v>14</v>
      </c>
      <c r="K223" t="str">
        <f t="shared" si="5"/>
        <v>ED2309-MH_KB-Support-Supported Functions in Magic ETL-JA</v>
      </c>
    </row>
    <row r="224" spans="1:11">
      <c r="A224">
        <v>223</v>
      </c>
      <c r="B224" t="s">
        <v>16</v>
      </c>
      <c r="C224">
        <v>2309</v>
      </c>
      <c r="E224" t="s">
        <v>114</v>
      </c>
      <c r="F224" t="s">
        <v>247</v>
      </c>
      <c r="G224" t="s">
        <v>257</v>
      </c>
      <c r="H224" t="s">
        <v>14</v>
      </c>
      <c r="K224" t="str">
        <f t="shared" si="5"/>
        <v>ED2309-TO_KB-Support-Amazon S3 Connector-JA</v>
      </c>
    </row>
    <row r="225" spans="1:12">
      <c r="A225">
        <v>224</v>
      </c>
      <c r="B225" t="s">
        <v>16</v>
      </c>
      <c r="C225">
        <v>2309</v>
      </c>
      <c r="E225" t="s">
        <v>114</v>
      </c>
      <c r="F225" t="s">
        <v>247</v>
      </c>
      <c r="G225" t="s">
        <v>258</v>
      </c>
      <c r="H225" t="s">
        <v>14</v>
      </c>
      <c r="K225" t="str">
        <f t="shared" si="5"/>
        <v>ED2309-TO_KB-Support-Formatting Data Label and Hover Text in Your Chart-JA</v>
      </c>
    </row>
    <row r="226" spans="1:12">
      <c r="A226">
        <v>225</v>
      </c>
      <c r="B226" t="s">
        <v>16</v>
      </c>
      <c r="C226">
        <v>2309</v>
      </c>
      <c r="E226" t="s">
        <v>152</v>
      </c>
      <c r="F226" t="s">
        <v>247</v>
      </c>
      <c r="G226" t="s">
        <v>259</v>
      </c>
      <c r="H226" t="s">
        <v>14</v>
      </c>
      <c r="K226" t="str">
        <f t="shared" si="5"/>
        <v>ED2309-MH_KB-Support-Adding an Account in Workbench 5.1-JA</v>
      </c>
    </row>
    <row r="227" spans="1:12">
      <c r="A227">
        <v>226</v>
      </c>
      <c r="B227" t="s">
        <v>16</v>
      </c>
      <c r="C227">
        <v>2309</v>
      </c>
      <c r="E227" t="s">
        <v>114</v>
      </c>
      <c r="F227" t="s">
        <v>17</v>
      </c>
      <c r="G227" t="s">
        <v>260</v>
      </c>
      <c r="H227" t="s">
        <v>14</v>
      </c>
      <c r="I227" t="s">
        <v>173</v>
      </c>
      <c r="K227" t="str">
        <f t="shared" si="5"/>
        <v>ED2309-TO_KB-Zendesk FY23-Q3 09-JA_New_Batch-1</v>
      </c>
    </row>
    <row r="228" spans="1:12">
      <c r="A228">
        <v>227</v>
      </c>
      <c r="B228" t="s">
        <v>16</v>
      </c>
      <c r="C228">
        <v>2309</v>
      </c>
      <c r="E228" t="s">
        <v>114</v>
      </c>
      <c r="F228" t="s">
        <v>17</v>
      </c>
      <c r="G228" t="s">
        <v>260</v>
      </c>
      <c r="H228" t="s">
        <v>14</v>
      </c>
      <c r="I228" t="s">
        <v>261</v>
      </c>
      <c r="K228" t="str">
        <f t="shared" si="5"/>
        <v>ED2309-TO_KB-Zendesk FY23-Q3 09-JA_New_Batch-2</v>
      </c>
    </row>
    <row r="229" spans="1:12">
      <c r="A229">
        <v>228</v>
      </c>
      <c r="B229" t="s">
        <v>16</v>
      </c>
      <c r="C229">
        <v>2309</v>
      </c>
      <c r="E229" t="s">
        <v>114</v>
      </c>
      <c r="F229" t="s">
        <v>17</v>
      </c>
      <c r="G229" t="s">
        <v>260</v>
      </c>
      <c r="H229" t="s">
        <v>14</v>
      </c>
      <c r="I229" t="s">
        <v>262</v>
      </c>
      <c r="K229" t="str">
        <f t="shared" si="5"/>
        <v>ED2309-TO_KB-Zendesk FY23-Q3 09-JA_New_Batch-3</v>
      </c>
    </row>
    <row r="230" spans="1:12">
      <c r="A230">
        <v>229</v>
      </c>
      <c r="B230" t="s">
        <v>16</v>
      </c>
      <c r="C230">
        <v>2309</v>
      </c>
      <c r="E230" t="s">
        <v>114</v>
      </c>
      <c r="F230" t="s">
        <v>17</v>
      </c>
      <c r="G230" t="s">
        <v>260</v>
      </c>
      <c r="H230" t="s">
        <v>14</v>
      </c>
      <c r="I230" t="s">
        <v>263</v>
      </c>
      <c r="K230" t="str">
        <f t="shared" si="5"/>
        <v>ED2309-TO_KB-Zendesk FY23-Q3 09-JA_New_Batch-4</v>
      </c>
    </row>
    <row r="231" spans="1:12">
      <c r="A231">
        <v>230</v>
      </c>
      <c r="B231" t="s">
        <v>16</v>
      </c>
      <c r="C231">
        <v>2309</v>
      </c>
      <c r="E231" t="s">
        <v>114</v>
      </c>
      <c r="F231" t="s">
        <v>17</v>
      </c>
      <c r="G231" t="s">
        <v>260</v>
      </c>
      <c r="H231" t="s">
        <v>14</v>
      </c>
      <c r="I231" t="s">
        <v>264</v>
      </c>
      <c r="K231" t="str">
        <f t="shared" si="5"/>
        <v>ED2309-TO_KB-Zendesk FY23-Q3 09-JA_New_Batch-5</v>
      </c>
    </row>
    <row r="232" spans="1:12">
      <c r="A232">
        <v>231</v>
      </c>
      <c r="B232" s="9" t="s">
        <v>16</v>
      </c>
      <c r="C232" s="9">
        <v>2309</v>
      </c>
      <c r="D232" s="308"/>
      <c r="E232" s="9" t="s">
        <v>114</v>
      </c>
      <c r="F232" s="9" t="s">
        <v>17</v>
      </c>
      <c r="G232" s="9" t="s">
        <v>260</v>
      </c>
      <c r="H232" s="9" t="s">
        <v>14</v>
      </c>
      <c r="I232" s="9" t="s">
        <v>168</v>
      </c>
      <c r="J232" s="9"/>
      <c r="K232" s="9" t="str">
        <f t="shared" si="5"/>
        <v>ED2309-TO_KB-Zendesk FY23-Q3 09-JA_Update_Batch-1</v>
      </c>
      <c r="L232" s="9" t="s">
        <v>265</v>
      </c>
    </row>
    <row r="233" spans="1:12">
      <c r="A233">
        <v>232</v>
      </c>
      <c r="B233" s="9" t="s">
        <v>16</v>
      </c>
      <c r="C233" s="9">
        <v>2309</v>
      </c>
      <c r="D233" s="308"/>
      <c r="E233" s="9" t="s">
        <v>114</v>
      </c>
      <c r="F233" s="9" t="s">
        <v>17</v>
      </c>
      <c r="G233" s="9" t="s">
        <v>260</v>
      </c>
      <c r="H233" s="9" t="s">
        <v>14</v>
      </c>
      <c r="I233" s="9" t="s">
        <v>169</v>
      </c>
      <c r="J233" s="9"/>
      <c r="K233" s="9" t="str">
        <f>B233&amp;C233&amp;"-"&amp;E233&amp;"_"&amp;F233&amp;"-"&amp;G233&amp;"-"&amp;H233&amp;I233</f>
        <v>ED2309-TO_KB-Zendesk FY23-Q3 09-JA_Update_Batch-2</v>
      </c>
      <c r="L233" s="9" t="s">
        <v>265</v>
      </c>
    </row>
    <row r="234" spans="1:12">
      <c r="A234">
        <v>233</v>
      </c>
      <c r="B234" t="s">
        <v>16</v>
      </c>
      <c r="C234">
        <v>2310</v>
      </c>
      <c r="E234" t="s">
        <v>114</v>
      </c>
      <c r="F234" t="s">
        <v>17</v>
      </c>
      <c r="G234" s="5" t="s">
        <v>266</v>
      </c>
      <c r="H234" t="s">
        <v>160</v>
      </c>
      <c r="K234" t="str">
        <f>B234&amp;C234&amp;"-"&amp;E234&amp;"_"&amp;F234&amp;"-"&amp;G234&amp;"-"&amp;H234&amp;I234</f>
        <v>ED2310-TO_KB-Understanding Form Response Data-JA</v>
      </c>
    </row>
    <row r="235" spans="1:12">
      <c r="A235">
        <v>234</v>
      </c>
      <c r="B235" t="s">
        <v>16</v>
      </c>
      <c r="C235">
        <v>2310</v>
      </c>
      <c r="E235" t="s">
        <v>114</v>
      </c>
      <c r="F235" t="s">
        <v>17</v>
      </c>
      <c r="G235" t="s">
        <v>267</v>
      </c>
      <c r="H235" t="s">
        <v>14</v>
      </c>
      <c r="I235" t="s">
        <v>15</v>
      </c>
      <c r="K235" t="str">
        <f>B235&amp;C235&amp;"-"&amp;E235&amp;"_"&amp;F235&amp;"-"&amp;G235&amp;"-"&amp;H235&amp;I235</f>
        <v>ED2310-TO_KB-Zendesk FY23-Q3 10-JA_Batch-1</v>
      </c>
    </row>
    <row r="236" spans="1:12">
      <c r="A236">
        <v>235</v>
      </c>
      <c r="B236" t="s">
        <v>16</v>
      </c>
      <c r="C236">
        <v>2310</v>
      </c>
      <c r="E236" t="s">
        <v>114</v>
      </c>
      <c r="F236" t="s">
        <v>17</v>
      </c>
      <c r="G236" t="s">
        <v>267</v>
      </c>
      <c r="H236" t="s">
        <v>14</v>
      </c>
      <c r="I236" t="s">
        <v>129</v>
      </c>
      <c r="K236" t="str">
        <f>B236&amp;C236&amp;"-"&amp;E236&amp;"_"&amp;F236&amp;"-"&amp;G236&amp;"-"&amp;H236&amp;I236</f>
        <v>ED2310-TO_KB-Zendesk FY23-Q3 10-JA_Batch-2</v>
      </c>
    </row>
    <row r="237" spans="1:12">
      <c r="A237">
        <v>236</v>
      </c>
      <c r="B237" t="s">
        <v>16</v>
      </c>
      <c r="C237">
        <v>2310</v>
      </c>
      <c r="E237" t="s">
        <v>114</v>
      </c>
      <c r="F237" t="s">
        <v>17</v>
      </c>
      <c r="G237" t="s">
        <v>267</v>
      </c>
      <c r="H237" t="s">
        <v>14</v>
      </c>
      <c r="I237" t="s">
        <v>130</v>
      </c>
      <c r="K237" t="str">
        <f t="shared" ref="K237:K242" si="6">B237&amp;C237&amp;"-"&amp;E237&amp;"_"&amp;F237&amp;"-"&amp;G237&amp;"-"&amp;H237&amp;I237</f>
        <v>ED2310-TO_KB-Zendesk FY23-Q3 10-JA_Batch-3</v>
      </c>
    </row>
    <row r="238" spans="1:12">
      <c r="A238">
        <v>237</v>
      </c>
      <c r="B238" t="s">
        <v>16</v>
      </c>
      <c r="C238">
        <v>2310</v>
      </c>
      <c r="E238" t="s">
        <v>114</v>
      </c>
      <c r="F238" t="s">
        <v>17</v>
      </c>
      <c r="G238" t="s">
        <v>267</v>
      </c>
      <c r="H238" t="s">
        <v>14</v>
      </c>
      <c r="I238" t="s">
        <v>268</v>
      </c>
      <c r="K238" t="str">
        <f t="shared" si="6"/>
        <v>ED2310-TO_KB-Zendesk FY23-Q3 10-JA_Batch-4</v>
      </c>
    </row>
    <row r="239" spans="1:12">
      <c r="A239">
        <v>238</v>
      </c>
      <c r="B239" t="s">
        <v>16</v>
      </c>
      <c r="C239">
        <v>2310</v>
      </c>
      <c r="E239" t="s">
        <v>114</v>
      </c>
      <c r="F239" t="s">
        <v>17</v>
      </c>
      <c r="G239" t="s">
        <v>267</v>
      </c>
      <c r="H239" t="s">
        <v>14</v>
      </c>
      <c r="I239" t="s">
        <v>269</v>
      </c>
      <c r="K239" t="str">
        <f t="shared" si="6"/>
        <v>ED2310-TO_KB-Zendesk FY23-Q3 10-JA_Batch-5</v>
      </c>
    </row>
    <row r="240" spans="1:12">
      <c r="A240">
        <v>239</v>
      </c>
      <c r="B240" t="s">
        <v>16</v>
      </c>
      <c r="C240">
        <v>2310</v>
      </c>
      <c r="E240" t="s">
        <v>114</v>
      </c>
      <c r="F240" t="s">
        <v>17</v>
      </c>
      <c r="G240" t="s">
        <v>267</v>
      </c>
      <c r="H240" t="s">
        <v>14</v>
      </c>
      <c r="I240" t="s">
        <v>270</v>
      </c>
      <c r="K240" t="str">
        <f t="shared" si="6"/>
        <v>ED2310-TO_KB-Zendesk FY23-Q3 10-JA_Batch-6</v>
      </c>
    </row>
    <row r="241" spans="1:12">
      <c r="A241">
        <v>240</v>
      </c>
      <c r="B241" t="s">
        <v>16</v>
      </c>
      <c r="C241">
        <v>2311</v>
      </c>
      <c r="E241" t="s">
        <v>114</v>
      </c>
      <c r="F241" t="s">
        <v>40</v>
      </c>
      <c r="G241" t="s">
        <v>271</v>
      </c>
      <c r="H241" t="s">
        <v>14</v>
      </c>
      <c r="K241" t="str">
        <f t="shared" si="6"/>
        <v>ED2311-TO_App-October Release Update - Japanese-JA</v>
      </c>
    </row>
    <row r="242" spans="1:12">
      <c r="A242">
        <v>241</v>
      </c>
      <c r="B242" t="s">
        <v>16</v>
      </c>
      <c r="C242">
        <v>2310</v>
      </c>
      <c r="E242" t="s">
        <v>152</v>
      </c>
      <c r="F242" t="s">
        <v>247</v>
      </c>
      <c r="G242" t="s">
        <v>272</v>
      </c>
      <c r="H242" t="s">
        <v>14</v>
      </c>
      <c r="K242" t="str">
        <f t="shared" si="6"/>
        <v>ED2310-MH_KB-Support-Data Center Layout-JA</v>
      </c>
    </row>
    <row r="243" spans="1:12">
      <c r="A243">
        <v>242</v>
      </c>
      <c r="B243" t="s">
        <v>16</v>
      </c>
      <c r="C243">
        <v>2311</v>
      </c>
      <c r="E243" t="s">
        <v>152</v>
      </c>
      <c r="F243" t="s">
        <v>17</v>
      </c>
      <c r="G243" t="s">
        <v>273</v>
      </c>
      <c r="H243" t="s">
        <v>14</v>
      </c>
      <c r="I243" t="s">
        <v>274</v>
      </c>
      <c r="K243" t="str">
        <f>B243&amp;C243&amp;"-"&amp;E243&amp;"_"&amp;F243&amp;"-"&amp;G243&amp;"-"&amp;H243&amp;I243</f>
        <v>ED2311-MH_KB-Nested Bar Chart-JA SFDC Update</v>
      </c>
      <c r="L243" t="s">
        <v>275</v>
      </c>
    </row>
    <row r="244" spans="1:12">
      <c r="A244">
        <v>243</v>
      </c>
      <c r="B244" t="s">
        <v>16</v>
      </c>
      <c r="C244">
        <v>2311</v>
      </c>
      <c r="E244" t="s">
        <v>114</v>
      </c>
      <c r="F244" t="s">
        <v>40</v>
      </c>
      <c r="G244" t="s">
        <v>276</v>
      </c>
      <c r="H244" t="s">
        <v>14</v>
      </c>
      <c r="K244" t="str">
        <f>B244&amp;C244&amp;"-"&amp;E244&amp;"_"&amp;F244&amp;"-"&amp;G244&amp;"-"&amp;H244&amp;I244</f>
        <v>ED2311-TO_App-Practical Test-Creating Simple Beast Mode Calculations-CB-JA</v>
      </c>
    </row>
    <row r="245" spans="1:12">
      <c r="A245">
        <v>244</v>
      </c>
      <c r="B245" t="s">
        <v>16</v>
      </c>
      <c r="C245">
        <v>2311</v>
      </c>
      <c r="E245" t="s">
        <v>152</v>
      </c>
      <c r="F245" t="s">
        <v>17</v>
      </c>
      <c r="G245" t="s">
        <v>277</v>
      </c>
      <c r="H245" t="s">
        <v>14</v>
      </c>
      <c r="I245" t="s">
        <v>278</v>
      </c>
      <c r="K245" t="str">
        <f>B245&amp;C245&amp;"-"&amp;E245&amp;"-"&amp;F245&amp;"-"&amp;G245&amp;"-"&amp;H245&amp;I245</f>
        <v>ED2311-MH-KB-Microsoft Excel Connector-JA Update</v>
      </c>
    </row>
    <row r="246" spans="1:12">
      <c r="A246">
        <v>245</v>
      </c>
      <c r="B246" t="s">
        <v>16</v>
      </c>
      <c r="C246">
        <v>2311</v>
      </c>
      <c r="E246" t="s">
        <v>152</v>
      </c>
      <c r="F246" t="s">
        <v>17</v>
      </c>
      <c r="G246" t="s">
        <v>279</v>
      </c>
      <c r="H246" t="s">
        <v>14</v>
      </c>
      <c r="I246" t="s">
        <v>278</v>
      </c>
      <c r="K246" t="str">
        <f>B246&amp;C246&amp;"-"&amp;E246&amp;"-"&amp;F246&amp;"-"&amp;G246&amp;"-"&amp;H246&amp;I246</f>
        <v>ED2311-MH-KB-Editing a SQL DataFlow-JA Update</v>
      </c>
    </row>
    <row r="247" spans="1:12">
      <c r="A247">
        <v>246</v>
      </c>
      <c r="B247" t="s">
        <v>16</v>
      </c>
      <c r="C247">
        <v>2311</v>
      </c>
      <c r="E247" t="s">
        <v>152</v>
      </c>
      <c r="F247" t="s">
        <v>17</v>
      </c>
      <c r="G247" t="s">
        <v>280</v>
      </c>
      <c r="H247" t="s">
        <v>14</v>
      </c>
      <c r="I247" t="s">
        <v>274</v>
      </c>
      <c r="K247" t="str">
        <f t="shared" ref="K247:K310" si="7">B247&amp;C247&amp;"-"&amp;E247&amp;"-"&amp;F247&amp;"-"&amp;G247&amp;"-"&amp;H247&amp;I247</f>
        <v>ED2311-MH-KB-Understanding Form Response Data-JA SFDC Update</v>
      </c>
    </row>
    <row r="248" spans="1:12">
      <c r="A248">
        <v>247</v>
      </c>
      <c r="B248" t="s">
        <v>16</v>
      </c>
      <c r="C248">
        <v>2311</v>
      </c>
      <c r="E248" t="s">
        <v>152</v>
      </c>
      <c r="F248" t="s">
        <v>17</v>
      </c>
      <c r="G248" t="s">
        <v>281</v>
      </c>
      <c r="H248" t="s">
        <v>14</v>
      </c>
      <c r="I248" t="s">
        <v>278</v>
      </c>
      <c r="K248" t="str">
        <f t="shared" si="7"/>
        <v>ED2311-MH-KB-Google -JA Update</v>
      </c>
    </row>
    <row r="249" spans="1:12">
      <c r="A249">
        <v>248</v>
      </c>
      <c r="B249" t="s">
        <v>16</v>
      </c>
      <c r="C249">
        <v>2311</v>
      </c>
      <c r="E249" t="s">
        <v>152</v>
      </c>
      <c r="F249" t="s">
        <v>17</v>
      </c>
      <c r="G249" t="s">
        <v>282</v>
      </c>
      <c r="H249" t="s">
        <v>14</v>
      </c>
      <c r="I249" t="s">
        <v>278</v>
      </c>
      <c r="K249" t="str">
        <f t="shared" si="7"/>
        <v>ED2311-MH-KB-Governance Toolkit-JA Update</v>
      </c>
    </row>
    <row r="250" spans="1:12">
      <c r="A250">
        <v>249</v>
      </c>
      <c r="B250" t="s">
        <v>16</v>
      </c>
      <c r="C250">
        <v>2311</v>
      </c>
      <c r="E250" t="s">
        <v>152</v>
      </c>
      <c r="F250" t="s">
        <v>17</v>
      </c>
      <c r="G250" t="s">
        <v>283</v>
      </c>
      <c r="H250" t="s">
        <v>14</v>
      </c>
      <c r="I250" t="s">
        <v>284</v>
      </c>
      <c r="K250" t="str">
        <f t="shared" si="7"/>
        <v>ED2311-MH-KB-SFDC Migration-JA Update Batch-1</v>
      </c>
    </row>
    <row r="251" spans="1:12">
      <c r="A251">
        <v>250</v>
      </c>
      <c r="B251" t="s">
        <v>16</v>
      </c>
      <c r="C251">
        <v>2311</v>
      </c>
      <c r="E251" t="s">
        <v>152</v>
      </c>
      <c r="F251" t="s">
        <v>17</v>
      </c>
      <c r="G251" t="s">
        <v>283</v>
      </c>
      <c r="H251" t="s">
        <v>14</v>
      </c>
      <c r="I251" t="s">
        <v>285</v>
      </c>
      <c r="K251" t="str">
        <f t="shared" si="7"/>
        <v>ED2311-MH-KB-SFDC Migration-JA Update Batch-2</v>
      </c>
    </row>
    <row r="252" spans="1:12">
      <c r="A252">
        <v>251</v>
      </c>
      <c r="B252" t="s">
        <v>16</v>
      </c>
      <c r="C252">
        <v>2311</v>
      </c>
      <c r="E252" t="s">
        <v>152</v>
      </c>
      <c r="F252" t="s">
        <v>17</v>
      </c>
      <c r="G252" t="s">
        <v>283</v>
      </c>
      <c r="H252" t="s">
        <v>14</v>
      </c>
      <c r="I252" t="s">
        <v>286</v>
      </c>
      <c r="K252" t="str">
        <f>B252&amp;C252&amp;"-"&amp;E252&amp;"-"&amp;F252&amp;"-"&amp;G252&amp;"-"&amp;H252&amp;I252</f>
        <v>ED2311-MH-KB-SFDC Migration-JA Update Batch-3</v>
      </c>
    </row>
    <row r="253" spans="1:12">
      <c r="A253">
        <v>252</v>
      </c>
      <c r="B253" t="s">
        <v>16</v>
      </c>
      <c r="C253">
        <v>2312</v>
      </c>
      <c r="E253" t="s">
        <v>152</v>
      </c>
      <c r="F253" t="s">
        <v>17</v>
      </c>
      <c r="G253" t="s">
        <v>287</v>
      </c>
      <c r="H253" t="s">
        <v>14</v>
      </c>
      <c r="I253" t="s">
        <v>274</v>
      </c>
      <c r="K253" t="str">
        <f t="shared" si="7"/>
        <v>ED2312-MH-KB-Variables Overview-JA SFDC Update</v>
      </c>
    </row>
    <row r="254" spans="1:12">
      <c r="A254">
        <v>253</v>
      </c>
      <c r="B254" t="s">
        <v>16</v>
      </c>
      <c r="C254">
        <v>2312</v>
      </c>
      <c r="E254" t="s">
        <v>152</v>
      </c>
      <c r="F254" t="s">
        <v>17</v>
      </c>
      <c r="G254" t="s">
        <v>288</v>
      </c>
      <c r="H254" t="s">
        <v>14</v>
      </c>
      <c r="K254" t="str">
        <f t="shared" si="7"/>
        <v>ED2312-MH-KB-SFDC Migration-October 2022 Release Documentation-JA</v>
      </c>
    </row>
    <row r="255" spans="1:12">
      <c r="A255">
        <v>254</v>
      </c>
      <c r="G255" t="s">
        <v>289</v>
      </c>
      <c r="K255" t="str">
        <f t="shared" si="7"/>
        <v>---Beast Mode Functions Reference Guide-</v>
      </c>
    </row>
    <row r="256" spans="1:12">
      <c r="A256">
        <v>255</v>
      </c>
      <c r="B256" t="s">
        <v>16</v>
      </c>
      <c r="C256">
        <v>2312</v>
      </c>
      <c r="E256" t="s">
        <v>152</v>
      </c>
      <c r="F256" t="s">
        <v>17</v>
      </c>
      <c r="G256" t="s">
        <v>282</v>
      </c>
      <c r="H256" t="s">
        <v>14</v>
      </c>
      <c r="I256" t="s">
        <v>274</v>
      </c>
      <c r="K256" t="str">
        <f>B256&amp;C256&amp;"-"&amp;E256&amp;"-"&amp;F256&amp;"-"&amp;G256&amp;"-"&amp;H256&amp;I256</f>
        <v>ED2312-MH-KB-Governance Toolkit-JA SFDC Update</v>
      </c>
    </row>
    <row r="257" spans="1:11">
      <c r="A257">
        <v>256</v>
      </c>
      <c r="B257" t="s">
        <v>103</v>
      </c>
      <c r="C257">
        <v>2312</v>
      </c>
      <c r="E257" t="s">
        <v>152</v>
      </c>
      <c r="F257" t="s">
        <v>17</v>
      </c>
      <c r="G257" t="s">
        <v>283</v>
      </c>
      <c r="H257" t="s">
        <v>160</v>
      </c>
      <c r="I257" t="s">
        <v>290</v>
      </c>
      <c r="K257" t="str">
        <f>B257&amp;C257&amp;"-"&amp;E257&amp;"-"&amp;F257&amp;"-"&amp;G257&amp;"-"&amp;H257&amp;I257</f>
        <v>ED2312-MH-KB-SFDC Migration-JA Update Batch-4</v>
      </c>
    </row>
    <row r="258" spans="1:11">
      <c r="A258">
        <v>257</v>
      </c>
      <c r="B258" t="s">
        <v>103</v>
      </c>
      <c r="C258">
        <v>2312</v>
      </c>
      <c r="E258" t="s">
        <v>114</v>
      </c>
      <c r="F258" t="s">
        <v>17</v>
      </c>
      <c r="G258" t="s">
        <v>291</v>
      </c>
      <c r="H258" t="s">
        <v>14</v>
      </c>
      <c r="I258" t="s">
        <v>292</v>
      </c>
      <c r="K258" t="str">
        <f t="shared" si="7"/>
        <v>ED2312-TO-KB-Card And Dashboard Management-JA SFDC Update</v>
      </c>
    </row>
    <row r="259" spans="1:11">
      <c r="A259">
        <v>258</v>
      </c>
      <c r="G259" t="s">
        <v>293</v>
      </c>
      <c r="K259" t="str">
        <f t="shared" si="7"/>
        <v>---Using Story Presentation Mode-</v>
      </c>
    </row>
    <row r="260" spans="1:11">
      <c r="A260">
        <v>259</v>
      </c>
      <c r="G260" t="s">
        <v>294</v>
      </c>
      <c r="K260" t="str">
        <f t="shared" si="7"/>
        <v>---Governance Toolkit: Observability Metrics-</v>
      </c>
    </row>
    <row r="261" spans="1:11">
      <c r="A261">
        <v>260</v>
      </c>
      <c r="G261" t="s">
        <v>295</v>
      </c>
      <c r="K261" t="str">
        <f t="shared" si="7"/>
        <v>---Form Builder App-</v>
      </c>
    </row>
    <row r="262" spans="1:11">
      <c r="A262">
        <v>261</v>
      </c>
      <c r="G262" t="s">
        <v>296</v>
      </c>
      <c r="K262" t="str">
        <f t="shared" si="7"/>
        <v>---AppDB Admin User Interface-</v>
      </c>
    </row>
    <row r="263" spans="1:11">
      <c r="A263">
        <v>262</v>
      </c>
      <c r="G263" t="s">
        <v>297</v>
      </c>
      <c r="K263" t="str">
        <f t="shared" si="7"/>
        <v>---Domo Sandbox-</v>
      </c>
    </row>
    <row r="264" spans="1:11">
      <c r="A264">
        <v>263</v>
      </c>
      <c r="G264" t="s">
        <v>298</v>
      </c>
      <c r="K264" t="str">
        <f t="shared" si="7"/>
        <v>---Governance Toolkit: Observability Metrics-</v>
      </c>
    </row>
    <row r="265" spans="1:11">
      <c r="A265">
        <v>264</v>
      </c>
      <c r="G265" t="s">
        <v>299</v>
      </c>
      <c r="K265" t="str">
        <f t="shared" si="7"/>
        <v>---Governance Toolkit: Triggered Reports-</v>
      </c>
    </row>
    <row r="266" spans="1:11">
      <c r="A266">
        <v>265</v>
      </c>
      <c r="G266" t="s">
        <v>300</v>
      </c>
      <c r="K266" t="str">
        <f t="shared" si="7"/>
        <v>---Using Story Presentation Mode-</v>
      </c>
    </row>
    <row r="267" spans="1:11">
      <c r="A267">
        <v>266</v>
      </c>
      <c r="B267" t="s">
        <v>16</v>
      </c>
      <c r="C267">
        <v>2312</v>
      </c>
      <c r="E267" t="s">
        <v>114</v>
      </c>
      <c r="F267" t="s">
        <v>17</v>
      </c>
      <c r="G267" t="s">
        <v>301</v>
      </c>
      <c r="H267" t="s">
        <v>14</v>
      </c>
      <c r="I267" t="s">
        <v>292</v>
      </c>
      <c r="K267" t="str">
        <f t="shared" si="7"/>
        <v>ED2312-TO-KB-Zendesk FY23-Q3 08-JA-Update-B-4-JA SFDC Update</v>
      </c>
    </row>
    <row r="268" spans="1:11">
      <c r="A268">
        <v>267</v>
      </c>
      <c r="B268" t="s">
        <v>16</v>
      </c>
      <c r="C268">
        <v>2312</v>
      </c>
      <c r="E268" t="s">
        <v>114</v>
      </c>
      <c r="F268" t="s">
        <v>17</v>
      </c>
      <c r="G268" t="s">
        <v>302</v>
      </c>
      <c r="I268" t="s">
        <v>274</v>
      </c>
      <c r="K268" t="str">
        <f t="shared" si="7"/>
        <v>ED2312-TO-KB-ED2308-TO_KB-Zendesk FY23-Q3 08-JA_Update_Batch-5- SFDC Update</v>
      </c>
    </row>
    <row r="269" spans="1:11">
      <c r="A269">
        <v>268</v>
      </c>
      <c r="B269" t="s">
        <v>16</v>
      </c>
      <c r="C269">
        <v>2312</v>
      </c>
      <c r="E269" t="s">
        <v>114</v>
      </c>
      <c r="F269" t="s">
        <v>17</v>
      </c>
      <c r="G269" t="s">
        <v>303</v>
      </c>
      <c r="H269" t="s">
        <v>14</v>
      </c>
      <c r="I269" t="s">
        <v>274</v>
      </c>
      <c r="K269" t="str">
        <f t="shared" si="7"/>
        <v>ED2312-TO-KB-adding cards as favorites-JA SFDC Update</v>
      </c>
    </row>
    <row r="270" spans="1:11">
      <c r="A270">
        <v>269</v>
      </c>
      <c r="B270" t="s">
        <v>16</v>
      </c>
      <c r="C270">
        <v>2406</v>
      </c>
      <c r="E270" t="s">
        <v>152</v>
      </c>
      <c r="F270" t="s">
        <v>17</v>
      </c>
      <c r="G270" t="s">
        <v>304</v>
      </c>
      <c r="I270" t="s">
        <v>305</v>
      </c>
      <c r="K270" t="str">
        <f t="shared" si="7"/>
        <v>ED2406-MH-KB-ED2309-TO-KB-Support-KCS RFC-KB-JP Creating and Managing User Groups- Bugfix</v>
      </c>
    </row>
    <row r="271" spans="1:11">
      <c r="A271">
        <v>270</v>
      </c>
      <c r="G271" t="s">
        <v>306</v>
      </c>
      <c r="K271" t="str">
        <f t="shared" si="7"/>
        <v>---ED2309-TO_KB-Support-KCS RFC-KB-JP Scheduling Reports-</v>
      </c>
    </row>
    <row r="272" spans="1:11">
      <c r="A272">
        <v>271</v>
      </c>
      <c r="G272" t="s">
        <v>307</v>
      </c>
      <c r="K272" t="str">
        <f t="shared" si="7"/>
        <v>---ED2309-TO_KB-Support-KCS RFC-KB-JP Viewing DataFlow Details-</v>
      </c>
    </row>
    <row r="273" spans="1:11">
      <c r="A273">
        <v>272</v>
      </c>
      <c r="G273" t="s">
        <v>308</v>
      </c>
      <c r="K273" t="str">
        <f t="shared" si="7"/>
        <v>---	ED2309-TO_KB-Zendesk FY23-Q3 08-JA_Update_Batch-8-</v>
      </c>
    </row>
    <row r="274" spans="1:11">
      <c r="A274">
        <v>273</v>
      </c>
      <c r="B274" t="s">
        <v>16</v>
      </c>
      <c r="C274">
        <v>2301</v>
      </c>
      <c r="E274" t="s">
        <v>114</v>
      </c>
      <c r="F274" t="s">
        <v>17</v>
      </c>
      <c r="G274" t="s">
        <v>309</v>
      </c>
      <c r="H274" t="s">
        <v>14</v>
      </c>
      <c r="I274" t="s">
        <v>274</v>
      </c>
      <c r="K274" t="str">
        <f t="shared" si="7"/>
        <v>ED2301-TO-KB-Zendesk-Q2-05 New B-10-JA SFDC Update</v>
      </c>
    </row>
    <row r="275" spans="1:11">
      <c r="A275">
        <v>274</v>
      </c>
      <c r="B275" t="s">
        <v>16</v>
      </c>
      <c r="C275">
        <v>2301</v>
      </c>
      <c r="E275" t="s">
        <v>114</v>
      </c>
      <c r="F275" t="s">
        <v>40</v>
      </c>
      <c r="G275" t="s">
        <v>271</v>
      </c>
      <c r="H275" t="s">
        <v>14</v>
      </c>
      <c r="I275" t="s">
        <v>310</v>
      </c>
      <c r="K275" t="str">
        <f t="shared" si="7"/>
        <v>ED2301-TO-App-October Release Update - Japanese-JA Batch-2</v>
      </c>
    </row>
    <row r="276" spans="1:11">
      <c r="A276">
        <v>275</v>
      </c>
      <c r="B276" t="s">
        <v>16</v>
      </c>
      <c r="C276">
        <v>2301</v>
      </c>
      <c r="E276" t="s">
        <v>114</v>
      </c>
      <c r="F276" t="s">
        <v>247</v>
      </c>
      <c r="G276" t="s">
        <v>311</v>
      </c>
      <c r="H276" t="s">
        <v>14</v>
      </c>
      <c r="I276" t="s">
        <v>312</v>
      </c>
      <c r="K276" t="str">
        <f t="shared" si="7"/>
        <v>ED2301-TO-KB-Support-Localization requests-JA Batch-1</v>
      </c>
    </row>
    <row r="277" spans="1:11">
      <c r="A277">
        <v>276</v>
      </c>
      <c r="B277" t="s">
        <v>16</v>
      </c>
      <c r="C277">
        <v>2301</v>
      </c>
      <c r="E277" t="s">
        <v>114</v>
      </c>
      <c r="F277" t="s">
        <v>247</v>
      </c>
      <c r="G277" t="s">
        <v>313</v>
      </c>
      <c r="H277" t="s">
        <v>14</v>
      </c>
      <c r="K277" t="str">
        <f t="shared" si="7"/>
        <v>ED2301-TO-KB-Support-Properties for Pie-Type Charts-JA</v>
      </c>
    </row>
    <row r="278" spans="1:11">
      <c r="A278">
        <v>277</v>
      </c>
      <c r="B278" t="s">
        <v>16</v>
      </c>
      <c r="C278">
        <v>2301</v>
      </c>
      <c r="E278" t="s">
        <v>114</v>
      </c>
      <c r="F278" t="s">
        <v>247</v>
      </c>
      <c r="G278" t="s">
        <v>257</v>
      </c>
      <c r="H278" t="s">
        <v>14</v>
      </c>
      <c r="K278" t="str">
        <f t="shared" si="7"/>
        <v>ED2301-TO-KB-Support-Amazon S3 Connector-JA</v>
      </c>
    </row>
    <row r="279" spans="1:11">
      <c r="A279">
        <v>278</v>
      </c>
      <c r="B279" t="s">
        <v>16</v>
      </c>
      <c r="C279">
        <v>2302</v>
      </c>
      <c r="E279" t="s">
        <v>114</v>
      </c>
      <c r="F279" t="s">
        <v>17</v>
      </c>
      <c r="G279" t="s">
        <v>314</v>
      </c>
      <c r="H279" t="s">
        <v>14</v>
      </c>
      <c r="I279" t="s">
        <v>315</v>
      </c>
      <c r="K279" t="str">
        <f t="shared" si="7"/>
        <v>ED2302-TO-KB-e-Stat Third Party Connector-JA New</v>
      </c>
    </row>
    <row r="280" spans="1:11">
      <c r="A280">
        <v>279</v>
      </c>
      <c r="B280" t="s">
        <v>16</v>
      </c>
      <c r="C280">
        <v>2301</v>
      </c>
      <c r="E280" t="s">
        <v>152</v>
      </c>
      <c r="F280" t="s">
        <v>247</v>
      </c>
      <c r="G280" t="s">
        <v>313</v>
      </c>
      <c r="H280" t="s">
        <v>14</v>
      </c>
      <c r="I280" t="s">
        <v>305</v>
      </c>
      <c r="K280" t="str">
        <f t="shared" si="7"/>
        <v>ED2301-MH-KB-Support-Properties for Pie-Type Charts-JA Bugfix</v>
      </c>
    </row>
    <row r="281" spans="1:11">
      <c r="A281">
        <v>280</v>
      </c>
      <c r="B281" t="s">
        <v>16</v>
      </c>
      <c r="C281">
        <v>2301</v>
      </c>
      <c r="E281" t="s">
        <v>114</v>
      </c>
      <c r="F281" t="s">
        <v>247</v>
      </c>
      <c r="G281" t="s">
        <v>316</v>
      </c>
      <c r="H281" t="s">
        <v>14</v>
      </c>
      <c r="I281" t="s">
        <v>315</v>
      </c>
      <c r="K281" t="str">
        <f t="shared" si="7"/>
        <v>ED2301-TO-KB-Support-Google Analytics 4 connector (Beta)-JA New</v>
      </c>
    </row>
    <row r="282" spans="1:11">
      <c r="A282">
        <v>281</v>
      </c>
      <c r="B282" t="s">
        <v>16</v>
      </c>
      <c r="C282">
        <v>2301</v>
      </c>
      <c r="E282" t="s">
        <v>152</v>
      </c>
      <c r="F282" t="s">
        <v>247</v>
      </c>
      <c r="G282" t="s">
        <v>317</v>
      </c>
      <c r="H282" t="s">
        <v>14</v>
      </c>
      <c r="I282" t="s">
        <v>305</v>
      </c>
      <c r="K282" t="str">
        <f t="shared" si="7"/>
        <v>ED2301-MH-KB-Support-Custom Charts-JA Bugfix</v>
      </c>
    </row>
    <row r="283" spans="1:11">
      <c r="A283">
        <v>282</v>
      </c>
      <c r="B283" t="s">
        <v>16</v>
      </c>
      <c r="C283">
        <v>2301</v>
      </c>
      <c r="E283" t="s">
        <v>114</v>
      </c>
      <c r="F283" t="s">
        <v>17</v>
      </c>
      <c r="G283" t="s">
        <v>318</v>
      </c>
      <c r="H283" t="s">
        <v>14</v>
      </c>
      <c r="I283" t="s">
        <v>319</v>
      </c>
      <c r="K283" t="str">
        <f t="shared" si="7"/>
        <v>ED2301-TO-KB-Zendesk FY23-Q3 08-Update B-8-JA SFDC Update Batch1</v>
      </c>
    </row>
    <row r="284" spans="1:11">
      <c r="A284">
        <v>283</v>
      </c>
      <c r="B284" t="s">
        <v>16</v>
      </c>
      <c r="C284">
        <v>2301</v>
      </c>
      <c r="E284" t="s">
        <v>114</v>
      </c>
      <c r="F284" t="s">
        <v>17</v>
      </c>
      <c r="G284" t="s">
        <v>318</v>
      </c>
      <c r="H284" t="s">
        <v>14</v>
      </c>
      <c r="I284" t="s">
        <v>320</v>
      </c>
      <c r="K284" t="str">
        <f t="shared" si="7"/>
        <v>ED2301-TO-KB-Zendesk FY23-Q3 08-Update B-8-JA SFDC Update Batch2</v>
      </c>
    </row>
    <row r="285" spans="1:11" ht="18.600000000000001">
      <c r="A285">
        <v>284</v>
      </c>
      <c r="B285" t="s">
        <v>16</v>
      </c>
      <c r="C285">
        <v>2301</v>
      </c>
      <c r="E285" t="s">
        <v>114</v>
      </c>
      <c r="F285" t="s">
        <v>17</v>
      </c>
      <c r="G285" s="70" t="s">
        <v>321</v>
      </c>
      <c r="H285" t="s">
        <v>14</v>
      </c>
      <c r="I285" t="s">
        <v>315</v>
      </c>
      <c r="K285" t="str">
        <f t="shared" si="7"/>
        <v>ED2301-TO-KB-Campaigns App-JA New</v>
      </c>
    </row>
    <row r="286" spans="1:11" ht="18.600000000000001">
      <c r="A286">
        <v>285</v>
      </c>
      <c r="B286" t="s">
        <v>16</v>
      </c>
      <c r="C286">
        <v>2301</v>
      </c>
      <c r="E286" t="s">
        <v>114</v>
      </c>
      <c r="F286" t="s">
        <v>17</v>
      </c>
      <c r="G286" s="70" t="s">
        <v>322</v>
      </c>
      <c r="H286" t="s">
        <v>14</v>
      </c>
      <c r="I286" t="s">
        <v>315</v>
      </c>
      <c r="K286" t="str">
        <f t="shared" si="7"/>
        <v>ED2301-TO-KB-Flex Map-JA New</v>
      </c>
    </row>
    <row r="287" spans="1:11" ht="18.600000000000001">
      <c r="A287">
        <v>286</v>
      </c>
      <c r="B287" t="s">
        <v>16</v>
      </c>
      <c r="C287">
        <v>2301</v>
      </c>
      <c r="E287" t="s">
        <v>114</v>
      </c>
      <c r="F287" t="s">
        <v>17</v>
      </c>
      <c r="G287" s="70" t="s">
        <v>323</v>
      </c>
      <c r="H287" t="s">
        <v>14</v>
      </c>
      <c r="I287" t="s">
        <v>315</v>
      </c>
      <c r="K287" t="str">
        <f t="shared" si="7"/>
        <v>ED2301-TO-KB-January -JA New</v>
      </c>
    </row>
    <row r="288" spans="1:11" ht="18.600000000000001">
      <c r="A288">
        <v>287</v>
      </c>
      <c r="B288" t="s">
        <v>16</v>
      </c>
      <c r="C288">
        <v>2301</v>
      </c>
      <c r="E288" t="s">
        <v>114</v>
      </c>
      <c r="F288" t="s">
        <v>17</v>
      </c>
      <c r="G288" s="70" t="s">
        <v>324</v>
      </c>
      <c r="H288" t="s">
        <v>14</v>
      </c>
      <c r="I288" t="s">
        <v>315</v>
      </c>
      <c r="K288" t="str">
        <f t="shared" si="7"/>
        <v>ED2301-TO-KB-January Connector-JA New</v>
      </c>
    </row>
    <row r="289" spans="1:11" ht="18.600000000000001">
      <c r="A289">
        <v>288</v>
      </c>
      <c r="B289" t="s">
        <v>16</v>
      </c>
      <c r="C289">
        <v>2302</v>
      </c>
      <c r="E289" t="s">
        <v>114</v>
      </c>
      <c r="F289" t="s">
        <v>17</v>
      </c>
      <c r="G289" s="70" t="s">
        <v>325</v>
      </c>
      <c r="H289" t="s">
        <v>14</v>
      </c>
      <c r="I289" t="s">
        <v>278</v>
      </c>
      <c r="K289" t="str">
        <f t="shared" si="7"/>
        <v>ED2302-TO-KB-Sansan Third Party Connector-JA Update</v>
      </c>
    </row>
    <row r="290" spans="1:11" ht="18.600000000000001">
      <c r="A290">
        <v>289</v>
      </c>
      <c r="B290" t="s">
        <v>16</v>
      </c>
      <c r="C290">
        <v>2302</v>
      </c>
      <c r="E290" t="s">
        <v>114</v>
      </c>
      <c r="F290" t="s">
        <v>17</v>
      </c>
      <c r="G290" s="70" t="s">
        <v>326</v>
      </c>
      <c r="H290" t="s">
        <v>14</v>
      </c>
      <c r="K290" t="str">
        <f t="shared" si="7"/>
        <v>ED2302-TO-KB-Goals-JA</v>
      </c>
    </row>
    <row r="291" spans="1:11" ht="18.600000000000001">
      <c r="A291">
        <v>290</v>
      </c>
      <c r="B291" t="s">
        <v>16</v>
      </c>
      <c r="C291">
        <v>2302</v>
      </c>
      <c r="E291" t="s">
        <v>114</v>
      </c>
      <c r="F291" t="s">
        <v>17</v>
      </c>
      <c r="G291" s="70" t="s">
        <v>327</v>
      </c>
      <c r="H291" t="s">
        <v>14</v>
      </c>
      <c r="I291" t="s">
        <v>315</v>
      </c>
      <c r="K291" t="str">
        <f t="shared" si="7"/>
        <v>ED2302-TO-KB-Spotify Third Party Connector-JA New</v>
      </c>
    </row>
    <row r="292" spans="1:11" ht="18.600000000000001">
      <c r="A292">
        <v>291</v>
      </c>
      <c r="B292" t="s">
        <v>16</v>
      </c>
      <c r="C292">
        <v>2302</v>
      </c>
      <c r="E292" t="s">
        <v>114</v>
      </c>
      <c r="F292" t="s">
        <v>17</v>
      </c>
      <c r="G292" s="70" t="s">
        <v>328</v>
      </c>
      <c r="H292" t="s">
        <v>14</v>
      </c>
      <c r="K292" t="str">
        <f t="shared" si="7"/>
        <v>ED2302-TO-KB-Support FY24 Q1 02-JA</v>
      </c>
    </row>
    <row r="293" spans="1:11" ht="18.600000000000001">
      <c r="A293">
        <v>292</v>
      </c>
      <c r="B293" t="s">
        <v>16</v>
      </c>
      <c r="C293">
        <v>2302</v>
      </c>
      <c r="E293" t="s">
        <v>114</v>
      </c>
      <c r="F293" t="s">
        <v>17</v>
      </c>
      <c r="G293" s="70" t="s">
        <v>329</v>
      </c>
      <c r="H293" t="s">
        <v>14</v>
      </c>
      <c r="K293" t="str">
        <f t="shared" si="7"/>
        <v>ED2302-TO-KB-KB Localization project-JA</v>
      </c>
    </row>
    <row r="294" spans="1:11" ht="18.600000000000001">
      <c r="A294">
        <v>293</v>
      </c>
      <c r="B294" t="s">
        <v>16</v>
      </c>
      <c r="C294">
        <v>2302</v>
      </c>
      <c r="E294" t="s">
        <v>114</v>
      </c>
      <c r="F294" t="s">
        <v>17</v>
      </c>
      <c r="G294" s="70" t="s">
        <v>329</v>
      </c>
      <c r="H294" t="s">
        <v>14</v>
      </c>
      <c r="I294" t="s">
        <v>310</v>
      </c>
      <c r="K294" t="str">
        <f t="shared" si="7"/>
        <v>ED2302-TO-KB-KB Localization project-JA Batch-2</v>
      </c>
    </row>
    <row r="295" spans="1:11">
      <c r="A295">
        <v>294</v>
      </c>
      <c r="B295" t="s">
        <v>16</v>
      </c>
      <c r="C295">
        <v>2302</v>
      </c>
      <c r="E295" t="s">
        <v>114</v>
      </c>
      <c r="F295" t="s">
        <v>17</v>
      </c>
      <c r="G295" t="s">
        <v>330</v>
      </c>
      <c r="H295" t="s">
        <v>14</v>
      </c>
      <c r="I295" t="s">
        <v>315</v>
      </c>
      <c r="K295" t="str">
        <f t="shared" si="7"/>
        <v>ED2302-TO-KB-JIRA-Backlog Third Party Connector-JA New</v>
      </c>
    </row>
    <row r="296" spans="1:11" ht="18.600000000000001">
      <c r="A296">
        <v>295</v>
      </c>
      <c r="B296" t="s">
        <v>16</v>
      </c>
      <c r="C296">
        <v>2302</v>
      </c>
      <c r="E296" t="s">
        <v>114</v>
      </c>
      <c r="F296" t="s">
        <v>17</v>
      </c>
      <c r="G296" s="70" t="s">
        <v>331</v>
      </c>
      <c r="H296" t="s">
        <v>14</v>
      </c>
      <c r="I296" t="s">
        <v>310</v>
      </c>
      <c r="K296" t="str">
        <f t="shared" si="7"/>
        <v>ED2302-TO-KB-Support FY24 Q1 02-JA Batch-2</v>
      </c>
    </row>
    <row r="297" spans="1:11" ht="18.600000000000001">
      <c r="A297">
        <v>296</v>
      </c>
      <c r="B297" t="s">
        <v>16</v>
      </c>
      <c r="C297">
        <v>2302</v>
      </c>
      <c r="E297" t="s">
        <v>114</v>
      </c>
      <c r="F297" t="s">
        <v>17</v>
      </c>
      <c r="G297" s="70" t="s">
        <v>328</v>
      </c>
      <c r="H297" t="s">
        <v>14</v>
      </c>
      <c r="I297" t="s">
        <v>332</v>
      </c>
      <c r="K297" t="str">
        <f t="shared" si="7"/>
        <v>ED2302-TO-KB-Support FY24 Q1 02-JA Batch-3</v>
      </c>
    </row>
    <row r="298" spans="1:11">
      <c r="A298">
        <v>297</v>
      </c>
      <c r="B298" t="s">
        <v>16</v>
      </c>
      <c r="C298">
        <v>2302</v>
      </c>
      <c r="E298" t="s">
        <v>114</v>
      </c>
      <c r="F298" t="s">
        <v>17</v>
      </c>
      <c r="G298" t="s">
        <v>333</v>
      </c>
      <c r="H298" t="s">
        <v>14</v>
      </c>
      <c r="I298" t="s">
        <v>332</v>
      </c>
      <c r="K298" t="str">
        <f t="shared" si="7"/>
        <v>ED2302-TO-KB-KB Localization project-JA Batch-3</v>
      </c>
    </row>
    <row r="299" spans="1:11" ht="18.600000000000001">
      <c r="A299">
        <v>298</v>
      </c>
      <c r="B299" t="s">
        <v>16</v>
      </c>
      <c r="C299">
        <v>2303</v>
      </c>
      <c r="E299" t="s">
        <v>114</v>
      </c>
      <c r="F299" t="s">
        <v>20</v>
      </c>
      <c r="G299" s="70" t="s">
        <v>334</v>
      </c>
      <c r="H299" t="s">
        <v>14</v>
      </c>
      <c r="K299" t="str">
        <f t="shared" si="7"/>
        <v>ED2303-TO-Learn Domo-Docebo Course translation 202303-JA</v>
      </c>
    </row>
    <row r="300" spans="1:11">
      <c r="A300">
        <v>299</v>
      </c>
      <c r="B300" t="s">
        <v>16</v>
      </c>
      <c r="C300">
        <v>2303</v>
      </c>
      <c r="E300" t="s">
        <v>152</v>
      </c>
      <c r="F300" t="s">
        <v>17</v>
      </c>
      <c r="G300" t="s">
        <v>333</v>
      </c>
      <c r="H300" t="s">
        <v>14</v>
      </c>
      <c r="I300" t="s">
        <v>335</v>
      </c>
      <c r="K300" t="str">
        <f t="shared" si="7"/>
        <v>ED2303-MH-KB-KB Localization project-JA Batch-4</v>
      </c>
    </row>
    <row r="301" spans="1:11">
      <c r="A301">
        <v>300</v>
      </c>
      <c r="B301" t="s">
        <v>16</v>
      </c>
      <c r="C301">
        <v>2303</v>
      </c>
      <c r="E301" t="s">
        <v>114</v>
      </c>
      <c r="F301" t="s">
        <v>17</v>
      </c>
      <c r="G301" t="s">
        <v>333</v>
      </c>
      <c r="H301" t="s">
        <v>14</v>
      </c>
      <c r="I301" t="s">
        <v>336</v>
      </c>
      <c r="K301" t="str">
        <f t="shared" si="7"/>
        <v>ED2303-TO-KB-KB Localization project-JA Batch-5</v>
      </c>
    </row>
    <row r="302" spans="1:11">
      <c r="A302">
        <v>301</v>
      </c>
      <c r="B302" t="s">
        <v>16</v>
      </c>
      <c r="C302">
        <v>2303</v>
      </c>
      <c r="E302" t="s">
        <v>114</v>
      </c>
      <c r="F302" t="s">
        <v>17</v>
      </c>
      <c r="G302" t="s">
        <v>337</v>
      </c>
      <c r="H302" t="s">
        <v>14</v>
      </c>
      <c r="K302" t="str">
        <f t="shared" si="7"/>
        <v>ED2303-TO-KB-Support FY24 Q1 03-JA</v>
      </c>
    </row>
    <row r="303" spans="1:11" ht="18.600000000000001">
      <c r="A303">
        <v>302</v>
      </c>
      <c r="B303" t="s">
        <v>16</v>
      </c>
      <c r="C303">
        <v>2303</v>
      </c>
      <c r="E303" t="s">
        <v>114</v>
      </c>
      <c r="F303" t="s">
        <v>17</v>
      </c>
      <c r="G303" s="70" t="s">
        <v>338</v>
      </c>
      <c r="H303" t="s">
        <v>14</v>
      </c>
      <c r="K303" t="str">
        <f t="shared" si="7"/>
        <v>ED2303-TO-KB-Support FY24 Q1 03 Workbench 5.2 Overview-JA</v>
      </c>
    </row>
    <row r="304" spans="1:11" ht="18.600000000000001">
      <c r="A304">
        <v>303</v>
      </c>
      <c r="B304" t="s">
        <v>16</v>
      </c>
      <c r="C304">
        <v>2303</v>
      </c>
      <c r="E304" t="s">
        <v>114</v>
      </c>
      <c r="F304" t="s">
        <v>17</v>
      </c>
      <c r="G304" s="70" t="s">
        <v>339</v>
      </c>
      <c r="H304" t="s">
        <v>14</v>
      </c>
      <c r="K304" t="str">
        <f t="shared" si="7"/>
        <v>ED2303-TO-KB-Support FY24 Q1 03 Workbench 5.1 FAQs-JA</v>
      </c>
    </row>
    <row r="305" spans="1:11">
      <c r="A305">
        <v>304</v>
      </c>
      <c r="B305" t="s">
        <v>16</v>
      </c>
      <c r="C305">
        <v>2303</v>
      </c>
      <c r="E305" t="s">
        <v>114</v>
      </c>
      <c r="F305" t="s">
        <v>17</v>
      </c>
      <c r="G305" t="s">
        <v>333</v>
      </c>
      <c r="H305" t="s">
        <v>14</v>
      </c>
      <c r="I305" t="s">
        <v>340</v>
      </c>
      <c r="K305" t="str">
        <f t="shared" si="7"/>
        <v>ED2303-TO-KB-KB Localization project-JA Batch-6</v>
      </c>
    </row>
    <row r="306" spans="1:11">
      <c r="A306">
        <v>305</v>
      </c>
      <c r="B306" t="s">
        <v>16</v>
      </c>
      <c r="C306">
        <v>2303</v>
      </c>
      <c r="E306" t="s">
        <v>114</v>
      </c>
      <c r="F306" t="s">
        <v>17</v>
      </c>
      <c r="G306" t="s">
        <v>333</v>
      </c>
      <c r="H306" t="s">
        <v>14</v>
      </c>
      <c r="I306" t="s">
        <v>341</v>
      </c>
      <c r="K306" t="str">
        <f t="shared" si="7"/>
        <v>ED2303-TO-KB-KB Localization project-JA Batch-7</v>
      </c>
    </row>
    <row r="307" spans="1:11" ht="18.600000000000001">
      <c r="A307">
        <v>306</v>
      </c>
      <c r="B307" t="s">
        <v>16</v>
      </c>
      <c r="C307">
        <v>2303</v>
      </c>
      <c r="E307" t="s">
        <v>114</v>
      </c>
      <c r="F307" t="s">
        <v>17</v>
      </c>
      <c r="G307" s="70" t="s">
        <v>342</v>
      </c>
      <c r="H307" t="s">
        <v>14</v>
      </c>
      <c r="K307" t="str">
        <f t="shared" si="7"/>
        <v>ED2303-TO-KB-Release Notes Staging-JA</v>
      </c>
    </row>
    <row r="308" spans="1:11" ht="18.600000000000001">
      <c r="A308">
        <v>307</v>
      </c>
      <c r="B308" t="s">
        <v>16</v>
      </c>
      <c r="C308">
        <v>2303</v>
      </c>
      <c r="E308" t="s">
        <v>114</v>
      </c>
      <c r="F308" t="s">
        <v>17</v>
      </c>
      <c r="G308" s="70" t="s">
        <v>342</v>
      </c>
      <c r="H308" t="s">
        <v>14</v>
      </c>
      <c r="I308" t="s">
        <v>278</v>
      </c>
      <c r="K308" t="str">
        <f t="shared" si="7"/>
        <v>ED2303-TO-KB-Release Notes Staging-JA Update</v>
      </c>
    </row>
    <row r="309" spans="1:11" ht="18.600000000000001">
      <c r="A309">
        <v>308</v>
      </c>
      <c r="B309" t="s">
        <v>16</v>
      </c>
      <c r="C309">
        <v>2303</v>
      </c>
      <c r="E309" t="s">
        <v>152</v>
      </c>
      <c r="F309" t="s">
        <v>17</v>
      </c>
      <c r="G309" s="70" t="s">
        <v>342</v>
      </c>
      <c r="H309" t="s">
        <v>14</v>
      </c>
      <c r="I309" t="s">
        <v>278</v>
      </c>
      <c r="K309" t="str">
        <f t="shared" si="7"/>
        <v>ED2303-MH-KB-Release Notes Staging-JA Update</v>
      </c>
    </row>
    <row r="310" spans="1:11" ht="18.600000000000001">
      <c r="A310">
        <v>309</v>
      </c>
      <c r="B310" t="s">
        <v>16</v>
      </c>
      <c r="C310">
        <v>2303</v>
      </c>
      <c r="E310" t="s">
        <v>114</v>
      </c>
      <c r="F310" t="s">
        <v>17</v>
      </c>
      <c r="G310" s="70" t="s">
        <v>343</v>
      </c>
      <c r="H310" t="s">
        <v>14</v>
      </c>
      <c r="I310" t="s">
        <v>278</v>
      </c>
      <c r="K310" t="str">
        <f t="shared" si="7"/>
        <v>ED2303-TO-KB-October 2022 Release Notes-JA Update</v>
      </c>
    </row>
    <row r="311" spans="1:11">
      <c r="A311">
        <v>310</v>
      </c>
      <c r="B311" t="s">
        <v>16</v>
      </c>
      <c r="C311">
        <v>2304</v>
      </c>
      <c r="E311" t="s">
        <v>114</v>
      </c>
      <c r="F311" t="s">
        <v>17</v>
      </c>
      <c r="G311" t="s">
        <v>344</v>
      </c>
      <c r="H311" t="s">
        <v>14</v>
      </c>
      <c r="I311" t="s">
        <v>278</v>
      </c>
      <c r="K311" t="str">
        <f t="shared" ref="K311:K374" si="8">B311&amp;C311&amp;"-"&amp;E311&amp;"-"&amp;F311&amp;"-"&amp;G311&amp;"-"&amp;H311&amp;I311</f>
        <v>ED2304-TO-KB-Available Bar Charts-JA Update</v>
      </c>
    </row>
    <row r="312" spans="1:11">
      <c r="A312">
        <v>311</v>
      </c>
      <c r="B312" t="s">
        <v>16</v>
      </c>
      <c r="C312">
        <v>2304</v>
      </c>
      <c r="E312" t="s">
        <v>114</v>
      </c>
      <c r="F312" t="s">
        <v>17</v>
      </c>
      <c r="G312" t="s">
        <v>345</v>
      </c>
      <c r="H312" t="s">
        <v>14</v>
      </c>
      <c r="I312" t="s">
        <v>278</v>
      </c>
      <c r="K312" t="str">
        <f t="shared" si="8"/>
        <v>ED2304-TO-KB-Table Chart-JA Update</v>
      </c>
    </row>
    <row r="313" spans="1:11">
      <c r="A313">
        <v>312</v>
      </c>
      <c r="B313" t="s">
        <v>16</v>
      </c>
      <c r="C313">
        <v>2405</v>
      </c>
      <c r="E313" t="s">
        <v>114</v>
      </c>
      <c r="F313" t="s">
        <v>17</v>
      </c>
      <c r="G313" t="s">
        <v>346</v>
      </c>
      <c r="H313" t="s">
        <v>14</v>
      </c>
      <c r="I313" t="s">
        <v>278</v>
      </c>
      <c r="K313" t="str">
        <f t="shared" si="8"/>
        <v>ED2405-TO-KB-Setting the Minimum or Maximum Value for Your Chart-JA Update</v>
      </c>
    </row>
    <row r="314" spans="1:11">
      <c r="A314">
        <v>313</v>
      </c>
      <c r="B314" t="s">
        <v>16</v>
      </c>
      <c r="C314">
        <v>2405</v>
      </c>
      <c r="E314" t="s">
        <v>114</v>
      </c>
      <c r="F314" t="s">
        <v>17</v>
      </c>
      <c r="G314" t="s">
        <v>347</v>
      </c>
      <c r="H314" t="s">
        <v>14</v>
      </c>
      <c r="I314" t="s">
        <v>278</v>
      </c>
      <c r="K314" t="str">
        <f t="shared" si="8"/>
        <v>ED2405-TO-KB-Dashboard Optimization Best Practices-JA Update</v>
      </c>
    </row>
    <row r="315" spans="1:11">
      <c r="A315">
        <v>314</v>
      </c>
      <c r="B315" t="s">
        <v>16</v>
      </c>
      <c r="C315">
        <v>2304</v>
      </c>
      <c r="E315" t="s">
        <v>114</v>
      </c>
      <c r="F315" t="s">
        <v>17</v>
      </c>
      <c r="G315" t="s">
        <v>348</v>
      </c>
      <c r="H315" t="s">
        <v>14</v>
      </c>
      <c r="I315" t="s">
        <v>278</v>
      </c>
      <c r="K315" t="str">
        <f t="shared" si="8"/>
        <v>ED2304-TO-KB-Using the Domo PowerPoint Plugin-JA Update</v>
      </c>
    </row>
    <row r="316" spans="1:11">
      <c r="A316">
        <v>315</v>
      </c>
      <c r="B316" t="s">
        <v>16</v>
      </c>
      <c r="C316">
        <v>2304</v>
      </c>
      <c r="E316" t="s">
        <v>114</v>
      </c>
      <c r="F316" t="s">
        <v>17</v>
      </c>
      <c r="G316" t="s">
        <v>349</v>
      </c>
      <c r="H316" t="s">
        <v>14</v>
      </c>
      <c r="I316" t="s">
        <v>278</v>
      </c>
      <c r="K316" t="str">
        <f t="shared" si="8"/>
        <v>ED2304-TO-KB-Bar Chart-JA Update</v>
      </c>
    </row>
    <row r="317" spans="1:11">
      <c r="A317">
        <v>316</v>
      </c>
      <c r="B317" t="s">
        <v>16</v>
      </c>
      <c r="C317">
        <v>2304</v>
      </c>
      <c r="E317" t="s">
        <v>114</v>
      </c>
      <c r="F317" t="s">
        <v>40</v>
      </c>
      <c r="G317" s="300" t="s">
        <v>350</v>
      </c>
      <c r="H317" t="s">
        <v>14</v>
      </c>
      <c r="K317" t="str">
        <f t="shared" si="8"/>
        <v>ED2304-TO-App-March 2023 Release Update-Coursebuilder-JA</v>
      </c>
    </row>
    <row r="318" spans="1:11">
      <c r="A318">
        <v>317</v>
      </c>
      <c r="B318" t="s">
        <v>16</v>
      </c>
      <c r="C318">
        <v>2304</v>
      </c>
      <c r="E318" t="s">
        <v>114</v>
      </c>
      <c r="F318" t="s">
        <v>40</v>
      </c>
      <c r="G318" t="s">
        <v>351</v>
      </c>
      <c r="H318" t="s">
        <v>14</v>
      </c>
      <c r="K318" t="str">
        <f t="shared" si="8"/>
        <v>ED2304-TO-App-March 2023 Release related Apps-JA</v>
      </c>
    </row>
    <row r="319" spans="1:11">
      <c r="A319">
        <v>318</v>
      </c>
      <c r="B319" t="s">
        <v>16</v>
      </c>
      <c r="C319">
        <v>2304</v>
      </c>
      <c r="E319" t="s">
        <v>114</v>
      </c>
      <c r="F319" t="s">
        <v>17</v>
      </c>
      <c r="G319" t="s">
        <v>352</v>
      </c>
      <c r="H319" t="s">
        <v>14</v>
      </c>
      <c r="I319" t="s">
        <v>278</v>
      </c>
      <c r="K319" t="str">
        <f t="shared" si="8"/>
        <v>ED2304-TO-KB-Visualization Card - Update-JA Update</v>
      </c>
    </row>
    <row r="320" spans="1:11">
      <c r="A320">
        <v>319</v>
      </c>
      <c r="B320" t="s">
        <v>16</v>
      </c>
      <c r="C320">
        <v>2304</v>
      </c>
      <c r="E320" t="s">
        <v>114</v>
      </c>
      <c r="F320" t="s">
        <v>17</v>
      </c>
      <c r="G320" t="s">
        <v>353</v>
      </c>
      <c r="H320" t="s">
        <v>14</v>
      </c>
      <c r="I320" t="s">
        <v>278</v>
      </c>
      <c r="K320" t="str">
        <f t="shared" si="8"/>
        <v>ED2304-TO-KB-Editing the Name or Description of a Visualization Card-JA Update</v>
      </c>
    </row>
    <row r="321" spans="1:11">
      <c r="A321">
        <v>320</v>
      </c>
      <c r="B321" t="s">
        <v>16</v>
      </c>
      <c r="C321">
        <v>2304</v>
      </c>
      <c r="E321" t="s">
        <v>114</v>
      </c>
      <c r="F321" t="s">
        <v>17</v>
      </c>
      <c r="G321" t="s">
        <v>354</v>
      </c>
      <c r="H321" t="s">
        <v>14</v>
      </c>
      <c r="I321" t="s">
        <v>278</v>
      </c>
      <c r="K321" t="str">
        <f t="shared" si="8"/>
        <v>ED2304-TO-KB-ED2308-ZDK FY23-Q3 08_B-11-JA Update</v>
      </c>
    </row>
    <row r="322" spans="1:11">
      <c r="A322">
        <v>321</v>
      </c>
      <c r="B322" t="s">
        <v>16</v>
      </c>
      <c r="C322">
        <v>2304</v>
      </c>
      <c r="E322" t="s">
        <v>152</v>
      </c>
      <c r="F322" t="s">
        <v>17</v>
      </c>
      <c r="G322" t="s">
        <v>355</v>
      </c>
      <c r="H322" t="s">
        <v>14</v>
      </c>
      <c r="I322" t="s">
        <v>305</v>
      </c>
      <c r="K322" t="str">
        <f t="shared" si="8"/>
        <v>ED2304-MH-KB-Table Chart-JA Bugfix</v>
      </c>
    </row>
    <row r="323" spans="1:11">
      <c r="A323">
        <v>322</v>
      </c>
      <c r="G323" t="s">
        <v>356</v>
      </c>
      <c r="K323" t="str">
        <f t="shared" si="8"/>
        <v>---Properties for Gauges-</v>
      </c>
    </row>
    <row r="324" spans="1:11">
      <c r="A324">
        <v>323</v>
      </c>
      <c r="B324" t="s">
        <v>16</v>
      </c>
      <c r="C324">
        <v>2304</v>
      </c>
      <c r="E324" t="s">
        <v>152</v>
      </c>
      <c r="F324" t="s">
        <v>17</v>
      </c>
      <c r="G324" t="s">
        <v>357</v>
      </c>
      <c r="H324" t="s">
        <v>14</v>
      </c>
      <c r="I324" t="s">
        <v>274</v>
      </c>
      <c r="K324" t="str">
        <f t="shared" si="8"/>
        <v>ED2304-MH-KB-Format Fix-JA SFDC Update</v>
      </c>
    </row>
    <row r="325" spans="1:11">
      <c r="A325">
        <v>324</v>
      </c>
      <c r="B325" t="s">
        <v>16</v>
      </c>
      <c r="C325">
        <v>2304</v>
      </c>
      <c r="E325" t="s">
        <v>152</v>
      </c>
      <c r="F325" t="s">
        <v>17</v>
      </c>
      <c r="G325" t="s">
        <v>357</v>
      </c>
      <c r="H325" t="s">
        <v>14</v>
      </c>
      <c r="I325" t="s">
        <v>358</v>
      </c>
      <c r="K325" t="str">
        <f t="shared" si="8"/>
        <v>ED2304-MH-KB-Format Fix-JA SFDC Update 2</v>
      </c>
    </row>
    <row r="326" spans="1:11">
      <c r="A326">
        <v>325</v>
      </c>
      <c r="B326" t="s">
        <v>16</v>
      </c>
      <c r="C326">
        <v>2304</v>
      </c>
      <c r="E326" t="s">
        <v>114</v>
      </c>
      <c r="F326" t="s">
        <v>17</v>
      </c>
      <c r="G326" t="s">
        <v>359</v>
      </c>
      <c r="H326" t="s">
        <v>14</v>
      </c>
      <c r="I326" t="s">
        <v>315</v>
      </c>
      <c r="K326" t="str">
        <f t="shared" si="8"/>
        <v>ED2304-TO-KB-Domo Add-ins for Microsoft 365-JA New</v>
      </c>
    </row>
    <row r="327" spans="1:11">
      <c r="A327">
        <v>326</v>
      </c>
      <c r="B327" t="s">
        <v>16</v>
      </c>
      <c r="C327">
        <v>2304</v>
      </c>
      <c r="E327" t="s">
        <v>152</v>
      </c>
      <c r="F327" t="s">
        <v>17</v>
      </c>
      <c r="G327" t="s">
        <v>360</v>
      </c>
      <c r="H327" t="s">
        <v>14</v>
      </c>
      <c r="I327" t="s">
        <v>278</v>
      </c>
      <c r="K327" t="str">
        <f t="shared" si="8"/>
        <v>ED2304-MH-KB-Signing into Domo-JA Update</v>
      </c>
    </row>
    <row r="328" spans="1:11">
      <c r="A328">
        <v>327</v>
      </c>
      <c r="B328" t="s">
        <v>16</v>
      </c>
      <c r="C328">
        <v>2304</v>
      </c>
      <c r="E328" t="s">
        <v>114</v>
      </c>
      <c r="F328" t="s">
        <v>17</v>
      </c>
      <c r="G328" t="s">
        <v>361</v>
      </c>
      <c r="H328" t="s">
        <v>14</v>
      </c>
      <c r="I328" t="s">
        <v>278</v>
      </c>
      <c r="K328" t="str">
        <f t="shared" si="8"/>
        <v>ED2304-TO-KB-User Information-JA Update</v>
      </c>
    </row>
    <row r="329" spans="1:11">
      <c r="A329">
        <v>328</v>
      </c>
      <c r="B329" t="s">
        <v>16</v>
      </c>
      <c r="C329">
        <v>2304</v>
      </c>
      <c r="E329" t="s">
        <v>114</v>
      </c>
      <c r="F329" t="s">
        <v>17</v>
      </c>
      <c r="G329" t="s">
        <v>362</v>
      </c>
      <c r="H329" t="s">
        <v>14</v>
      </c>
      <c r="I329" t="s">
        <v>312</v>
      </c>
      <c r="K329" t="str">
        <f t="shared" si="8"/>
        <v>ED2304-TO-KB-2023 March Release related-JA Batch-1</v>
      </c>
    </row>
    <row r="330" spans="1:11">
      <c r="A330">
        <v>329</v>
      </c>
      <c r="B330" t="s">
        <v>16</v>
      </c>
      <c r="C330">
        <v>2304</v>
      </c>
      <c r="E330" t="s">
        <v>114</v>
      </c>
      <c r="F330" t="s">
        <v>17</v>
      </c>
      <c r="G330" t="s">
        <v>362</v>
      </c>
      <c r="H330" t="s">
        <v>14</v>
      </c>
      <c r="I330" t="s">
        <v>363</v>
      </c>
      <c r="K330" t="str">
        <f t="shared" si="8"/>
        <v>ED2304-TO-KB-2023 March Release related-JA Batch-2</v>
      </c>
    </row>
    <row r="331" spans="1:11">
      <c r="A331">
        <v>330</v>
      </c>
      <c r="B331" t="s">
        <v>16</v>
      </c>
      <c r="C331">
        <v>2304</v>
      </c>
      <c r="E331" t="s">
        <v>114</v>
      </c>
      <c r="F331" t="s">
        <v>17</v>
      </c>
      <c r="G331" t="s">
        <v>362</v>
      </c>
      <c r="H331" t="s">
        <v>14</v>
      </c>
      <c r="I331" t="s">
        <v>332</v>
      </c>
      <c r="K331" t="str">
        <f t="shared" si="8"/>
        <v>ED2304-TO-KB-2023 March Release related-JA Batch-3</v>
      </c>
    </row>
    <row r="332" spans="1:11">
      <c r="A332">
        <v>331</v>
      </c>
      <c r="B332" t="s">
        <v>16</v>
      </c>
      <c r="C332">
        <v>2304</v>
      </c>
      <c r="E332" t="s">
        <v>114</v>
      </c>
      <c r="F332" t="s">
        <v>17</v>
      </c>
      <c r="G332" t="s">
        <v>362</v>
      </c>
      <c r="H332" t="s">
        <v>14</v>
      </c>
      <c r="I332" t="s">
        <v>364</v>
      </c>
      <c r="K332" t="str">
        <f t="shared" si="8"/>
        <v>ED2304-TO-KB-2023 March Release related-JA Batch-4</v>
      </c>
    </row>
    <row r="333" spans="1:11">
      <c r="A333">
        <v>332</v>
      </c>
      <c r="B333" t="s">
        <v>16</v>
      </c>
      <c r="C333">
        <v>2304</v>
      </c>
      <c r="E333" t="s">
        <v>114</v>
      </c>
      <c r="F333" t="s">
        <v>17</v>
      </c>
      <c r="G333" s="266" t="s">
        <v>365</v>
      </c>
      <c r="H333" t="s">
        <v>14</v>
      </c>
      <c r="I333" t="s">
        <v>278</v>
      </c>
      <c r="K333" t="str">
        <f t="shared" si="8"/>
        <v>ED2304-TO-KB-Cloud Amplifier Overview-JA Update</v>
      </c>
    </row>
    <row r="334" spans="1:11">
      <c r="A334">
        <v>333</v>
      </c>
      <c r="B334" t="s">
        <v>16</v>
      </c>
      <c r="G334" t="s">
        <v>254</v>
      </c>
      <c r="K334" t="str">
        <f t="shared" si="8"/>
        <v>ED---Pivot Table-</v>
      </c>
    </row>
    <row r="335" spans="1:11">
      <c r="A335">
        <v>334</v>
      </c>
      <c r="B335" t="s">
        <v>16</v>
      </c>
      <c r="G335" t="s">
        <v>366</v>
      </c>
      <c r="K335" t="str">
        <f t="shared" si="8"/>
        <v>ED---ED2309-TO_KB-Zendesk FY23-Q3 09-JA_Update_Batch-2-</v>
      </c>
    </row>
    <row r="336" spans="1:11">
      <c r="A336">
        <v>335</v>
      </c>
      <c r="B336" t="s">
        <v>16</v>
      </c>
      <c r="G336" t="s">
        <v>367</v>
      </c>
      <c r="K336" t="str">
        <f t="shared" si="8"/>
        <v>ED---Card Building FAQs-</v>
      </c>
    </row>
    <row r="337" spans="1:12">
      <c r="A337">
        <v>336</v>
      </c>
      <c r="B337" t="s">
        <v>16</v>
      </c>
      <c r="C337">
        <v>2405</v>
      </c>
      <c r="E337" t="s">
        <v>152</v>
      </c>
      <c r="F337" t="s">
        <v>247</v>
      </c>
      <c r="G337" t="s">
        <v>256</v>
      </c>
      <c r="H337" t="s">
        <v>14</v>
      </c>
      <c r="K337" t="str">
        <f t="shared" si="8"/>
        <v>ED2405-MH-KB-Support-Supported Functions in Magic ETL-JA</v>
      </c>
    </row>
    <row r="338" spans="1:12">
      <c r="A338">
        <v>337</v>
      </c>
      <c r="B338" t="s">
        <v>16</v>
      </c>
      <c r="C338">
        <v>2405</v>
      </c>
      <c r="E338" t="s">
        <v>114</v>
      </c>
      <c r="F338" t="s">
        <v>247</v>
      </c>
      <c r="G338" t="s">
        <v>368</v>
      </c>
      <c r="H338" t="s">
        <v>14</v>
      </c>
      <c r="K338" t="str">
        <f t="shared" si="8"/>
        <v>ED2405-TO-KB-Support-Amazon S3 Connector-JA</v>
      </c>
      <c r="L338" t="s">
        <v>369</v>
      </c>
    </row>
    <row r="339" spans="1:12">
      <c r="A339">
        <v>338</v>
      </c>
      <c r="B339" t="s">
        <v>16</v>
      </c>
      <c r="C339">
        <v>2405</v>
      </c>
      <c r="E339" t="s">
        <v>114</v>
      </c>
      <c r="F339" t="s">
        <v>247</v>
      </c>
      <c r="G339" t="s">
        <v>258</v>
      </c>
      <c r="H339" t="s">
        <v>14</v>
      </c>
      <c r="K339" t="str">
        <f t="shared" si="8"/>
        <v>ED2405-TO-KB-Support-Formatting Data Label and Hover Text in Your Chart-JA</v>
      </c>
      <c r="L339" t="s">
        <v>370</v>
      </c>
    </row>
    <row r="340" spans="1:12">
      <c r="A340">
        <v>339</v>
      </c>
      <c r="B340" t="s">
        <v>16</v>
      </c>
      <c r="C340">
        <v>2405</v>
      </c>
      <c r="E340" t="s">
        <v>114</v>
      </c>
      <c r="F340" t="s">
        <v>247</v>
      </c>
      <c r="G340" t="s">
        <v>371</v>
      </c>
      <c r="H340" t="s">
        <v>14</v>
      </c>
      <c r="K340" t="str">
        <f t="shared" si="8"/>
        <v>ED2405-TO-KB-Support-Alert Center Layout-JA</v>
      </c>
      <c r="L340" t="s">
        <v>370</v>
      </c>
    </row>
    <row r="341" spans="1:12">
      <c r="A341">
        <v>340</v>
      </c>
      <c r="B341" t="s">
        <v>16</v>
      </c>
      <c r="C341">
        <v>2405</v>
      </c>
      <c r="E341" t="s">
        <v>114</v>
      </c>
      <c r="F341" t="s">
        <v>247</v>
      </c>
      <c r="G341" t="s">
        <v>111</v>
      </c>
      <c r="H341" t="s">
        <v>14</v>
      </c>
      <c r="K341" t="str">
        <f t="shared" si="8"/>
        <v>ED2405-TO-KB-Support-Creating Domo Stories-JA</v>
      </c>
    </row>
    <row r="342" spans="1:12">
      <c r="A342">
        <v>341</v>
      </c>
      <c r="B342" t="s">
        <v>16</v>
      </c>
      <c r="C342">
        <v>2405</v>
      </c>
      <c r="E342" t="s">
        <v>114</v>
      </c>
      <c r="F342" t="s">
        <v>247</v>
      </c>
      <c r="G342" t="s">
        <v>372</v>
      </c>
      <c r="H342" t="s">
        <v>14</v>
      </c>
      <c r="K342" t="str">
        <f t="shared" si="8"/>
        <v>ED2405-TO-KB-Support-Upgrading Workbench 5.2-JA</v>
      </c>
    </row>
    <row r="343" spans="1:12">
      <c r="A343">
        <v>342</v>
      </c>
      <c r="B343" t="s">
        <v>16</v>
      </c>
      <c r="C343">
        <v>2405</v>
      </c>
      <c r="E343" t="s">
        <v>114</v>
      </c>
      <c r="F343" t="s">
        <v>247</v>
      </c>
      <c r="G343" t="s">
        <v>373</v>
      </c>
      <c r="H343" t="s">
        <v>14</v>
      </c>
      <c r="K343" t="str">
        <f t="shared" si="8"/>
        <v>ED2405-TO-KB-Support-Troubleshooting for Custom Apps-JA</v>
      </c>
    </row>
    <row r="344" spans="1:12">
      <c r="A344">
        <v>343</v>
      </c>
      <c r="B344" t="s">
        <v>16</v>
      </c>
      <c r="C344">
        <v>2405</v>
      </c>
      <c r="E344" t="s">
        <v>152</v>
      </c>
      <c r="F344" t="s">
        <v>247</v>
      </c>
      <c r="G344" t="s">
        <v>374</v>
      </c>
      <c r="H344" t="s">
        <v>14</v>
      </c>
      <c r="K344" t="str">
        <f t="shared" si="8"/>
        <v>ED2405-MH-KB-Support-Domo Bricks-JA</v>
      </c>
    </row>
    <row r="345" spans="1:12">
      <c r="A345">
        <v>344</v>
      </c>
      <c r="B345" t="s">
        <v>16</v>
      </c>
      <c r="C345">
        <v>2405</v>
      </c>
      <c r="E345" t="s">
        <v>152</v>
      </c>
      <c r="F345" t="s">
        <v>247</v>
      </c>
      <c r="G345" t="s">
        <v>375</v>
      </c>
      <c r="H345" t="s">
        <v>14</v>
      </c>
      <c r="K345" t="str">
        <f t="shared" si="8"/>
        <v>ED2405-MH-KB-Support-Submitting Domo Product Feedback-JA</v>
      </c>
    </row>
    <row r="346" spans="1:12">
      <c r="A346">
        <v>345</v>
      </c>
      <c r="B346" t="s">
        <v>16</v>
      </c>
      <c r="C346">
        <v>2405</v>
      </c>
      <c r="E346" t="s">
        <v>114</v>
      </c>
      <c r="F346" t="s">
        <v>17</v>
      </c>
      <c r="G346" t="s">
        <v>376</v>
      </c>
      <c r="H346" t="s">
        <v>14</v>
      </c>
      <c r="K346" t="str">
        <f t="shared" si="8"/>
        <v>ED2405-TO-KB-Inline Editing-JA</v>
      </c>
    </row>
    <row r="347" spans="1:12">
      <c r="A347">
        <v>346</v>
      </c>
      <c r="B347" t="s">
        <v>16</v>
      </c>
      <c r="C347">
        <v>2405</v>
      </c>
      <c r="E347" t="s">
        <v>114</v>
      </c>
      <c r="F347" t="s">
        <v>247</v>
      </c>
      <c r="G347" t="s">
        <v>377</v>
      </c>
      <c r="H347" t="s">
        <v>14</v>
      </c>
      <c r="I347" t="s">
        <v>312</v>
      </c>
      <c r="K347" t="str">
        <f t="shared" si="8"/>
        <v>ED2405-TO-KB-Support-FY24-05 Requests-JA Batch-1</v>
      </c>
    </row>
    <row r="348" spans="1:12">
      <c r="A348">
        <v>347</v>
      </c>
      <c r="B348" t="s">
        <v>16</v>
      </c>
      <c r="C348">
        <v>2405</v>
      </c>
      <c r="E348" t="s">
        <v>114</v>
      </c>
      <c r="F348" t="s">
        <v>247</v>
      </c>
      <c r="G348" t="s">
        <v>377</v>
      </c>
      <c r="H348" t="s">
        <v>14</v>
      </c>
      <c r="I348" t="s">
        <v>363</v>
      </c>
      <c r="K348" t="str">
        <f t="shared" si="8"/>
        <v>ED2405-TO-KB-Support-FY24-05 Requests-JA Batch-2</v>
      </c>
    </row>
    <row r="349" spans="1:12">
      <c r="A349">
        <v>348</v>
      </c>
      <c r="B349" t="s">
        <v>16</v>
      </c>
      <c r="C349">
        <v>2405</v>
      </c>
      <c r="E349" t="s">
        <v>114</v>
      </c>
      <c r="F349" t="s">
        <v>247</v>
      </c>
      <c r="G349" t="s">
        <v>377</v>
      </c>
      <c r="H349" t="s">
        <v>14</v>
      </c>
      <c r="I349" t="s">
        <v>332</v>
      </c>
      <c r="K349" t="str">
        <f t="shared" si="8"/>
        <v>ED2405-TO-KB-Support-FY24-05 Requests-JA Batch-3</v>
      </c>
    </row>
    <row r="350" spans="1:12">
      <c r="A350">
        <v>349</v>
      </c>
      <c r="B350" t="s">
        <v>16</v>
      </c>
      <c r="C350">
        <v>2405</v>
      </c>
      <c r="E350" t="s">
        <v>114</v>
      </c>
      <c r="F350" t="s">
        <v>247</v>
      </c>
      <c r="G350" t="s">
        <v>377</v>
      </c>
      <c r="H350" t="s">
        <v>14</v>
      </c>
      <c r="I350" t="s">
        <v>364</v>
      </c>
      <c r="K350" t="str">
        <f t="shared" si="8"/>
        <v>ED2405-TO-KB-Support-FY24-05 Requests-JA Batch-4</v>
      </c>
    </row>
    <row r="351" spans="1:12">
      <c r="A351">
        <v>350</v>
      </c>
      <c r="B351" t="s">
        <v>16</v>
      </c>
      <c r="C351">
        <v>2405</v>
      </c>
      <c r="E351" t="s">
        <v>114</v>
      </c>
      <c r="F351" t="s">
        <v>17</v>
      </c>
      <c r="G351" t="s">
        <v>378</v>
      </c>
      <c r="H351" t="s">
        <v>14</v>
      </c>
      <c r="I351" t="s">
        <v>278</v>
      </c>
      <c r="K351" t="str">
        <f t="shared" si="8"/>
        <v>ED2405-TO-KB-Tableau Connector-JA Update</v>
      </c>
    </row>
    <row r="352" spans="1:12">
      <c r="A352">
        <v>351</v>
      </c>
      <c r="B352" t="s">
        <v>16</v>
      </c>
      <c r="C352">
        <v>2405</v>
      </c>
      <c r="E352" t="s">
        <v>152</v>
      </c>
      <c r="F352" t="s">
        <v>247</v>
      </c>
      <c r="G352" t="s">
        <v>377</v>
      </c>
      <c r="H352" t="s">
        <v>14</v>
      </c>
      <c r="I352" t="s">
        <v>379</v>
      </c>
      <c r="K352" t="str">
        <f t="shared" si="8"/>
        <v>ED2405-MH-KB-Support-FY24-05 Requests-JA Batch-5</v>
      </c>
    </row>
    <row r="353" spans="1:11">
      <c r="A353">
        <v>352</v>
      </c>
      <c r="B353" t="s">
        <v>16</v>
      </c>
      <c r="C353">
        <v>2405</v>
      </c>
      <c r="E353" t="s">
        <v>152</v>
      </c>
      <c r="F353" t="s">
        <v>247</v>
      </c>
      <c r="G353" s="267" t="s">
        <v>345</v>
      </c>
      <c r="H353" t="s">
        <v>14</v>
      </c>
      <c r="I353" t="s">
        <v>380</v>
      </c>
      <c r="K353" t="str">
        <f t="shared" si="8"/>
        <v>ED2405-MH-KB-Support-Table Chart-JA Bugfix-2</v>
      </c>
    </row>
    <row r="354" spans="1:11">
      <c r="A354">
        <v>353</v>
      </c>
      <c r="B354" t="s">
        <v>16</v>
      </c>
      <c r="C354">
        <v>2405</v>
      </c>
      <c r="E354" t="s">
        <v>114</v>
      </c>
      <c r="F354" t="s">
        <v>17</v>
      </c>
      <c r="G354" t="s">
        <v>377</v>
      </c>
      <c r="H354" t="s">
        <v>14</v>
      </c>
      <c r="K354" t="str">
        <f t="shared" si="8"/>
        <v>ED2405-TO-KB-FY24-05 Requests-JA</v>
      </c>
    </row>
    <row r="355" spans="1:11">
      <c r="A355">
        <v>354</v>
      </c>
      <c r="B355" t="s">
        <v>16</v>
      </c>
      <c r="C355">
        <v>2405</v>
      </c>
      <c r="E355" t="s">
        <v>114</v>
      </c>
      <c r="F355" t="s">
        <v>17</v>
      </c>
      <c r="G355" t="s">
        <v>381</v>
      </c>
      <c r="H355" t="s">
        <v>160</v>
      </c>
      <c r="I355" t="s">
        <v>305</v>
      </c>
      <c r="K355" t="str">
        <f t="shared" si="8"/>
        <v>ED2405-TO-KB-Publishing DataSet Views-JA Bugfix</v>
      </c>
    </row>
    <row r="356" spans="1:11">
      <c r="A356">
        <v>355</v>
      </c>
      <c r="B356" t="s">
        <v>16</v>
      </c>
      <c r="C356">
        <v>2405</v>
      </c>
      <c r="E356" t="s">
        <v>114</v>
      </c>
      <c r="F356" t="s">
        <v>17</v>
      </c>
      <c r="G356" t="s">
        <v>377</v>
      </c>
      <c r="H356" t="s">
        <v>14</v>
      </c>
      <c r="I356" t="s">
        <v>310</v>
      </c>
      <c r="K356" t="str">
        <f t="shared" si="8"/>
        <v>ED2405-TO-KB-FY24-05 Requests-JA Batch-2</v>
      </c>
    </row>
    <row r="357" spans="1:11">
      <c r="A357">
        <v>356</v>
      </c>
      <c r="B357" t="s">
        <v>16</v>
      </c>
      <c r="C357">
        <v>2405</v>
      </c>
      <c r="E357" t="s">
        <v>114</v>
      </c>
      <c r="F357" t="s">
        <v>17</v>
      </c>
      <c r="G357" t="s">
        <v>377</v>
      </c>
      <c r="H357" t="s">
        <v>14</v>
      </c>
      <c r="I357" t="s">
        <v>332</v>
      </c>
      <c r="K357" t="str">
        <f t="shared" si="8"/>
        <v>ED2405-TO-KB-FY24-05 Requests-JA Batch-3</v>
      </c>
    </row>
    <row r="358" spans="1:11">
      <c r="A358">
        <v>357</v>
      </c>
      <c r="B358" t="s">
        <v>16</v>
      </c>
      <c r="C358">
        <v>2405</v>
      </c>
      <c r="E358" t="s">
        <v>114</v>
      </c>
      <c r="F358" t="s">
        <v>17</v>
      </c>
      <c r="G358" t="s">
        <v>377</v>
      </c>
      <c r="H358" t="s">
        <v>14</v>
      </c>
      <c r="I358" t="s">
        <v>364</v>
      </c>
      <c r="K358" t="str">
        <f t="shared" si="8"/>
        <v>ED2405-TO-KB-FY24-05 Requests-JA Batch-4</v>
      </c>
    </row>
    <row r="359" spans="1:11">
      <c r="A359">
        <v>358</v>
      </c>
      <c r="B359" t="s">
        <v>16</v>
      </c>
      <c r="C359">
        <v>2406</v>
      </c>
      <c r="E359" t="s">
        <v>152</v>
      </c>
      <c r="F359" t="s">
        <v>17</v>
      </c>
      <c r="G359" t="s">
        <v>382</v>
      </c>
      <c r="H359" t="s">
        <v>14</v>
      </c>
      <c r="I359" t="s">
        <v>312</v>
      </c>
      <c r="K359" t="str">
        <f t="shared" si="8"/>
        <v>ED2406-MH-KB-Republishing and Fix-JA Batch-1</v>
      </c>
    </row>
    <row r="360" spans="1:11">
      <c r="A360">
        <v>359</v>
      </c>
      <c r="B360" t="s">
        <v>16</v>
      </c>
      <c r="C360">
        <v>2406</v>
      </c>
      <c r="E360" t="s">
        <v>114</v>
      </c>
      <c r="F360" t="s">
        <v>17</v>
      </c>
      <c r="G360" t="s">
        <v>383</v>
      </c>
      <c r="H360" t="s">
        <v>14</v>
      </c>
      <c r="I360" t="s">
        <v>312</v>
      </c>
      <c r="K360" t="str">
        <f t="shared" si="8"/>
        <v>ED2406-TO-KB-FY24-06 Requests-JA Batch-1</v>
      </c>
    </row>
    <row r="361" spans="1:11">
      <c r="A361">
        <v>360</v>
      </c>
      <c r="B361" t="s">
        <v>16</v>
      </c>
      <c r="C361">
        <v>2406</v>
      </c>
      <c r="E361" t="s">
        <v>114</v>
      </c>
      <c r="F361" t="s">
        <v>17</v>
      </c>
      <c r="G361" t="s">
        <v>383</v>
      </c>
      <c r="H361" t="s">
        <v>14</v>
      </c>
      <c r="I361" t="s">
        <v>363</v>
      </c>
      <c r="K361" t="str">
        <f t="shared" si="8"/>
        <v>ED2406-TO-KB-FY24-06 Requests-JA Batch-2</v>
      </c>
    </row>
    <row r="362" spans="1:11">
      <c r="A362">
        <v>361</v>
      </c>
      <c r="B362" t="s">
        <v>16</v>
      </c>
      <c r="C362">
        <v>2406</v>
      </c>
      <c r="E362" t="s">
        <v>114</v>
      </c>
      <c r="F362" t="s">
        <v>17</v>
      </c>
      <c r="G362" t="s">
        <v>383</v>
      </c>
      <c r="H362" t="s">
        <v>14</v>
      </c>
      <c r="I362" t="s">
        <v>332</v>
      </c>
      <c r="K362" t="str">
        <f t="shared" si="8"/>
        <v>ED2406-TO-KB-FY24-06 Requests-JA Batch-3</v>
      </c>
    </row>
    <row r="363" spans="1:11">
      <c r="A363">
        <v>362</v>
      </c>
      <c r="B363" t="s">
        <v>16</v>
      </c>
      <c r="C363">
        <v>2406</v>
      </c>
      <c r="E363" t="s">
        <v>114</v>
      </c>
      <c r="F363" t="s">
        <v>17</v>
      </c>
      <c r="G363" t="s">
        <v>383</v>
      </c>
      <c r="H363" t="s">
        <v>14</v>
      </c>
      <c r="I363" t="s">
        <v>364</v>
      </c>
      <c r="K363" t="str">
        <f t="shared" si="8"/>
        <v>ED2406-TO-KB-FY24-06 Requests-JA Batch-4</v>
      </c>
    </row>
    <row r="364" spans="1:11">
      <c r="A364">
        <v>363</v>
      </c>
      <c r="B364" t="s">
        <v>16</v>
      </c>
      <c r="C364">
        <v>2406</v>
      </c>
      <c r="E364" t="s">
        <v>152</v>
      </c>
      <c r="F364" t="s">
        <v>17</v>
      </c>
      <c r="G364" t="s">
        <v>384</v>
      </c>
      <c r="H364" t="s">
        <v>14</v>
      </c>
      <c r="I364" t="s">
        <v>305</v>
      </c>
      <c r="K364" t="str">
        <f t="shared" si="8"/>
        <v>ED2406-MH-KB-FY24-06-JA Bugfix</v>
      </c>
    </row>
    <row r="365" spans="1:11">
      <c r="A365">
        <v>364</v>
      </c>
      <c r="B365" t="s">
        <v>16</v>
      </c>
      <c r="C365">
        <v>2406</v>
      </c>
      <c r="E365" t="s">
        <v>114</v>
      </c>
      <c r="F365" t="s">
        <v>17</v>
      </c>
      <c r="G365" t="s">
        <v>385</v>
      </c>
      <c r="H365" t="s">
        <v>14</v>
      </c>
      <c r="I365" t="s">
        <v>312</v>
      </c>
      <c r="K365" t="str">
        <f t="shared" si="8"/>
        <v>ED2406-TO-KB-SFDC-JA Batch-1</v>
      </c>
    </row>
    <row r="366" spans="1:11">
      <c r="A366">
        <v>365</v>
      </c>
      <c r="B366" t="s">
        <v>16</v>
      </c>
      <c r="C366">
        <v>2406</v>
      </c>
      <c r="E366" t="s">
        <v>152</v>
      </c>
      <c r="F366" t="s">
        <v>17</v>
      </c>
      <c r="G366" t="s">
        <v>384</v>
      </c>
      <c r="H366" t="s">
        <v>14</v>
      </c>
      <c r="I366" t="s">
        <v>380</v>
      </c>
      <c r="K366" t="str">
        <f>B366&amp;C366&amp;"-"&amp;E366&amp;"-"&amp;F366&amp;"-"&amp;G366&amp;"-"&amp;H366&amp;I366</f>
        <v>ED2406-MH-KB-FY24-06-JA Bugfix-2</v>
      </c>
    </row>
    <row r="367" spans="1:11">
      <c r="A367">
        <v>366</v>
      </c>
      <c r="B367" t="s">
        <v>16</v>
      </c>
      <c r="C367">
        <v>2406</v>
      </c>
      <c r="E367" t="s">
        <v>152</v>
      </c>
      <c r="F367" t="s">
        <v>17</v>
      </c>
      <c r="G367" t="s">
        <v>382</v>
      </c>
      <c r="H367" t="s">
        <v>14</v>
      </c>
      <c r="I367" t="s">
        <v>310</v>
      </c>
      <c r="K367" t="str">
        <f t="shared" si="8"/>
        <v>ED2406-MH-KB-Republishing and Fix-JA Batch-2</v>
      </c>
    </row>
    <row r="368" spans="1:11">
      <c r="A368">
        <v>367</v>
      </c>
      <c r="B368" t="s">
        <v>16</v>
      </c>
      <c r="C368">
        <v>2406</v>
      </c>
      <c r="E368" t="s">
        <v>114</v>
      </c>
      <c r="F368" t="s">
        <v>17</v>
      </c>
      <c r="G368" t="s">
        <v>378</v>
      </c>
      <c r="H368" t="s">
        <v>14</v>
      </c>
      <c r="I368" t="s">
        <v>278</v>
      </c>
      <c r="K368" t="str">
        <f t="shared" si="8"/>
        <v>ED2406-TO-KB-Tableau Connector-JA Update</v>
      </c>
    </row>
    <row r="369" spans="1:11">
      <c r="A369">
        <v>368</v>
      </c>
      <c r="B369" t="s">
        <v>16</v>
      </c>
      <c r="C369">
        <v>2406</v>
      </c>
      <c r="E369" t="s">
        <v>152</v>
      </c>
      <c r="F369" t="s">
        <v>17</v>
      </c>
      <c r="G369" t="s">
        <v>386</v>
      </c>
      <c r="H369" t="s">
        <v>14</v>
      </c>
      <c r="I369" t="s">
        <v>278</v>
      </c>
      <c r="K369" t="str">
        <f t="shared" si="8"/>
        <v>ED2406-MH-KB-Card And Dashboard Management-JA Update</v>
      </c>
    </row>
    <row r="370" spans="1:11">
      <c r="A370">
        <v>369</v>
      </c>
      <c r="B370" t="s">
        <v>16</v>
      </c>
      <c r="C370">
        <v>2406</v>
      </c>
      <c r="E370" t="s">
        <v>114</v>
      </c>
      <c r="F370" t="s">
        <v>190</v>
      </c>
      <c r="G370" t="s">
        <v>387</v>
      </c>
      <c r="H370" t="s">
        <v>14</v>
      </c>
      <c r="K370" t="str">
        <f t="shared" si="8"/>
        <v>ED2406-TO-PPT-Draft Japan University Bootcamp.pptx-JA</v>
      </c>
    </row>
    <row r="371" spans="1:11">
      <c r="A371">
        <v>370</v>
      </c>
      <c r="B371" t="s">
        <v>16</v>
      </c>
      <c r="C371">
        <v>2406</v>
      </c>
      <c r="E371" t="s">
        <v>152</v>
      </c>
      <c r="F371" t="s">
        <v>17</v>
      </c>
      <c r="G371" t="s">
        <v>382</v>
      </c>
      <c r="H371" t="s">
        <v>14</v>
      </c>
      <c r="I371" t="s">
        <v>388</v>
      </c>
      <c r="K371" t="str">
        <f t="shared" si="8"/>
        <v>ED2406-MH-KB-Republishing and Fix-JA Batch-1-Update</v>
      </c>
    </row>
    <row r="372" spans="1:11">
      <c r="A372">
        <v>371</v>
      </c>
      <c r="B372" t="s">
        <v>42</v>
      </c>
      <c r="C372">
        <v>2406</v>
      </c>
      <c r="E372" t="s">
        <v>152</v>
      </c>
      <c r="F372" t="s">
        <v>54</v>
      </c>
      <c r="G372" t="s">
        <v>389</v>
      </c>
      <c r="H372" t="s">
        <v>14</v>
      </c>
      <c r="K372" t="str">
        <f t="shared" si="8"/>
        <v>CS2406-MH-indd-BI+Comparison+Brief_+Domo+vs+Tableau.PDF-JA</v>
      </c>
    </row>
    <row r="373" spans="1:11">
      <c r="A373">
        <v>372</v>
      </c>
      <c r="B373" t="s">
        <v>16</v>
      </c>
      <c r="C373">
        <v>2406</v>
      </c>
      <c r="E373" t="s">
        <v>114</v>
      </c>
      <c r="F373" t="s">
        <v>17</v>
      </c>
      <c r="G373" s="273" t="s">
        <v>390</v>
      </c>
      <c r="H373" t="s">
        <v>14</v>
      </c>
      <c r="K373" t="str">
        <f t="shared" si="8"/>
        <v>ED2406-TO-KB-Nested Bar Chart-JA</v>
      </c>
    </row>
    <row r="374" spans="1:11">
      <c r="A374">
        <v>373</v>
      </c>
      <c r="B374" t="s">
        <v>16</v>
      </c>
      <c r="C374">
        <v>2406</v>
      </c>
      <c r="E374" t="s">
        <v>114</v>
      </c>
      <c r="F374" t="s">
        <v>17</v>
      </c>
      <c r="G374" t="s">
        <v>391</v>
      </c>
      <c r="H374" t="s">
        <v>14</v>
      </c>
      <c r="I374" t="s">
        <v>312</v>
      </c>
      <c r="K374" t="str">
        <f t="shared" si="8"/>
        <v>ED2406-TO-KB-Box-JA Batch-1</v>
      </c>
    </row>
    <row r="375" spans="1:11">
      <c r="A375">
        <v>374</v>
      </c>
      <c r="B375" t="s">
        <v>16</v>
      </c>
      <c r="C375">
        <v>2406</v>
      </c>
      <c r="E375" t="s">
        <v>114</v>
      </c>
      <c r="F375" t="s">
        <v>17</v>
      </c>
      <c r="G375" t="s">
        <v>391</v>
      </c>
      <c r="H375" t="s">
        <v>14</v>
      </c>
      <c r="I375" t="s">
        <v>363</v>
      </c>
      <c r="K375" t="str">
        <f t="shared" ref="K375:K438" si="9">B375&amp;C375&amp;"-"&amp;E375&amp;"-"&amp;F375&amp;"-"&amp;G375&amp;"-"&amp;H375&amp;I375</f>
        <v>ED2406-TO-KB-Box-JA Batch-2</v>
      </c>
    </row>
    <row r="376" spans="1:11">
      <c r="A376">
        <v>375</v>
      </c>
      <c r="B376" t="s">
        <v>16</v>
      </c>
      <c r="C376">
        <v>2406</v>
      </c>
      <c r="E376" t="s">
        <v>114</v>
      </c>
      <c r="F376" t="s">
        <v>17</v>
      </c>
      <c r="G376" t="s">
        <v>392</v>
      </c>
      <c r="H376" t="s">
        <v>14</v>
      </c>
      <c r="K376" t="str">
        <f t="shared" si="9"/>
        <v>ED2406-TO-KB-AWS-JA</v>
      </c>
    </row>
    <row r="377" spans="1:11" ht="18.600000000000001">
      <c r="A377">
        <v>376</v>
      </c>
      <c r="B377" t="s">
        <v>16</v>
      </c>
      <c r="C377">
        <v>2406</v>
      </c>
      <c r="E377" t="s">
        <v>114</v>
      </c>
      <c r="F377" t="s">
        <v>17</v>
      </c>
      <c r="G377" s="70" t="s">
        <v>393</v>
      </c>
      <c r="H377" t="s">
        <v>14</v>
      </c>
      <c r="K377" t="str">
        <f t="shared" si="9"/>
        <v>ED2406-TO-KB-Azure-JA</v>
      </c>
    </row>
    <row r="378" spans="1:11" ht="18.600000000000001">
      <c r="A378">
        <v>377</v>
      </c>
      <c r="B378" t="s">
        <v>16</v>
      </c>
      <c r="C378">
        <v>2406</v>
      </c>
      <c r="E378" t="s">
        <v>114</v>
      </c>
      <c r="F378" t="s">
        <v>17</v>
      </c>
      <c r="G378" s="70" t="s">
        <v>394</v>
      </c>
      <c r="H378" t="s">
        <v>14</v>
      </c>
      <c r="K378" t="str">
        <f t="shared" si="9"/>
        <v>ED2406-TO-KB-Connectors-JA</v>
      </c>
    </row>
    <row r="379" spans="1:11">
      <c r="A379">
        <v>378</v>
      </c>
      <c r="B379" t="s">
        <v>16</v>
      </c>
      <c r="C379">
        <v>2406</v>
      </c>
      <c r="E379" t="s">
        <v>114</v>
      </c>
      <c r="F379" t="s">
        <v>17</v>
      </c>
      <c r="G379" t="s">
        <v>383</v>
      </c>
      <c r="H379" t="s">
        <v>14</v>
      </c>
      <c r="I379" t="s">
        <v>379</v>
      </c>
      <c r="K379" t="str">
        <f t="shared" si="9"/>
        <v>ED2406-TO-KB-FY24-06 Requests-JA Batch-5</v>
      </c>
    </row>
    <row r="380" spans="1:11">
      <c r="A380">
        <v>379</v>
      </c>
      <c r="B380" t="s">
        <v>16</v>
      </c>
      <c r="C380">
        <v>2406</v>
      </c>
      <c r="E380" t="s">
        <v>114</v>
      </c>
      <c r="F380" t="s">
        <v>17</v>
      </c>
      <c r="G380" t="s">
        <v>365</v>
      </c>
      <c r="H380" t="s">
        <v>14</v>
      </c>
      <c r="K380" t="str">
        <f t="shared" si="9"/>
        <v>ED2406-TO-KB-Cloud Amplifier Overview-JA</v>
      </c>
    </row>
    <row r="381" spans="1:11">
      <c r="A381">
        <v>380</v>
      </c>
      <c r="B381" t="s">
        <v>16</v>
      </c>
      <c r="C381">
        <v>2406</v>
      </c>
      <c r="E381" t="s">
        <v>114</v>
      </c>
      <c r="F381" t="s">
        <v>50</v>
      </c>
      <c r="G381" t="s">
        <v>395</v>
      </c>
      <c r="H381" t="s">
        <v>14</v>
      </c>
      <c r="K381" t="str">
        <f t="shared" si="9"/>
        <v>ED2406-TO-Movie-How to Drive Impact and Change with Data-JA</v>
      </c>
    </row>
    <row r="382" spans="1:11">
      <c r="A382">
        <v>381</v>
      </c>
      <c r="B382" t="s">
        <v>16</v>
      </c>
      <c r="C382">
        <v>2406</v>
      </c>
      <c r="E382" t="s">
        <v>114</v>
      </c>
      <c r="F382" t="s">
        <v>17</v>
      </c>
      <c r="G382" t="s">
        <v>396</v>
      </c>
      <c r="H382" t="s">
        <v>14</v>
      </c>
      <c r="K382" t="str">
        <f t="shared" si="9"/>
        <v>ED2406-TO-KB-Changes in Account Configuration Requirements for Connectors-JA</v>
      </c>
    </row>
    <row r="383" spans="1:11">
      <c r="A383">
        <v>382</v>
      </c>
      <c r="B383" t="s">
        <v>16</v>
      </c>
      <c r="C383">
        <v>2407</v>
      </c>
      <c r="E383" t="s">
        <v>152</v>
      </c>
      <c r="F383" t="s">
        <v>247</v>
      </c>
      <c r="G383" s="4" t="s">
        <v>397</v>
      </c>
      <c r="H383" t="s">
        <v>14</v>
      </c>
      <c r="I383" t="s">
        <v>398</v>
      </c>
      <c r="K383" t="str">
        <f t="shared" si="9"/>
        <v>ED2407-MH-KB-Support-Update and Switch Card Assets-JANo-XTM</v>
      </c>
    </row>
    <row r="384" spans="1:11">
      <c r="A384">
        <v>383</v>
      </c>
      <c r="B384" t="s">
        <v>16</v>
      </c>
      <c r="C384">
        <v>2407</v>
      </c>
      <c r="E384" t="s">
        <v>114</v>
      </c>
      <c r="F384" t="s">
        <v>17</v>
      </c>
      <c r="G384" t="s">
        <v>399</v>
      </c>
      <c r="H384" t="s">
        <v>14</v>
      </c>
      <c r="I384" t="s">
        <v>312</v>
      </c>
      <c r="K384" t="str">
        <f t="shared" si="9"/>
        <v>ED2407-TO-KB-FY24-07 Requests-JA Batch-1</v>
      </c>
    </row>
    <row r="385" spans="1:11">
      <c r="A385">
        <v>384</v>
      </c>
      <c r="B385" t="s">
        <v>16</v>
      </c>
      <c r="C385">
        <v>2407</v>
      </c>
      <c r="E385" t="s">
        <v>114</v>
      </c>
      <c r="F385" t="s">
        <v>17</v>
      </c>
      <c r="G385" t="s">
        <v>399</v>
      </c>
      <c r="H385" t="s">
        <v>14</v>
      </c>
      <c r="I385" t="s">
        <v>363</v>
      </c>
      <c r="K385" t="str">
        <f t="shared" si="9"/>
        <v>ED2407-TO-KB-FY24-07 Requests-JA Batch-2</v>
      </c>
    </row>
    <row r="386" spans="1:11">
      <c r="A386">
        <v>385</v>
      </c>
      <c r="B386" t="s">
        <v>16</v>
      </c>
      <c r="C386">
        <v>2407</v>
      </c>
      <c r="E386" t="s">
        <v>114</v>
      </c>
      <c r="F386" t="s">
        <v>17</v>
      </c>
      <c r="G386" t="s">
        <v>399</v>
      </c>
      <c r="H386" t="s">
        <v>14</v>
      </c>
      <c r="I386" t="s">
        <v>332</v>
      </c>
      <c r="K386" t="str">
        <f t="shared" si="9"/>
        <v>ED2407-TO-KB-FY24-07 Requests-JA Batch-3</v>
      </c>
    </row>
    <row r="387" spans="1:11">
      <c r="A387">
        <v>386</v>
      </c>
      <c r="B387" t="s">
        <v>16</v>
      </c>
      <c r="C387">
        <v>2407</v>
      </c>
      <c r="E387" t="s">
        <v>114</v>
      </c>
      <c r="F387" t="s">
        <v>17</v>
      </c>
      <c r="G387" t="s">
        <v>400</v>
      </c>
      <c r="H387" t="s">
        <v>14</v>
      </c>
      <c r="K387" t="str">
        <f t="shared" si="9"/>
        <v>ED2407-TO-KB-Jupyter-JA</v>
      </c>
    </row>
    <row r="388" spans="1:11">
      <c r="A388">
        <v>387</v>
      </c>
      <c r="B388" t="s">
        <v>16</v>
      </c>
      <c r="C388">
        <v>2407</v>
      </c>
      <c r="E388" t="s">
        <v>114</v>
      </c>
      <c r="F388" t="s">
        <v>17</v>
      </c>
      <c r="G388" t="s">
        <v>399</v>
      </c>
      <c r="H388" t="s">
        <v>14</v>
      </c>
      <c r="I388" t="s">
        <v>335</v>
      </c>
      <c r="K388" t="str">
        <f t="shared" si="9"/>
        <v>ED2407-TO-KB-FY24-07 Requests-JA Batch-4</v>
      </c>
    </row>
    <row r="389" spans="1:11">
      <c r="A389">
        <v>388</v>
      </c>
      <c r="B389" t="s">
        <v>16</v>
      </c>
      <c r="C389">
        <v>2407</v>
      </c>
      <c r="E389" t="s">
        <v>114</v>
      </c>
      <c r="F389" t="s">
        <v>247</v>
      </c>
      <c r="G389" t="s">
        <v>401</v>
      </c>
      <c r="H389" t="s">
        <v>14</v>
      </c>
      <c r="I389" t="s">
        <v>312</v>
      </c>
      <c r="K389" t="str">
        <f t="shared" si="9"/>
        <v>ED2407-TO-KB-Support-Urgent requests-JA Batch-1</v>
      </c>
    </row>
    <row r="390" spans="1:11">
      <c r="A390">
        <v>389</v>
      </c>
      <c r="B390" t="s">
        <v>16</v>
      </c>
      <c r="C390">
        <v>2407</v>
      </c>
      <c r="E390" t="s">
        <v>114</v>
      </c>
      <c r="F390" t="s">
        <v>247</v>
      </c>
      <c r="G390" t="s">
        <v>401</v>
      </c>
      <c r="H390" t="s">
        <v>14</v>
      </c>
      <c r="I390" t="s">
        <v>363</v>
      </c>
      <c r="K390" t="str">
        <f t="shared" si="9"/>
        <v>ED2407-TO-KB-Support-Urgent requests-JA Batch-2</v>
      </c>
    </row>
    <row r="391" spans="1:11">
      <c r="A391">
        <v>390</v>
      </c>
      <c r="B391" t="s">
        <v>16</v>
      </c>
      <c r="C391">
        <v>2407</v>
      </c>
      <c r="E391" t="s">
        <v>114</v>
      </c>
      <c r="F391" t="s">
        <v>247</v>
      </c>
      <c r="G391" t="s">
        <v>401</v>
      </c>
      <c r="H391" t="s">
        <v>14</v>
      </c>
      <c r="I391" t="s">
        <v>332</v>
      </c>
      <c r="K391" t="str">
        <f t="shared" si="9"/>
        <v>ED2407-TO-KB-Support-Urgent requests-JA Batch-3</v>
      </c>
    </row>
    <row r="392" spans="1:11">
      <c r="A392">
        <v>391</v>
      </c>
      <c r="B392" t="s">
        <v>16</v>
      </c>
      <c r="C392">
        <v>2407</v>
      </c>
      <c r="E392" t="s">
        <v>114</v>
      </c>
      <c r="F392" t="s">
        <v>402</v>
      </c>
      <c r="G392" t="s">
        <v>403</v>
      </c>
      <c r="H392" t="s">
        <v>14</v>
      </c>
      <c r="K392" t="str">
        <f t="shared" si="9"/>
        <v>ED2407-TO-KB-Request-RMS Third Party Connector-JA</v>
      </c>
    </row>
    <row r="393" spans="1:11">
      <c r="A393">
        <v>392</v>
      </c>
      <c r="B393" t="s">
        <v>16</v>
      </c>
      <c r="C393">
        <v>2407</v>
      </c>
      <c r="E393" t="s">
        <v>114</v>
      </c>
      <c r="F393" t="s">
        <v>17</v>
      </c>
      <c r="G393" t="s">
        <v>399</v>
      </c>
      <c r="H393" t="s">
        <v>14</v>
      </c>
      <c r="I393" t="s">
        <v>379</v>
      </c>
      <c r="K393" t="str">
        <f t="shared" si="9"/>
        <v>ED2407-TO-KB-FY24-07 Requests-JA Batch-5</v>
      </c>
    </row>
    <row r="394" spans="1:11">
      <c r="A394">
        <v>393</v>
      </c>
      <c r="B394" t="s">
        <v>16</v>
      </c>
      <c r="C394">
        <v>2407</v>
      </c>
      <c r="E394" t="s">
        <v>114</v>
      </c>
      <c r="F394" t="s">
        <v>17</v>
      </c>
      <c r="G394" t="s">
        <v>399</v>
      </c>
      <c r="H394" t="s">
        <v>14</v>
      </c>
      <c r="I394" t="s">
        <v>404</v>
      </c>
      <c r="K394" t="str">
        <f t="shared" si="9"/>
        <v>ED2407-TO-KB-FY24-07 Requests-JA Batch-6</v>
      </c>
    </row>
    <row r="395" spans="1:11">
      <c r="A395">
        <v>394</v>
      </c>
      <c r="B395" t="s">
        <v>16</v>
      </c>
      <c r="C395">
        <v>2407</v>
      </c>
      <c r="E395" t="s">
        <v>114</v>
      </c>
      <c r="F395" t="s">
        <v>17</v>
      </c>
      <c r="G395" t="s">
        <v>399</v>
      </c>
      <c r="H395" t="s">
        <v>14</v>
      </c>
      <c r="I395" t="s">
        <v>341</v>
      </c>
      <c r="K395" t="str">
        <f t="shared" si="9"/>
        <v>ED2407-TO-KB-FY24-07 Requests-JA Batch-7</v>
      </c>
    </row>
    <row r="396" spans="1:11">
      <c r="A396">
        <v>395</v>
      </c>
      <c r="B396" t="s">
        <v>16</v>
      </c>
      <c r="C396">
        <v>2407</v>
      </c>
      <c r="E396" t="s">
        <v>114</v>
      </c>
      <c r="F396" t="s">
        <v>17</v>
      </c>
      <c r="G396" t="s">
        <v>399</v>
      </c>
      <c r="H396" t="s">
        <v>14</v>
      </c>
      <c r="I396" t="s">
        <v>405</v>
      </c>
      <c r="K396" t="str">
        <f t="shared" si="9"/>
        <v>ED2407-TO-KB-FY24-07 Requests-JA Batch-8</v>
      </c>
    </row>
    <row r="397" spans="1:11">
      <c r="A397">
        <v>396</v>
      </c>
      <c r="B397" t="s">
        <v>16</v>
      </c>
      <c r="C397">
        <v>2407</v>
      </c>
      <c r="E397" t="s">
        <v>114</v>
      </c>
      <c r="F397" t="s">
        <v>17</v>
      </c>
      <c r="G397" t="s">
        <v>399</v>
      </c>
      <c r="H397" t="s">
        <v>14</v>
      </c>
      <c r="I397" t="s">
        <v>406</v>
      </c>
      <c r="K397" t="str">
        <f t="shared" si="9"/>
        <v>ED2407-TO-KB-FY24-07 Requests-JA Batch-9</v>
      </c>
    </row>
    <row r="398" spans="1:11">
      <c r="A398">
        <v>397</v>
      </c>
      <c r="B398" t="s">
        <v>16</v>
      </c>
      <c r="C398">
        <v>2407</v>
      </c>
      <c r="E398" t="s">
        <v>152</v>
      </c>
      <c r="F398" t="s">
        <v>247</v>
      </c>
      <c r="G398" s="4" t="s">
        <v>296</v>
      </c>
      <c r="H398" t="s">
        <v>14</v>
      </c>
      <c r="K398" t="str">
        <f t="shared" si="9"/>
        <v>ED2407-MH-KB-Support-AppDB Admin User Interface-JA</v>
      </c>
    </row>
    <row r="399" spans="1:11">
      <c r="A399">
        <v>398</v>
      </c>
      <c r="B399" t="s">
        <v>16</v>
      </c>
      <c r="C399">
        <v>2407</v>
      </c>
      <c r="E399" t="s">
        <v>114</v>
      </c>
      <c r="F399" t="s">
        <v>247</v>
      </c>
      <c r="G399" s="4" t="s">
        <v>407</v>
      </c>
      <c r="H399" t="s">
        <v>14</v>
      </c>
      <c r="K399" t="str">
        <f t="shared" si="9"/>
        <v>ED2407-TO-KB-Support-Asset Library-JA</v>
      </c>
    </row>
    <row r="400" spans="1:11" ht="18.600000000000001">
      <c r="A400">
        <v>399</v>
      </c>
      <c r="B400" t="s">
        <v>16</v>
      </c>
      <c r="C400">
        <v>2407</v>
      </c>
      <c r="E400" t="s">
        <v>114</v>
      </c>
      <c r="F400" t="s">
        <v>247</v>
      </c>
      <c r="G400" s="70" t="s">
        <v>408</v>
      </c>
      <c r="H400" t="s">
        <v>14</v>
      </c>
      <c r="K400" t="str">
        <f t="shared" si="9"/>
        <v>ED2407-TO-KB-Support-Set Your Time Zone and Regional Formatting-JA</v>
      </c>
    </row>
    <row r="401" spans="1:11">
      <c r="A401">
        <v>400</v>
      </c>
      <c r="B401" t="s">
        <v>16</v>
      </c>
      <c r="C401">
        <v>2407</v>
      </c>
      <c r="E401" t="s">
        <v>114</v>
      </c>
      <c r="F401" t="s">
        <v>402</v>
      </c>
      <c r="G401" t="s">
        <v>409</v>
      </c>
      <c r="H401" t="s">
        <v>14</v>
      </c>
      <c r="K401" t="str">
        <f t="shared" si="9"/>
        <v>ED2407-TO-KB-Request-TikTok Third Party Connector-JA</v>
      </c>
    </row>
    <row r="402" spans="1:11">
      <c r="A402">
        <v>401</v>
      </c>
      <c r="B402" t="s">
        <v>16</v>
      </c>
      <c r="C402">
        <v>2407</v>
      </c>
      <c r="E402" t="s">
        <v>114</v>
      </c>
      <c r="F402" t="s">
        <v>17</v>
      </c>
      <c r="G402" t="s">
        <v>410</v>
      </c>
      <c r="H402" t="s">
        <v>14</v>
      </c>
      <c r="K402" t="str">
        <f t="shared" si="9"/>
        <v>ED2407-TO-KB-July 2023 Release Notes-JA</v>
      </c>
    </row>
    <row r="403" spans="1:11">
      <c r="A403">
        <v>402</v>
      </c>
      <c r="B403" t="s">
        <v>16</v>
      </c>
      <c r="C403">
        <v>2407</v>
      </c>
      <c r="E403" t="s">
        <v>114</v>
      </c>
      <c r="F403" t="s">
        <v>17</v>
      </c>
      <c r="G403" t="s">
        <v>411</v>
      </c>
      <c r="H403" t="s">
        <v>14</v>
      </c>
      <c r="K403" t="str">
        <f t="shared" si="9"/>
        <v>ED2407-TO-KB-FY24-07 Connectors-JA</v>
      </c>
    </row>
    <row r="404" spans="1:11">
      <c r="A404">
        <v>403</v>
      </c>
      <c r="B404" t="s">
        <v>16</v>
      </c>
      <c r="C404">
        <v>2407</v>
      </c>
      <c r="E404" t="s">
        <v>114</v>
      </c>
      <c r="F404" t="s">
        <v>402</v>
      </c>
      <c r="G404" t="s">
        <v>412</v>
      </c>
      <c r="H404" t="s">
        <v>14</v>
      </c>
      <c r="K404" t="str">
        <f t="shared" si="9"/>
        <v>ED2407-TO-KB-Request-TikTok Third Party Connector-2-JA</v>
      </c>
    </row>
    <row r="405" spans="1:11">
      <c r="A405">
        <v>404</v>
      </c>
      <c r="B405" t="s">
        <v>16</v>
      </c>
      <c r="C405">
        <v>2408</v>
      </c>
      <c r="E405" t="s">
        <v>114</v>
      </c>
      <c r="F405" t="s">
        <v>402</v>
      </c>
      <c r="G405" t="s">
        <v>413</v>
      </c>
      <c r="H405" t="s">
        <v>14</v>
      </c>
      <c r="K405" t="str">
        <f t="shared" si="9"/>
        <v>ED2408-TO-KB-Request-July 2023 release updates-JA</v>
      </c>
    </row>
    <row r="406" spans="1:11">
      <c r="A406">
        <v>405</v>
      </c>
      <c r="B406" t="s">
        <v>16</v>
      </c>
      <c r="C406">
        <v>2408</v>
      </c>
      <c r="E406" t="s">
        <v>114</v>
      </c>
      <c r="F406" t="s">
        <v>402</v>
      </c>
      <c r="G406" t="s">
        <v>414</v>
      </c>
      <c r="H406" t="s">
        <v>14</v>
      </c>
      <c r="I406" t="s">
        <v>312</v>
      </c>
      <c r="K406" t="str">
        <f t="shared" si="9"/>
        <v>ED2408-TO-KB-Request-July 2023 release related-JA Batch-1</v>
      </c>
    </row>
    <row r="407" spans="1:11">
      <c r="A407">
        <v>406</v>
      </c>
      <c r="B407" t="s">
        <v>16</v>
      </c>
      <c r="C407">
        <v>2408</v>
      </c>
      <c r="E407" t="s">
        <v>114</v>
      </c>
      <c r="F407" t="s">
        <v>402</v>
      </c>
      <c r="G407" t="s">
        <v>414</v>
      </c>
      <c r="H407" t="s">
        <v>14</v>
      </c>
      <c r="I407" t="s">
        <v>363</v>
      </c>
      <c r="K407" t="str">
        <f t="shared" si="9"/>
        <v>ED2408-TO-KB-Request-July 2023 release related-JA Batch-2</v>
      </c>
    </row>
    <row r="408" spans="1:11">
      <c r="A408">
        <v>407</v>
      </c>
      <c r="B408" t="s">
        <v>16</v>
      </c>
      <c r="C408">
        <v>2408</v>
      </c>
      <c r="E408" t="s">
        <v>114</v>
      </c>
      <c r="F408" t="s">
        <v>402</v>
      </c>
      <c r="G408" t="s">
        <v>414</v>
      </c>
      <c r="H408" t="s">
        <v>14</v>
      </c>
      <c r="I408" t="s">
        <v>332</v>
      </c>
      <c r="K408" t="str">
        <f t="shared" si="9"/>
        <v>ED2408-TO-KB-Request-July 2023 release related-JA Batch-3</v>
      </c>
    </row>
    <row r="409" spans="1:11">
      <c r="A409">
        <v>408</v>
      </c>
      <c r="B409" t="s">
        <v>16</v>
      </c>
      <c r="C409">
        <v>2408</v>
      </c>
      <c r="E409" t="s">
        <v>114</v>
      </c>
      <c r="F409" t="s">
        <v>40</v>
      </c>
      <c r="G409" s="300" t="s">
        <v>415</v>
      </c>
      <c r="H409" t="s">
        <v>14</v>
      </c>
      <c r="K409" t="str">
        <f t="shared" si="9"/>
        <v>ED2408-TO-App-July 2023-JA</v>
      </c>
    </row>
    <row r="410" spans="1:11">
      <c r="A410">
        <v>409</v>
      </c>
      <c r="B410" t="s">
        <v>16</v>
      </c>
      <c r="C410">
        <v>2408</v>
      </c>
      <c r="E410" t="s">
        <v>152</v>
      </c>
      <c r="F410" t="s">
        <v>17</v>
      </c>
      <c r="G410" t="s">
        <v>410</v>
      </c>
      <c r="H410" t="s">
        <v>14</v>
      </c>
      <c r="I410" t="s">
        <v>278</v>
      </c>
      <c r="K410" t="str">
        <f t="shared" si="9"/>
        <v>ED2408-MH-KB-July 2023 Release Notes-JA Update</v>
      </c>
    </row>
    <row r="411" spans="1:11">
      <c r="A411">
        <v>410</v>
      </c>
      <c r="B411" t="s">
        <v>16</v>
      </c>
      <c r="C411">
        <v>2408</v>
      </c>
      <c r="E411" t="s">
        <v>152</v>
      </c>
      <c r="F411" t="s">
        <v>17</v>
      </c>
      <c r="G411" s="4" t="s">
        <v>416</v>
      </c>
      <c r="H411" t="s">
        <v>14</v>
      </c>
      <c r="I411" t="s">
        <v>278</v>
      </c>
      <c r="K411" t="str">
        <f t="shared" si="9"/>
        <v>ED2408-MH-KB-Receiving and Viewing Notifications-JA Update</v>
      </c>
    </row>
    <row r="412" spans="1:11">
      <c r="A412">
        <v>411</v>
      </c>
      <c r="B412" t="s">
        <v>16</v>
      </c>
      <c r="C412">
        <v>2408</v>
      </c>
      <c r="E412" t="s">
        <v>152</v>
      </c>
      <c r="F412" t="s">
        <v>17</v>
      </c>
      <c r="G412" s="4" t="s">
        <v>417</v>
      </c>
      <c r="H412" t="s">
        <v>14</v>
      </c>
      <c r="I412" t="s">
        <v>278</v>
      </c>
      <c r="K412" t="str">
        <f t="shared" si="9"/>
        <v>ED2408-MH-KB-Configuring Notification and Alert Settings-JA Update</v>
      </c>
    </row>
    <row r="413" spans="1:11">
      <c r="A413">
        <v>412</v>
      </c>
      <c r="B413" t="s">
        <v>16</v>
      </c>
      <c r="C413">
        <v>2408</v>
      </c>
      <c r="E413" t="s">
        <v>114</v>
      </c>
      <c r="F413" t="s">
        <v>247</v>
      </c>
      <c r="G413" t="s">
        <v>418</v>
      </c>
      <c r="H413" t="s">
        <v>14</v>
      </c>
      <c r="I413" t="s">
        <v>312</v>
      </c>
      <c r="K413" t="str">
        <f t="shared" si="9"/>
        <v>ED2408-TO-KB-Support-August -JA Batch-1</v>
      </c>
    </row>
    <row r="414" spans="1:11">
      <c r="A414">
        <v>413</v>
      </c>
      <c r="B414" t="s">
        <v>16</v>
      </c>
      <c r="C414">
        <v>2408</v>
      </c>
      <c r="E414" t="s">
        <v>114</v>
      </c>
      <c r="F414" t="s">
        <v>247</v>
      </c>
      <c r="G414" t="s">
        <v>418</v>
      </c>
      <c r="H414" t="s">
        <v>14</v>
      </c>
      <c r="I414" t="s">
        <v>363</v>
      </c>
      <c r="K414" t="str">
        <f t="shared" si="9"/>
        <v>ED2408-TO-KB-Support-August -JA Batch-2</v>
      </c>
    </row>
    <row r="415" spans="1:11">
      <c r="A415">
        <v>414</v>
      </c>
      <c r="B415" t="s">
        <v>16</v>
      </c>
      <c r="C415">
        <v>2408</v>
      </c>
      <c r="E415" t="s">
        <v>114</v>
      </c>
      <c r="F415" t="s">
        <v>247</v>
      </c>
      <c r="G415" t="s">
        <v>418</v>
      </c>
      <c r="H415" t="s">
        <v>14</v>
      </c>
      <c r="I415" t="s">
        <v>332</v>
      </c>
      <c r="K415" t="str">
        <f t="shared" si="9"/>
        <v>ED2408-TO-KB-Support-August -JA Batch-3</v>
      </c>
    </row>
    <row r="416" spans="1:11">
      <c r="A416">
        <v>415</v>
      </c>
      <c r="B416" t="s">
        <v>16</v>
      </c>
      <c r="C416">
        <v>2408</v>
      </c>
      <c r="E416" t="s">
        <v>114</v>
      </c>
      <c r="F416" t="s">
        <v>247</v>
      </c>
      <c r="G416" t="s">
        <v>401</v>
      </c>
      <c r="H416" t="s">
        <v>14</v>
      </c>
      <c r="K416" t="str">
        <f t="shared" si="9"/>
        <v>ED2408-TO-KB-Support-Urgent requests-JA</v>
      </c>
    </row>
    <row r="417" spans="1:12">
      <c r="A417">
        <v>416</v>
      </c>
      <c r="B417" t="s">
        <v>16</v>
      </c>
      <c r="C417">
        <v>2408</v>
      </c>
      <c r="E417" t="s">
        <v>114</v>
      </c>
      <c r="F417" t="s">
        <v>247</v>
      </c>
      <c r="G417" t="s">
        <v>418</v>
      </c>
      <c r="H417" t="s">
        <v>14</v>
      </c>
      <c r="I417" t="s">
        <v>335</v>
      </c>
      <c r="K417" t="str">
        <f>B417&amp;C417&amp;"-"&amp;E417&amp;"-"&amp;F417&amp;"-"&amp;G417&amp;"-"&amp;H417&amp;I417</f>
        <v>ED2408-TO-KB-Support-August -JA Batch-4</v>
      </c>
    </row>
    <row r="418" spans="1:12">
      <c r="A418">
        <v>417</v>
      </c>
      <c r="B418" t="s">
        <v>16</v>
      </c>
      <c r="C418">
        <v>2408</v>
      </c>
      <c r="E418" t="s">
        <v>114</v>
      </c>
      <c r="F418" t="s">
        <v>17</v>
      </c>
      <c r="G418" t="s">
        <v>419</v>
      </c>
      <c r="H418" t="s">
        <v>14</v>
      </c>
      <c r="K418" t="str">
        <f>B418&amp;C418&amp;"-"&amp;E418&amp;"-"&amp;F418&amp;"-"&amp;G418&amp;"-"&amp;H418&amp;I418</f>
        <v>ED2408-TO-KB-Release Updates-JA</v>
      </c>
    </row>
    <row r="419" spans="1:12">
      <c r="A419">
        <v>418</v>
      </c>
      <c r="B419" t="s">
        <v>16</v>
      </c>
      <c r="C419">
        <v>2408</v>
      </c>
      <c r="E419" t="s">
        <v>114</v>
      </c>
      <c r="F419" t="s">
        <v>247</v>
      </c>
      <c r="G419" t="s">
        <v>418</v>
      </c>
      <c r="H419" t="s">
        <v>14</v>
      </c>
      <c r="I419" t="s">
        <v>379</v>
      </c>
      <c r="K419" t="str">
        <f t="shared" si="9"/>
        <v>ED2408-TO-KB-Support-August -JA Batch-5</v>
      </c>
    </row>
    <row r="420" spans="1:12">
      <c r="A420">
        <v>419</v>
      </c>
      <c r="B420" t="s">
        <v>16</v>
      </c>
      <c r="C420">
        <v>2408</v>
      </c>
      <c r="E420" t="s">
        <v>114</v>
      </c>
      <c r="F420" t="s">
        <v>402</v>
      </c>
      <c r="G420" t="s">
        <v>420</v>
      </c>
      <c r="H420" t="s">
        <v>14</v>
      </c>
      <c r="K420" t="str">
        <f t="shared" si="9"/>
        <v>ED2408-TO-KB-Request-Change User Information-JA</v>
      </c>
    </row>
    <row r="421" spans="1:12">
      <c r="A421">
        <v>420</v>
      </c>
      <c r="B421" t="s">
        <v>16</v>
      </c>
      <c r="C421">
        <v>2408</v>
      </c>
      <c r="E421" t="s">
        <v>114</v>
      </c>
      <c r="F421" t="s">
        <v>247</v>
      </c>
      <c r="G421" t="s">
        <v>418</v>
      </c>
      <c r="H421" t="s">
        <v>14</v>
      </c>
      <c r="I421" t="s">
        <v>340</v>
      </c>
      <c r="K421" t="str">
        <f t="shared" si="9"/>
        <v>ED2408-TO-KB-Support-August -JA Batch-6</v>
      </c>
    </row>
    <row r="422" spans="1:12">
      <c r="A422">
        <v>421</v>
      </c>
      <c r="B422" t="s">
        <v>16</v>
      </c>
      <c r="C422">
        <v>2408</v>
      </c>
      <c r="E422" t="s">
        <v>152</v>
      </c>
      <c r="F422" t="s">
        <v>247</v>
      </c>
      <c r="G422" t="s">
        <v>375</v>
      </c>
      <c r="H422" t="s">
        <v>14</v>
      </c>
      <c r="I422" t="s">
        <v>278</v>
      </c>
      <c r="K422" t="str">
        <f t="shared" si="9"/>
        <v>ED2408-MH-KB-Support-Submitting Domo Product Feedback-JA Update</v>
      </c>
    </row>
    <row r="423" spans="1:12">
      <c r="A423">
        <v>422</v>
      </c>
      <c r="B423" t="s">
        <v>16</v>
      </c>
      <c r="C423">
        <v>2408</v>
      </c>
      <c r="E423" t="s">
        <v>152</v>
      </c>
      <c r="F423" t="s">
        <v>247</v>
      </c>
      <c r="G423" s="4" t="s">
        <v>348</v>
      </c>
      <c r="H423" t="s">
        <v>14</v>
      </c>
      <c r="K423" t="str">
        <f t="shared" si="9"/>
        <v>ED2408-MH-KB-Support-Using the Domo PowerPoint Plugin-JA</v>
      </c>
    </row>
    <row r="424" spans="1:12">
      <c r="A424">
        <v>423</v>
      </c>
      <c r="B424" t="s">
        <v>16</v>
      </c>
      <c r="C424">
        <v>2408</v>
      </c>
      <c r="E424" t="s">
        <v>114</v>
      </c>
      <c r="F424" t="s">
        <v>247</v>
      </c>
      <c r="G424" t="s">
        <v>418</v>
      </c>
      <c r="H424" t="s">
        <v>14</v>
      </c>
      <c r="I424" t="s">
        <v>421</v>
      </c>
      <c r="K424" t="str">
        <f t="shared" si="9"/>
        <v>ED2408-TO-KB-Support-August -JA Batch-7</v>
      </c>
    </row>
    <row r="425" spans="1:12">
      <c r="A425">
        <v>424</v>
      </c>
      <c r="B425" t="s">
        <v>16</v>
      </c>
      <c r="C425">
        <v>2408</v>
      </c>
      <c r="E425" t="s">
        <v>114</v>
      </c>
      <c r="F425" t="s">
        <v>17</v>
      </c>
      <c r="G425" t="s">
        <v>418</v>
      </c>
      <c r="H425" t="s">
        <v>14</v>
      </c>
      <c r="I425" t="s">
        <v>422</v>
      </c>
      <c r="K425" t="str">
        <f t="shared" si="9"/>
        <v>ED2408-TO-KB-August -JA New Batch-1</v>
      </c>
    </row>
    <row r="426" spans="1:12">
      <c r="A426">
        <v>425</v>
      </c>
      <c r="B426" t="s">
        <v>16</v>
      </c>
      <c r="C426">
        <v>2408</v>
      </c>
      <c r="E426" t="s">
        <v>114</v>
      </c>
      <c r="F426" t="s">
        <v>17</v>
      </c>
      <c r="G426" t="s">
        <v>418</v>
      </c>
      <c r="H426" t="s">
        <v>14</v>
      </c>
      <c r="I426" t="s">
        <v>423</v>
      </c>
      <c r="K426" t="str">
        <f t="shared" si="9"/>
        <v>ED2408-TO-KB-August -JA New Batch-2</v>
      </c>
    </row>
    <row r="427" spans="1:12">
      <c r="A427">
        <v>426</v>
      </c>
      <c r="B427" t="s">
        <v>16</v>
      </c>
      <c r="C427">
        <v>2408</v>
      </c>
      <c r="E427" t="s">
        <v>114</v>
      </c>
      <c r="F427" t="s">
        <v>17</v>
      </c>
      <c r="G427" t="s">
        <v>418</v>
      </c>
      <c r="H427" t="s">
        <v>14</v>
      </c>
      <c r="I427" t="s">
        <v>424</v>
      </c>
      <c r="K427" t="str">
        <f t="shared" si="9"/>
        <v>ED2408-TO-KB-August -JA New Batch-3</v>
      </c>
    </row>
    <row r="428" spans="1:12">
      <c r="A428">
        <v>427</v>
      </c>
      <c r="B428" t="s">
        <v>16</v>
      </c>
      <c r="C428">
        <v>2409</v>
      </c>
      <c r="E428" t="s">
        <v>114</v>
      </c>
      <c r="F428" t="s">
        <v>17</v>
      </c>
      <c r="G428" t="s">
        <v>425</v>
      </c>
      <c r="H428" t="s">
        <v>14</v>
      </c>
      <c r="K428" t="str">
        <f t="shared" si="9"/>
        <v>ED2409-TO-KB-Youtube-JA</v>
      </c>
    </row>
    <row r="429" spans="1:12">
      <c r="A429">
        <v>428</v>
      </c>
      <c r="B429" t="s">
        <v>16</v>
      </c>
      <c r="C429">
        <v>2410</v>
      </c>
      <c r="E429" t="s">
        <v>114</v>
      </c>
      <c r="F429" t="s">
        <v>247</v>
      </c>
      <c r="G429" t="s">
        <v>425</v>
      </c>
      <c r="H429" t="s">
        <v>14</v>
      </c>
      <c r="K429" t="str">
        <f t="shared" si="9"/>
        <v>ED2410-TO-KB-Support-Youtube-JA</v>
      </c>
    </row>
    <row r="430" spans="1:12">
      <c r="A430">
        <v>429</v>
      </c>
      <c r="B430" t="s">
        <v>16</v>
      </c>
      <c r="C430">
        <v>2409</v>
      </c>
      <c r="E430" t="s">
        <v>114</v>
      </c>
      <c r="F430" t="s">
        <v>426</v>
      </c>
      <c r="G430" t="s">
        <v>427</v>
      </c>
      <c r="H430" t="s">
        <v>14</v>
      </c>
      <c r="K430" t="str">
        <f t="shared" si="9"/>
        <v>ED2409-TO-Document-Domo.AI field enablement assets-JA</v>
      </c>
    </row>
    <row r="431" spans="1:12">
      <c r="A431">
        <v>430</v>
      </c>
      <c r="C431">
        <v>2409</v>
      </c>
      <c r="E431" t="s">
        <v>114</v>
      </c>
      <c r="F431" t="s">
        <v>73</v>
      </c>
      <c r="G431" t="s">
        <v>428</v>
      </c>
      <c r="H431" t="s">
        <v>14</v>
      </c>
      <c r="K431" t="str">
        <f t="shared" si="9"/>
        <v>2409-TO-Enablement-Modern BI Platform RFP Template-JA</v>
      </c>
      <c r="L431" t="s">
        <v>429</v>
      </c>
    </row>
    <row r="432" spans="1:12">
      <c r="A432">
        <v>431</v>
      </c>
      <c r="C432">
        <v>2409</v>
      </c>
      <c r="E432" t="s">
        <v>114</v>
      </c>
      <c r="F432" t="s">
        <v>73</v>
      </c>
      <c r="G432" t="s">
        <v>428</v>
      </c>
      <c r="H432" t="s">
        <v>14</v>
      </c>
      <c r="I432" t="s">
        <v>430</v>
      </c>
      <c r="K432" t="str">
        <f t="shared" si="9"/>
        <v>2409-TO-Enablement-Modern BI Platform RFP Template-JA MT</v>
      </c>
      <c r="L432" t="s">
        <v>429</v>
      </c>
    </row>
    <row r="433" spans="1:11">
      <c r="A433">
        <v>432</v>
      </c>
      <c r="B433" t="s">
        <v>22</v>
      </c>
      <c r="C433">
        <v>2409</v>
      </c>
      <c r="E433" t="s">
        <v>114</v>
      </c>
      <c r="F433" t="s">
        <v>50</v>
      </c>
      <c r="G433" t="s">
        <v>431</v>
      </c>
      <c r="H433" t="s">
        <v>14</v>
      </c>
      <c r="K433" t="str">
        <f t="shared" si="9"/>
        <v>MK2409-TO-Movie-domo-ai-overview-captions.vtt-JA</v>
      </c>
    </row>
    <row r="434" spans="1:11">
      <c r="A434">
        <v>433</v>
      </c>
      <c r="B434" t="s">
        <v>16</v>
      </c>
      <c r="C434">
        <v>2409</v>
      </c>
      <c r="E434" t="s">
        <v>114</v>
      </c>
      <c r="F434" t="s">
        <v>17</v>
      </c>
      <c r="G434" t="s">
        <v>432</v>
      </c>
      <c r="H434" t="s">
        <v>14</v>
      </c>
      <c r="K434" t="str">
        <f t="shared" si="9"/>
        <v>ED2409-TO-KB-What Are Consumption Credits and How Do They Work-JA</v>
      </c>
    </row>
    <row r="435" spans="1:11">
      <c r="A435">
        <v>434</v>
      </c>
      <c r="B435" t="s">
        <v>16</v>
      </c>
      <c r="C435">
        <v>2409</v>
      </c>
      <c r="E435" t="s">
        <v>152</v>
      </c>
      <c r="F435" t="s">
        <v>247</v>
      </c>
      <c r="G435" s="4" t="s">
        <v>433</v>
      </c>
      <c r="H435" t="s">
        <v>14</v>
      </c>
      <c r="I435" t="s">
        <v>305</v>
      </c>
      <c r="K435" t="str">
        <f t="shared" si="9"/>
        <v>ED2409-MH-KB-Support-Troubleshooting Domo-JA Bugfix</v>
      </c>
    </row>
    <row r="436" spans="1:11">
      <c r="A436">
        <v>435</v>
      </c>
      <c r="B436" t="s">
        <v>16</v>
      </c>
      <c r="C436">
        <v>2409</v>
      </c>
      <c r="E436" t="s">
        <v>114</v>
      </c>
      <c r="F436" t="s">
        <v>247</v>
      </c>
      <c r="G436" t="s">
        <v>434</v>
      </c>
      <c r="H436" t="s">
        <v>14</v>
      </c>
      <c r="I436" t="s">
        <v>305</v>
      </c>
      <c r="K436" t="str">
        <f t="shared" si="9"/>
        <v>ED2409-TO-KB-Support-Support urgent request-JA Bugfix</v>
      </c>
    </row>
    <row r="437" spans="1:11">
      <c r="A437">
        <v>436</v>
      </c>
      <c r="B437" t="s">
        <v>16</v>
      </c>
      <c r="C437">
        <v>2409</v>
      </c>
      <c r="E437" t="s">
        <v>114</v>
      </c>
      <c r="F437" t="s">
        <v>17</v>
      </c>
      <c r="G437" s="4" t="s">
        <v>435</v>
      </c>
      <c r="H437" t="s">
        <v>14</v>
      </c>
      <c r="I437" t="s">
        <v>312</v>
      </c>
      <c r="K437" t="str">
        <f t="shared" si="9"/>
        <v>ED2409-TO-KB-September-JA Batch-1</v>
      </c>
    </row>
    <row r="438" spans="1:11">
      <c r="A438">
        <v>437</v>
      </c>
      <c r="B438" t="s">
        <v>16</v>
      </c>
      <c r="C438">
        <v>2409</v>
      </c>
      <c r="E438" t="s">
        <v>114</v>
      </c>
      <c r="F438" t="s">
        <v>17</v>
      </c>
      <c r="G438" s="4" t="s">
        <v>435</v>
      </c>
      <c r="H438" t="s">
        <v>14</v>
      </c>
      <c r="I438" t="s">
        <v>363</v>
      </c>
      <c r="K438" t="str">
        <f t="shared" si="9"/>
        <v>ED2409-TO-KB-September-JA Batch-2</v>
      </c>
    </row>
    <row r="439" spans="1:11">
      <c r="A439">
        <v>438</v>
      </c>
      <c r="B439" t="s">
        <v>16</v>
      </c>
      <c r="C439">
        <v>2409</v>
      </c>
      <c r="E439" t="s">
        <v>114</v>
      </c>
      <c r="F439" t="s">
        <v>17</v>
      </c>
      <c r="G439" s="4" t="s">
        <v>435</v>
      </c>
      <c r="H439" t="s">
        <v>14</v>
      </c>
      <c r="I439" t="s">
        <v>332</v>
      </c>
      <c r="K439" t="str">
        <f t="shared" ref="K439:K502" si="10">B439&amp;C439&amp;"-"&amp;E439&amp;"-"&amp;F439&amp;"-"&amp;G439&amp;"-"&amp;H439&amp;I439</f>
        <v>ED2409-TO-KB-September-JA Batch-3</v>
      </c>
    </row>
    <row r="440" spans="1:11">
      <c r="A440">
        <v>439</v>
      </c>
      <c r="B440" t="s">
        <v>16</v>
      </c>
      <c r="C440">
        <v>2409</v>
      </c>
      <c r="E440" t="s">
        <v>114</v>
      </c>
      <c r="F440" t="s">
        <v>247</v>
      </c>
      <c r="G440" t="s">
        <v>436</v>
      </c>
      <c r="H440" t="s">
        <v>14</v>
      </c>
      <c r="I440" t="s">
        <v>312</v>
      </c>
      <c r="K440" t="str">
        <f t="shared" si="10"/>
        <v>ED2409-TO-KB-Support-September request-JA Batch-1</v>
      </c>
    </row>
    <row r="441" spans="1:11">
      <c r="A441">
        <v>440</v>
      </c>
      <c r="B441" t="s">
        <v>16</v>
      </c>
      <c r="C441">
        <v>2409</v>
      </c>
      <c r="E441" t="s">
        <v>114</v>
      </c>
      <c r="F441" t="s">
        <v>247</v>
      </c>
      <c r="G441" t="s">
        <v>436</v>
      </c>
      <c r="H441" t="s">
        <v>14</v>
      </c>
      <c r="I441" t="s">
        <v>363</v>
      </c>
      <c r="K441" t="str">
        <f t="shared" si="10"/>
        <v>ED2409-TO-KB-Support-September request-JA Batch-2</v>
      </c>
    </row>
    <row r="442" spans="1:11">
      <c r="A442">
        <v>441</v>
      </c>
      <c r="B442" t="s">
        <v>16</v>
      </c>
      <c r="C442">
        <v>2409</v>
      </c>
      <c r="E442" t="s">
        <v>152</v>
      </c>
      <c r="F442" t="s">
        <v>17</v>
      </c>
      <c r="G442" t="s">
        <v>437</v>
      </c>
      <c r="H442" t="s">
        <v>14</v>
      </c>
      <c r="I442" t="s">
        <v>278</v>
      </c>
      <c r="K442" t="str">
        <f>B442&amp;C442&amp;"-"&amp;E442&amp;"-"&amp;F442&amp;"-"&amp;G442&amp;"-"&amp;H442&amp;I442</f>
        <v>ED2409-MH-KB-Whitelisting IP Addresses in Domo-JA Update</v>
      </c>
    </row>
    <row r="443" spans="1:11">
      <c r="A443">
        <v>442</v>
      </c>
      <c r="B443" t="s">
        <v>16</v>
      </c>
      <c r="C443">
        <v>2409</v>
      </c>
      <c r="E443" t="s">
        <v>152</v>
      </c>
      <c r="F443" t="s">
        <v>17</v>
      </c>
      <c r="G443" t="s">
        <v>438</v>
      </c>
      <c r="H443" t="s">
        <v>14</v>
      </c>
      <c r="I443" t="s">
        <v>278</v>
      </c>
      <c r="K443" t="str">
        <f t="shared" si="10"/>
        <v>ED2409-MH-KB-Projecting the Last Value in Your Chart-JA Update</v>
      </c>
    </row>
    <row r="444" spans="1:11">
      <c r="A444">
        <v>443</v>
      </c>
      <c r="B444" t="s">
        <v>16</v>
      </c>
      <c r="C444">
        <v>2409</v>
      </c>
      <c r="E444" t="s">
        <v>152</v>
      </c>
      <c r="F444" t="s">
        <v>17</v>
      </c>
      <c r="G444" s="4" t="s">
        <v>439</v>
      </c>
      <c r="H444" t="s">
        <v>14</v>
      </c>
      <c r="I444" t="s">
        <v>278</v>
      </c>
      <c r="K444" t="str">
        <f t="shared" si="10"/>
        <v>ED2409-MH-KB-Creating and Managing User Groups-JA Update</v>
      </c>
    </row>
    <row r="445" spans="1:11">
      <c r="A445">
        <v>444</v>
      </c>
      <c r="B445" t="s">
        <v>16</v>
      </c>
      <c r="C445">
        <v>2409</v>
      </c>
      <c r="E445" t="s">
        <v>114</v>
      </c>
      <c r="F445" t="s">
        <v>17</v>
      </c>
      <c r="G445" t="s">
        <v>432</v>
      </c>
      <c r="H445" t="s">
        <v>14</v>
      </c>
      <c r="I445" t="s">
        <v>278</v>
      </c>
      <c r="K445" t="str">
        <f t="shared" si="10"/>
        <v>ED2409-TO-KB-What Are Consumption Credits and How Do They Work-JA Update</v>
      </c>
    </row>
    <row r="446" spans="1:11">
      <c r="A446">
        <v>445</v>
      </c>
      <c r="B446" t="s">
        <v>16</v>
      </c>
      <c r="C446">
        <v>2409</v>
      </c>
      <c r="E446" t="s">
        <v>114</v>
      </c>
      <c r="F446" t="s">
        <v>17</v>
      </c>
      <c r="G446" s="4" t="s">
        <v>435</v>
      </c>
      <c r="H446" t="s">
        <v>14</v>
      </c>
      <c r="I446" t="s">
        <v>335</v>
      </c>
      <c r="K446" t="str">
        <f t="shared" si="10"/>
        <v>ED2409-TO-KB-September-JA Batch-4</v>
      </c>
    </row>
    <row r="447" spans="1:11">
      <c r="A447">
        <v>446</v>
      </c>
      <c r="B447" t="s">
        <v>16</v>
      </c>
      <c r="C447">
        <v>2409</v>
      </c>
      <c r="E447" t="s">
        <v>114</v>
      </c>
      <c r="F447" t="s">
        <v>17</v>
      </c>
      <c r="G447" t="s">
        <v>440</v>
      </c>
      <c r="H447" t="s">
        <v>14</v>
      </c>
      <c r="K447" t="str">
        <f t="shared" si="10"/>
        <v>ED2409-TO-KB-Requested by Hiro-JA</v>
      </c>
    </row>
    <row r="448" spans="1:11">
      <c r="A448">
        <v>447</v>
      </c>
      <c r="B448" t="s">
        <v>16</v>
      </c>
      <c r="C448">
        <v>2410</v>
      </c>
      <c r="E448" t="s">
        <v>114</v>
      </c>
      <c r="F448" t="s">
        <v>17</v>
      </c>
      <c r="G448" s="283" t="s">
        <v>441</v>
      </c>
      <c r="H448" t="s">
        <v>14</v>
      </c>
      <c r="K448" t="str">
        <f t="shared" si="10"/>
        <v>ED2410-TO-KB-Vertica Connector-JA</v>
      </c>
    </row>
    <row r="449" spans="1:11">
      <c r="A449">
        <v>448</v>
      </c>
      <c r="B449" t="s">
        <v>16</v>
      </c>
      <c r="C449">
        <v>2410</v>
      </c>
      <c r="E449" t="s">
        <v>152</v>
      </c>
      <c r="F449" t="s">
        <v>17</v>
      </c>
      <c r="G449" s="4" t="s">
        <v>416</v>
      </c>
      <c r="H449" t="s">
        <v>14</v>
      </c>
      <c r="I449" t="s">
        <v>278</v>
      </c>
      <c r="K449" t="str">
        <f t="shared" si="10"/>
        <v>ED2410-MH-KB-Receiving and Viewing Notifications-JA Update</v>
      </c>
    </row>
    <row r="450" spans="1:11">
      <c r="A450">
        <v>449</v>
      </c>
      <c r="B450" t="s">
        <v>16</v>
      </c>
      <c r="C450">
        <v>2410</v>
      </c>
      <c r="E450" t="s">
        <v>114</v>
      </c>
      <c r="F450" t="s">
        <v>17</v>
      </c>
      <c r="G450" t="s">
        <v>442</v>
      </c>
      <c r="H450" t="s">
        <v>14</v>
      </c>
      <c r="K450" t="str">
        <f t="shared" si="10"/>
        <v>ED2410-TO-KB-Instructor Led Courses Related articles-JA</v>
      </c>
    </row>
    <row r="451" spans="1:11">
      <c r="A451">
        <v>450</v>
      </c>
      <c r="B451" t="s">
        <v>16</v>
      </c>
      <c r="C451">
        <v>2410</v>
      </c>
      <c r="E451" t="s">
        <v>114</v>
      </c>
      <c r="F451" t="s">
        <v>247</v>
      </c>
      <c r="G451" t="s">
        <v>443</v>
      </c>
      <c r="H451" t="s">
        <v>14</v>
      </c>
      <c r="K451" t="str">
        <f t="shared" si="10"/>
        <v>ED2410-TO-KB-Support-DomoStats Connector-JA</v>
      </c>
    </row>
    <row r="452" spans="1:11">
      <c r="A452">
        <v>451</v>
      </c>
      <c r="B452" t="s">
        <v>16</v>
      </c>
      <c r="C452">
        <v>2410</v>
      </c>
      <c r="E452" t="s">
        <v>114</v>
      </c>
      <c r="F452" t="s">
        <v>17</v>
      </c>
      <c r="G452" t="s">
        <v>444</v>
      </c>
      <c r="H452" t="s">
        <v>14</v>
      </c>
      <c r="K452" t="str">
        <f>B452&amp;C452&amp;"-"&amp;E452&amp;"-"&amp;F452&amp;"-"&amp;G452&amp;"-"&amp;H452&amp;I452</f>
        <v>ED2410-TO-KB-October 2023 Release Notes-JA</v>
      </c>
    </row>
    <row r="453" spans="1:11">
      <c r="A453">
        <v>452</v>
      </c>
      <c r="B453" t="s">
        <v>16</v>
      </c>
      <c r="C453">
        <v>2410</v>
      </c>
      <c r="E453" t="s">
        <v>114</v>
      </c>
      <c r="F453" t="s">
        <v>17</v>
      </c>
      <c r="G453" t="s">
        <v>444</v>
      </c>
      <c r="H453" t="s">
        <v>14</v>
      </c>
      <c r="I453" t="s">
        <v>278</v>
      </c>
      <c r="K453" t="str">
        <f>B453&amp;C453&amp;"-"&amp;E453&amp;"-"&amp;F453&amp;"-"&amp;G453&amp;"-"&amp;H453&amp;I453</f>
        <v>ED2410-TO-KB-October 2023 Release Notes-JA Update</v>
      </c>
    </row>
    <row r="454" spans="1:11">
      <c r="A454">
        <v>453</v>
      </c>
      <c r="B454" t="s">
        <v>16</v>
      </c>
      <c r="C454">
        <v>2410</v>
      </c>
      <c r="E454" t="s">
        <v>114</v>
      </c>
      <c r="F454" t="s">
        <v>17</v>
      </c>
      <c r="G454" t="s">
        <v>445</v>
      </c>
      <c r="H454" t="s">
        <v>14</v>
      </c>
      <c r="I454" t="s">
        <v>312</v>
      </c>
      <c r="K454" t="str">
        <f>B454&amp;C454&amp;"-"&amp;E454&amp;"-"&amp;F454&amp;"-"&amp;G454&amp;"-"&amp;H454&amp;I454</f>
        <v>ED2410-TO-KB-October 2023 Release Related-JA Batch-1</v>
      </c>
    </row>
    <row r="455" spans="1:11">
      <c r="A455">
        <v>454</v>
      </c>
      <c r="B455" t="s">
        <v>16</v>
      </c>
      <c r="C455">
        <v>2410</v>
      </c>
      <c r="E455" t="s">
        <v>114</v>
      </c>
      <c r="F455" t="s">
        <v>17</v>
      </c>
      <c r="G455" t="s">
        <v>445</v>
      </c>
      <c r="H455" t="s">
        <v>14</v>
      </c>
      <c r="I455" t="s">
        <v>363</v>
      </c>
      <c r="K455" t="str">
        <f t="shared" si="10"/>
        <v>ED2410-TO-KB-October 2023 Release Related-JA Batch-2</v>
      </c>
    </row>
    <row r="456" spans="1:11">
      <c r="A456">
        <v>455</v>
      </c>
      <c r="B456" t="s">
        <v>16</v>
      </c>
      <c r="C456">
        <v>2410</v>
      </c>
      <c r="E456" t="s">
        <v>114</v>
      </c>
      <c r="F456" t="s">
        <v>17</v>
      </c>
      <c r="G456" t="s">
        <v>445</v>
      </c>
      <c r="H456" t="s">
        <v>14</v>
      </c>
      <c r="I456" t="s">
        <v>332</v>
      </c>
      <c r="K456" t="str">
        <f t="shared" si="10"/>
        <v>ED2410-TO-KB-October 2023 Release Related-JA Batch-3</v>
      </c>
    </row>
    <row r="457" spans="1:11">
      <c r="A457">
        <v>456</v>
      </c>
      <c r="B457" t="s">
        <v>42</v>
      </c>
      <c r="C457">
        <v>2410</v>
      </c>
      <c r="E457" t="s">
        <v>114</v>
      </c>
      <c r="F457" t="s">
        <v>50</v>
      </c>
      <c r="G457" t="s">
        <v>446</v>
      </c>
      <c r="H457" t="s">
        <v>14</v>
      </c>
      <c r="K457" t="str">
        <f t="shared" si="10"/>
        <v>CS2410-TO-Movie-AI Workflow Demo.srt-JA</v>
      </c>
    </row>
    <row r="458" spans="1:11">
      <c r="A458">
        <v>457</v>
      </c>
      <c r="B458" t="s">
        <v>16</v>
      </c>
      <c r="C458">
        <v>2410</v>
      </c>
      <c r="E458" t="s">
        <v>114</v>
      </c>
      <c r="F458" t="s">
        <v>40</v>
      </c>
      <c r="G458" t="s">
        <v>447</v>
      </c>
      <c r="H458" t="s">
        <v>14</v>
      </c>
      <c r="K458" t="str">
        <f t="shared" si="10"/>
        <v>ED2410-TO-App-October 2023 Release Updates - Japan-JA</v>
      </c>
    </row>
    <row r="459" spans="1:11">
      <c r="A459">
        <v>458</v>
      </c>
      <c r="B459" t="s">
        <v>16</v>
      </c>
      <c r="C459">
        <v>2410</v>
      </c>
      <c r="E459" t="s">
        <v>114</v>
      </c>
      <c r="F459" t="s">
        <v>247</v>
      </c>
      <c r="G459" t="s">
        <v>448</v>
      </c>
      <c r="H459" t="s">
        <v>14</v>
      </c>
      <c r="I459" t="s">
        <v>449</v>
      </c>
      <c r="K459" t="str">
        <f t="shared" si="10"/>
        <v>ED2410-TO-KB-Support-October request-JA Batch-１</v>
      </c>
    </row>
    <row r="460" spans="1:11">
      <c r="A460">
        <v>459</v>
      </c>
      <c r="B460" t="s">
        <v>16</v>
      </c>
      <c r="C460">
        <v>2411</v>
      </c>
      <c r="E460" t="s">
        <v>114</v>
      </c>
      <c r="F460" t="s">
        <v>17</v>
      </c>
      <c r="G460" t="s">
        <v>450</v>
      </c>
      <c r="H460" t="s">
        <v>14</v>
      </c>
      <c r="K460" t="str">
        <f t="shared" si="10"/>
        <v>ED2411-TO-KB-Free Domo | Overview-JA</v>
      </c>
    </row>
    <row r="461" spans="1:11">
      <c r="A461">
        <v>460</v>
      </c>
      <c r="B461" t="s">
        <v>42</v>
      </c>
      <c r="C461">
        <v>2411</v>
      </c>
      <c r="E461" t="s">
        <v>114</v>
      </c>
      <c r="F461" t="s">
        <v>50</v>
      </c>
      <c r="G461" t="s">
        <v>451</v>
      </c>
      <c r="H461" t="s">
        <v>14</v>
      </c>
      <c r="K461" t="str">
        <f t="shared" si="10"/>
        <v>CS2411-TO-Movie-Daren Video for Shimadzu in Kyoto-JA</v>
      </c>
    </row>
    <row r="462" spans="1:11">
      <c r="A462">
        <v>461</v>
      </c>
      <c r="B462" t="s">
        <v>452</v>
      </c>
      <c r="C462">
        <v>2411</v>
      </c>
      <c r="E462" t="s">
        <v>114</v>
      </c>
      <c r="F462" t="s">
        <v>453</v>
      </c>
      <c r="G462" t="s">
        <v>454</v>
      </c>
      <c r="H462" t="s">
        <v>14</v>
      </c>
      <c r="K462" t="str">
        <f t="shared" si="10"/>
        <v>SO2411-TO-Document-Service order-JA</v>
      </c>
    </row>
    <row r="463" spans="1:11">
      <c r="A463">
        <v>462</v>
      </c>
      <c r="B463" t="s">
        <v>16</v>
      </c>
      <c r="C463">
        <v>2411</v>
      </c>
      <c r="E463" t="s">
        <v>114</v>
      </c>
      <c r="F463" t="s">
        <v>17</v>
      </c>
      <c r="G463" t="s">
        <v>450</v>
      </c>
      <c r="H463" t="s">
        <v>14</v>
      </c>
      <c r="I463" t="s">
        <v>455</v>
      </c>
      <c r="K463" t="str">
        <f t="shared" si="10"/>
        <v>ED2411-TO-KB-Free Domo | Overview-JA Batch-２</v>
      </c>
    </row>
    <row r="464" spans="1:11" ht="36">
      <c r="A464">
        <v>463</v>
      </c>
      <c r="B464" t="s">
        <v>16</v>
      </c>
      <c r="C464">
        <v>2411</v>
      </c>
      <c r="E464" t="s">
        <v>114</v>
      </c>
      <c r="F464" t="s">
        <v>17</v>
      </c>
      <c r="G464" s="4" t="s">
        <v>456</v>
      </c>
      <c r="H464" t="s">
        <v>14</v>
      </c>
      <c r="I464" t="s">
        <v>455</v>
      </c>
      <c r="K464" t="str">
        <f t="shared" si="10"/>
        <v>ED2411-TO-KB-What Are Consumption Credits and How Do They Work?-JA Batch-２</v>
      </c>
    </row>
    <row r="465" spans="1:11">
      <c r="A465">
        <v>464</v>
      </c>
      <c r="B465" t="s">
        <v>16</v>
      </c>
      <c r="C465">
        <v>2411</v>
      </c>
      <c r="E465" t="s">
        <v>114</v>
      </c>
      <c r="F465" t="s">
        <v>247</v>
      </c>
      <c r="G465" t="s">
        <v>457</v>
      </c>
      <c r="H465" t="s">
        <v>14</v>
      </c>
      <c r="K465" t="str">
        <f t="shared" si="10"/>
        <v>ED2411-TO-KB-Support-November Urgent-JA</v>
      </c>
    </row>
    <row r="466" spans="1:11">
      <c r="A466">
        <v>465</v>
      </c>
      <c r="B466" t="s">
        <v>16</v>
      </c>
      <c r="C466">
        <v>2411</v>
      </c>
      <c r="E466" t="s">
        <v>114</v>
      </c>
      <c r="F466" t="s">
        <v>247</v>
      </c>
      <c r="G466" t="s">
        <v>458</v>
      </c>
      <c r="H466" t="s">
        <v>14</v>
      </c>
      <c r="I466" t="s">
        <v>312</v>
      </c>
      <c r="K466" t="str">
        <f t="shared" si="10"/>
        <v>ED2411-TO-KB-Support-November-JA Batch-1</v>
      </c>
    </row>
    <row r="467" spans="1:11">
      <c r="A467">
        <v>466</v>
      </c>
      <c r="B467" t="s">
        <v>16</v>
      </c>
      <c r="C467">
        <v>2411</v>
      </c>
      <c r="E467" t="s">
        <v>114</v>
      </c>
      <c r="F467" t="s">
        <v>247</v>
      </c>
      <c r="G467" t="s">
        <v>458</v>
      </c>
      <c r="H467" t="s">
        <v>14</v>
      </c>
      <c r="I467" t="s">
        <v>363</v>
      </c>
      <c r="K467" t="str">
        <f t="shared" si="10"/>
        <v>ED2411-TO-KB-Support-November-JA Batch-2</v>
      </c>
    </row>
    <row r="468" spans="1:11">
      <c r="A468">
        <v>467</v>
      </c>
      <c r="B468" t="s">
        <v>16</v>
      </c>
      <c r="C468">
        <v>2411</v>
      </c>
      <c r="E468" t="s">
        <v>114</v>
      </c>
      <c r="F468" t="s">
        <v>247</v>
      </c>
      <c r="G468" t="s">
        <v>458</v>
      </c>
      <c r="H468" t="s">
        <v>14</v>
      </c>
      <c r="I468" t="s">
        <v>332</v>
      </c>
      <c r="K468" t="str">
        <f t="shared" si="10"/>
        <v>ED2411-TO-KB-Support-November-JA Batch-3</v>
      </c>
    </row>
    <row r="469" spans="1:11">
      <c r="A469">
        <v>468</v>
      </c>
      <c r="B469" t="s">
        <v>16</v>
      </c>
      <c r="C469">
        <v>2411</v>
      </c>
      <c r="E469" t="s">
        <v>114</v>
      </c>
      <c r="F469" t="s">
        <v>247</v>
      </c>
      <c r="G469" t="s">
        <v>458</v>
      </c>
      <c r="H469" t="s">
        <v>14</v>
      </c>
      <c r="I469" t="s">
        <v>364</v>
      </c>
      <c r="K469" t="str">
        <f t="shared" si="10"/>
        <v>ED2411-TO-KB-Support-November-JA Batch-4</v>
      </c>
    </row>
    <row r="470" spans="1:11">
      <c r="A470">
        <v>469</v>
      </c>
      <c r="B470" t="s">
        <v>16</v>
      </c>
      <c r="C470">
        <v>2411</v>
      </c>
      <c r="E470" t="s">
        <v>114</v>
      </c>
      <c r="F470" t="s">
        <v>247</v>
      </c>
      <c r="G470" t="s">
        <v>458</v>
      </c>
      <c r="H470" t="s">
        <v>14</v>
      </c>
      <c r="I470" t="s">
        <v>336</v>
      </c>
      <c r="K470" t="str">
        <f t="shared" si="10"/>
        <v>ED2411-TO-KB-Support-November-JA Batch-5</v>
      </c>
    </row>
    <row r="471" spans="1:11">
      <c r="A471">
        <v>470</v>
      </c>
      <c r="B471" t="s">
        <v>16</v>
      </c>
      <c r="C471">
        <v>2411</v>
      </c>
      <c r="E471" t="s">
        <v>114</v>
      </c>
      <c r="F471" t="s">
        <v>17</v>
      </c>
      <c r="G471" s="267" t="s">
        <v>459</v>
      </c>
      <c r="H471" t="s">
        <v>14</v>
      </c>
      <c r="K471" t="str">
        <f t="shared" si="10"/>
        <v>ED2411-TO-KB-Using the Domo PowerPoint Plugin-JA</v>
      </c>
    </row>
    <row r="472" spans="1:11">
      <c r="A472">
        <v>471</v>
      </c>
      <c r="B472" t="s">
        <v>16</v>
      </c>
      <c r="C472">
        <v>2411</v>
      </c>
      <c r="E472" t="s">
        <v>114</v>
      </c>
      <c r="F472" t="s">
        <v>247</v>
      </c>
      <c r="G472" t="s">
        <v>460</v>
      </c>
      <c r="H472" t="s">
        <v>14</v>
      </c>
      <c r="K472" t="str">
        <f t="shared" si="10"/>
        <v>ED2411-TO-KB-Support-Editing a Magic ETL DataFlow-JA</v>
      </c>
    </row>
    <row r="473" spans="1:11">
      <c r="A473">
        <v>472</v>
      </c>
      <c r="B473" t="s">
        <v>16</v>
      </c>
      <c r="C473">
        <v>2411</v>
      </c>
      <c r="E473" t="s">
        <v>152</v>
      </c>
      <c r="F473" t="s">
        <v>17</v>
      </c>
      <c r="G473" t="s">
        <v>461</v>
      </c>
      <c r="H473" t="s">
        <v>14</v>
      </c>
      <c r="K473" t="str">
        <f t="shared" si="10"/>
        <v>ED2411-MH-KB-Link issues-JA</v>
      </c>
    </row>
    <row r="474" spans="1:11">
      <c r="A474">
        <v>473</v>
      </c>
      <c r="B474" t="s">
        <v>16</v>
      </c>
      <c r="C474">
        <v>2410</v>
      </c>
      <c r="E474" t="s">
        <v>114</v>
      </c>
      <c r="F474" t="s">
        <v>17</v>
      </c>
      <c r="G474" t="s">
        <v>462</v>
      </c>
      <c r="H474" t="s">
        <v>14</v>
      </c>
      <c r="K474" t="str">
        <f t="shared" si="10"/>
        <v>ED2410-TO-KB-Instructor Led Courses-JA</v>
      </c>
    </row>
    <row r="475" spans="1:11">
      <c r="A475">
        <v>474</v>
      </c>
      <c r="B475" t="s">
        <v>16</v>
      </c>
      <c r="C475">
        <v>2411</v>
      </c>
      <c r="E475" t="s">
        <v>114</v>
      </c>
      <c r="F475" t="s">
        <v>17</v>
      </c>
      <c r="G475" t="s">
        <v>462</v>
      </c>
      <c r="H475" t="s">
        <v>192</v>
      </c>
      <c r="K475" t="str">
        <f t="shared" si="10"/>
        <v>ED2411-TO-KB-Instructor Led Courses-EN</v>
      </c>
    </row>
    <row r="476" spans="1:11">
      <c r="A476">
        <v>475</v>
      </c>
      <c r="B476" t="s">
        <v>16</v>
      </c>
      <c r="C476">
        <v>2411</v>
      </c>
      <c r="E476" t="s">
        <v>152</v>
      </c>
      <c r="F476" t="s">
        <v>17</v>
      </c>
      <c r="G476" t="s">
        <v>462</v>
      </c>
      <c r="H476" t="s">
        <v>192</v>
      </c>
      <c r="I476" t="s">
        <v>315</v>
      </c>
      <c r="K476" t="str">
        <f t="shared" si="10"/>
        <v>ED2411-MH-KB-Instructor Led Courses-EN New</v>
      </c>
    </row>
    <row r="477" spans="1:11">
      <c r="A477">
        <v>476</v>
      </c>
      <c r="B477" t="s">
        <v>16</v>
      </c>
      <c r="C477">
        <v>2411</v>
      </c>
      <c r="E477" t="s">
        <v>114</v>
      </c>
      <c r="F477" t="s">
        <v>17</v>
      </c>
      <c r="G477" t="s">
        <v>463</v>
      </c>
      <c r="H477" t="s">
        <v>14</v>
      </c>
      <c r="I477" t="s">
        <v>315</v>
      </c>
      <c r="K477" t="str">
        <f t="shared" si="10"/>
        <v>ED2411-TO-KB-Instructor-Led Courses in Japan-JA New</v>
      </c>
    </row>
    <row r="478" spans="1:11">
      <c r="A478">
        <v>477</v>
      </c>
      <c r="B478" t="s">
        <v>16</v>
      </c>
      <c r="C478">
        <v>2411</v>
      </c>
      <c r="E478" t="s">
        <v>114</v>
      </c>
      <c r="F478" t="s">
        <v>17</v>
      </c>
      <c r="G478" s="4" t="s">
        <v>462</v>
      </c>
      <c r="H478" t="s">
        <v>14</v>
      </c>
      <c r="K478" t="str">
        <f t="shared" si="10"/>
        <v>ED2411-TO-KB-Instructor Led Courses-JA</v>
      </c>
    </row>
    <row r="479" spans="1:11">
      <c r="A479">
        <v>478</v>
      </c>
      <c r="B479" t="s">
        <v>16</v>
      </c>
      <c r="C479">
        <v>2411</v>
      </c>
      <c r="E479" t="s">
        <v>114</v>
      </c>
      <c r="F479" t="s">
        <v>17</v>
      </c>
      <c r="G479" s="4" t="s">
        <v>464</v>
      </c>
      <c r="H479" t="s">
        <v>14</v>
      </c>
      <c r="K479" t="str">
        <f t="shared" si="10"/>
        <v>ED2411-TO-KB-Packed Bubble-JA</v>
      </c>
    </row>
    <row r="480" spans="1:11">
      <c r="A480">
        <v>479</v>
      </c>
      <c r="B480" t="s">
        <v>16</v>
      </c>
      <c r="C480">
        <v>2411</v>
      </c>
      <c r="E480" t="s">
        <v>114</v>
      </c>
      <c r="F480" t="s">
        <v>17</v>
      </c>
      <c r="G480" t="s">
        <v>458</v>
      </c>
      <c r="H480" t="s">
        <v>14</v>
      </c>
      <c r="I480" t="s">
        <v>340</v>
      </c>
      <c r="K480" t="str">
        <f t="shared" si="10"/>
        <v>ED2411-TO-KB-November-JA Batch-6</v>
      </c>
    </row>
    <row r="481" spans="1:11">
      <c r="A481">
        <v>480</v>
      </c>
      <c r="B481" t="s">
        <v>16</v>
      </c>
      <c r="C481">
        <v>2411</v>
      </c>
      <c r="E481" t="s">
        <v>114</v>
      </c>
      <c r="F481" t="s">
        <v>17</v>
      </c>
      <c r="G481" t="s">
        <v>465</v>
      </c>
      <c r="H481" t="s">
        <v>14</v>
      </c>
      <c r="K481" t="str">
        <f t="shared" si="10"/>
        <v>ED2411-TO-KB-DataFlow-JA</v>
      </c>
    </row>
    <row r="482" spans="1:11">
      <c r="A482">
        <v>481</v>
      </c>
      <c r="B482" t="s">
        <v>16</v>
      </c>
      <c r="C482">
        <v>2411</v>
      </c>
      <c r="E482" t="s">
        <v>114</v>
      </c>
      <c r="F482" t="s">
        <v>17</v>
      </c>
      <c r="G482" t="s">
        <v>465</v>
      </c>
      <c r="H482" t="s">
        <v>14</v>
      </c>
      <c r="I482" t="s">
        <v>310</v>
      </c>
      <c r="K482" t="str">
        <f t="shared" si="10"/>
        <v>ED2411-TO-KB-DataFlow-JA Batch-2</v>
      </c>
    </row>
    <row r="483" spans="1:11">
      <c r="A483">
        <v>482</v>
      </c>
      <c r="B483" t="s">
        <v>16</v>
      </c>
      <c r="C483">
        <v>2412</v>
      </c>
      <c r="E483" t="s">
        <v>114</v>
      </c>
      <c r="F483" t="s">
        <v>17</v>
      </c>
      <c r="G483" t="s">
        <v>403</v>
      </c>
      <c r="H483" t="s">
        <v>14</v>
      </c>
      <c r="I483" t="s">
        <v>278</v>
      </c>
      <c r="K483" t="str">
        <f t="shared" si="10"/>
        <v>ED2412-TO-KB-RMS Third Party Connector-JA Update</v>
      </c>
    </row>
    <row r="484" spans="1:11">
      <c r="A484">
        <v>483</v>
      </c>
      <c r="B484" t="s">
        <v>16</v>
      </c>
      <c r="C484">
        <v>2412</v>
      </c>
      <c r="E484" t="s">
        <v>114</v>
      </c>
      <c r="F484" t="s">
        <v>17</v>
      </c>
      <c r="G484" s="267" t="s">
        <v>466</v>
      </c>
      <c r="H484" t="s">
        <v>14</v>
      </c>
      <c r="K484" t="str">
        <f t="shared" si="10"/>
        <v>ED2412-TO-KB-SmartDB Third Party Connector-JA</v>
      </c>
    </row>
    <row r="485" spans="1:11">
      <c r="A485">
        <v>484</v>
      </c>
      <c r="B485" t="s">
        <v>16</v>
      </c>
      <c r="C485">
        <v>2412</v>
      </c>
      <c r="E485" t="s">
        <v>114</v>
      </c>
      <c r="F485" t="s">
        <v>17</v>
      </c>
      <c r="G485" t="s">
        <v>403</v>
      </c>
      <c r="H485" t="s">
        <v>14</v>
      </c>
      <c r="I485" t="s">
        <v>467</v>
      </c>
      <c r="K485" t="str">
        <f t="shared" si="10"/>
        <v>ED2412-TO-KB-RMS Third Party Connector-JA Update 2</v>
      </c>
    </row>
    <row r="486" spans="1:11">
      <c r="A486">
        <v>485</v>
      </c>
      <c r="B486" t="s">
        <v>16</v>
      </c>
      <c r="C486">
        <v>2412</v>
      </c>
      <c r="E486" t="s">
        <v>114</v>
      </c>
      <c r="F486" t="s">
        <v>17</v>
      </c>
      <c r="G486" t="s">
        <v>468</v>
      </c>
      <c r="H486" t="s">
        <v>14</v>
      </c>
      <c r="K486" t="str">
        <f t="shared" si="10"/>
        <v>ED2412-TO-KB-Xero Connector-JA</v>
      </c>
    </row>
    <row r="487" spans="1:11">
      <c r="A487">
        <v>486</v>
      </c>
      <c r="B487" t="s">
        <v>16</v>
      </c>
      <c r="C487">
        <v>2412</v>
      </c>
      <c r="E487" t="s">
        <v>114</v>
      </c>
      <c r="F487" t="s">
        <v>17</v>
      </c>
      <c r="G487" t="s">
        <v>469</v>
      </c>
      <c r="H487" t="s">
        <v>14</v>
      </c>
      <c r="K487" t="str">
        <f t="shared" si="10"/>
        <v>ED2412-TO-KB-Amazon -JA</v>
      </c>
    </row>
    <row r="488" spans="1:11">
      <c r="A488">
        <v>487</v>
      </c>
      <c r="B488" t="s">
        <v>16</v>
      </c>
      <c r="C488">
        <v>2412</v>
      </c>
      <c r="E488" t="s">
        <v>114</v>
      </c>
      <c r="F488" t="s">
        <v>17</v>
      </c>
      <c r="G488" t="s">
        <v>470</v>
      </c>
      <c r="H488" t="s">
        <v>14</v>
      </c>
      <c r="I488" t="s">
        <v>312</v>
      </c>
      <c r="K488" t="str">
        <f t="shared" si="10"/>
        <v>ED2412-TO-KB-Amazon Connector-JA Batch-1</v>
      </c>
    </row>
    <row r="489" spans="1:11">
      <c r="A489">
        <v>488</v>
      </c>
      <c r="B489" t="s">
        <v>16</v>
      </c>
      <c r="C489">
        <v>2412</v>
      </c>
      <c r="E489" t="s">
        <v>114</v>
      </c>
      <c r="F489" t="s">
        <v>17</v>
      </c>
      <c r="G489" t="s">
        <v>470</v>
      </c>
      <c r="H489" t="s">
        <v>14</v>
      </c>
      <c r="I489" t="s">
        <v>363</v>
      </c>
      <c r="K489" t="str">
        <f t="shared" si="10"/>
        <v>ED2412-TO-KB-Amazon Connector-JA Batch-2</v>
      </c>
    </row>
    <row r="490" spans="1:11">
      <c r="A490">
        <v>489</v>
      </c>
      <c r="B490" t="s">
        <v>16</v>
      </c>
      <c r="C490">
        <v>2412</v>
      </c>
      <c r="E490" t="s">
        <v>114</v>
      </c>
      <c r="F490" t="s">
        <v>17</v>
      </c>
      <c r="G490" t="s">
        <v>470</v>
      </c>
      <c r="H490" t="s">
        <v>14</v>
      </c>
      <c r="I490" t="s">
        <v>332</v>
      </c>
      <c r="K490" t="str">
        <f t="shared" si="10"/>
        <v>ED2412-TO-KB-Amazon Connector-JA Batch-3</v>
      </c>
    </row>
    <row r="491" spans="1:11">
      <c r="A491">
        <v>490</v>
      </c>
      <c r="B491" t="s">
        <v>16</v>
      </c>
      <c r="C491">
        <v>2412</v>
      </c>
      <c r="E491" t="s">
        <v>114</v>
      </c>
      <c r="F491" t="s">
        <v>17</v>
      </c>
      <c r="G491" t="s">
        <v>470</v>
      </c>
      <c r="H491" t="s">
        <v>14</v>
      </c>
      <c r="I491" t="s">
        <v>364</v>
      </c>
      <c r="K491" t="str">
        <f t="shared" si="10"/>
        <v>ED2412-TO-KB-Amazon Connector-JA Batch-4</v>
      </c>
    </row>
    <row r="492" spans="1:11">
      <c r="A492">
        <v>491</v>
      </c>
      <c r="B492" t="s">
        <v>16</v>
      </c>
      <c r="C492">
        <v>2412</v>
      </c>
      <c r="E492" t="s">
        <v>114</v>
      </c>
      <c r="F492" t="s">
        <v>247</v>
      </c>
      <c r="G492" t="s">
        <v>471</v>
      </c>
      <c r="H492" t="s">
        <v>14</v>
      </c>
      <c r="K492" t="str">
        <f t="shared" si="10"/>
        <v>ED2412-TO-KB-Support-Changing the Date Format in Your Chart-JA</v>
      </c>
    </row>
    <row r="493" spans="1:11">
      <c r="A493">
        <v>492</v>
      </c>
      <c r="B493" t="s">
        <v>16</v>
      </c>
      <c r="C493">
        <v>2412</v>
      </c>
      <c r="E493" t="s">
        <v>114</v>
      </c>
      <c r="F493" t="s">
        <v>17</v>
      </c>
      <c r="G493" t="s">
        <v>472</v>
      </c>
      <c r="I493" t="s">
        <v>312</v>
      </c>
      <c r="K493" t="str">
        <f t="shared" si="10"/>
        <v>ED2412-TO-KB-December- Batch-1</v>
      </c>
    </row>
    <row r="494" spans="1:11">
      <c r="A494">
        <v>493</v>
      </c>
      <c r="B494" t="s">
        <v>16</v>
      </c>
      <c r="C494">
        <v>2412</v>
      </c>
      <c r="E494" t="s">
        <v>114</v>
      </c>
      <c r="F494" t="s">
        <v>17</v>
      </c>
      <c r="G494" t="s">
        <v>472</v>
      </c>
      <c r="H494" t="s">
        <v>14</v>
      </c>
      <c r="I494" t="s">
        <v>363</v>
      </c>
      <c r="K494" t="str">
        <f t="shared" si="10"/>
        <v>ED2412-TO-KB-December-JA Batch-2</v>
      </c>
    </row>
    <row r="495" spans="1:11">
      <c r="A495">
        <v>494</v>
      </c>
      <c r="B495" t="s">
        <v>16</v>
      </c>
      <c r="C495">
        <v>2412</v>
      </c>
      <c r="E495" t="s">
        <v>114</v>
      </c>
      <c r="F495" t="s">
        <v>17</v>
      </c>
      <c r="G495" t="s">
        <v>472</v>
      </c>
      <c r="H495" t="s">
        <v>14</v>
      </c>
      <c r="I495" t="s">
        <v>332</v>
      </c>
      <c r="K495" t="str">
        <f t="shared" si="10"/>
        <v>ED2412-TO-KB-December-JA Batch-3</v>
      </c>
    </row>
    <row r="496" spans="1:11">
      <c r="A496">
        <v>495</v>
      </c>
      <c r="B496" t="s">
        <v>16</v>
      </c>
      <c r="C496">
        <v>2412</v>
      </c>
      <c r="E496" t="s">
        <v>114</v>
      </c>
      <c r="F496" t="s">
        <v>17</v>
      </c>
      <c r="G496" t="s">
        <v>472</v>
      </c>
      <c r="H496" t="s">
        <v>14</v>
      </c>
      <c r="I496" t="s">
        <v>364</v>
      </c>
      <c r="K496" t="str">
        <f t="shared" si="10"/>
        <v>ED2412-TO-KB-December-JA Batch-4</v>
      </c>
    </row>
    <row r="497" spans="1:11">
      <c r="A497">
        <v>496</v>
      </c>
      <c r="B497" t="s">
        <v>16</v>
      </c>
      <c r="C497">
        <v>2412</v>
      </c>
      <c r="E497" t="s">
        <v>114</v>
      </c>
      <c r="F497" t="s">
        <v>17</v>
      </c>
      <c r="G497" t="s">
        <v>472</v>
      </c>
      <c r="H497" t="s">
        <v>14</v>
      </c>
      <c r="I497" t="s">
        <v>336</v>
      </c>
      <c r="K497" t="str">
        <f t="shared" si="10"/>
        <v>ED2412-TO-KB-December-JA Batch-5</v>
      </c>
    </row>
    <row r="498" spans="1:11">
      <c r="A498">
        <v>497</v>
      </c>
      <c r="B498" t="s">
        <v>16</v>
      </c>
      <c r="C498">
        <v>2412</v>
      </c>
      <c r="E498" t="s">
        <v>114</v>
      </c>
      <c r="F498" t="s">
        <v>17</v>
      </c>
      <c r="G498" t="s">
        <v>472</v>
      </c>
      <c r="H498" t="s">
        <v>14</v>
      </c>
      <c r="I498" t="s">
        <v>404</v>
      </c>
      <c r="K498" t="str">
        <f t="shared" si="10"/>
        <v>ED2412-TO-KB-December-JA Batch-6</v>
      </c>
    </row>
    <row r="499" spans="1:11">
      <c r="A499">
        <v>498</v>
      </c>
      <c r="B499" t="s">
        <v>16</v>
      </c>
      <c r="C499">
        <v>2401</v>
      </c>
      <c r="E499" t="s">
        <v>114</v>
      </c>
      <c r="F499" t="s">
        <v>137</v>
      </c>
      <c r="G499" t="s">
        <v>473</v>
      </c>
      <c r="H499" t="s">
        <v>14</v>
      </c>
      <c r="K499" t="str">
        <f t="shared" si="10"/>
        <v>ED2401-TO-Education-Docebo Course-JA</v>
      </c>
    </row>
    <row r="500" spans="1:11">
      <c r="A500">
        <v>499</v>
      </c>
      <c r="B500" t="s">
        <v>16</v>
      </c>
      <c r="C500">
        <v>2401</v>
      </c>
      <c r="E500" t="s">
        <v>114</v>
      </c>
      <c r="F500" t="s">
        <v>17</v>
      </c>
      <c r="G500" t="s">
        <v>474</v>
      </c>
      <c r="H500" t="s">
        <v>14</v>
      </c>
      <c r="K500" t="str">
        <f t="shared" si="10"/>
        <v>ED2401-TO-KB-Microsoft Dynamics CRM REST Connector-JA</v>
      </c>
    </row>
    <row r="501" spans="1:11">
      <c r="A501">
        <v>500</v>
      </c>
      <c r="B501" t="s">
        <v>16</v>
      </c>
      <c r="C501">
        <v>2401</v>
      </c>
      <c r="E501" t="s">
        <v>152</v>
      </c>
      <c r="F501" t="s">
        <v>17</v>
      </c>
      <c r="G501" s="267" t="s">
        <v>475</v>
      </c>
      <c r="H501" t="s">
        <v>14</v>
      </c>
      <c r="I501" t="s">
        <v>278</v>
      </c>
      <c r="K501" t="str">
        <f t="shared" si="10"/>
        <v>ED2401-MH-KB-Radial Gauge-JA Update</v>
      </c>
    </row>
    <row r="502" spans="1:11">
      <c r="A502">
        <v>501</v>
      </c>
      <c r="B502" t="s">
        <v>22</v>
      </c>
      <c r="C502">
        <v>2401</v>
      </c>
      <c r="E502" t="s">
        <v>114</v>
      </c>
      <c r="F502" t="s">
        <v>453</v>
      </c>
      <c r="G502" t="s">
        <v>476</v>
      </c>
      <c r="H502" t="s">
        <v>14</v>
      </c>
      <c r="K502" t="str">
        <f t="shared" si="10"/>
        <v>MK2401-TO-Document-Power to your people The new data experience-JA</v>
      </c>
    </row>
    <row r="503" spans="1:11">
      <c r="A503">
        <v>502</v>
      </c>
      <c r="B503" t="s">
        <v>16</v>
      </c>
      <c r="C503">
        <v>2401</v>
      </c>
      <c r="E503" t="s">
        <v>114</v>
      </c>
      <c r="F503" t="s">
        <v>40</v>
      </c>
      <c r="G503" t="s">
        <v>477</v>
      </c>
      <c r="H503" t="s">
        <v>14</v>
      </c>
      <c r="K503" t="str">
        <f t="shared" ref="K503:K567" si="11">B503&amp;C503&amp;"-"&amp;E503&amp;"-"&amp;F503&amp;"-"&amp;G503&amp;"-"&amp;H503&amp;I503</f>
        <v>ED2401-TO-App-Scorm files for selflearning courses-JA</v>
      </c>
    </row>
    <row r="504" spans="1:11">
      <c r="A504">
        <v>503</v>
      </c>
      <c r="B504" t="s">
        <v>16</v>
      </c>
      <c r="C504">
        <v>2401</v>
      </c>
      <c r="E504" t="s">
        <v>114</v>
      </c>
      <c r="F504" t="s">
        <v>17</v>
      </c>
      <c r="G504" t="s">
        <v>478</v>
      </c>
      <c r="H504" t="s">
        <v>14</v>
      </c>
      <c r="K504" t="str">
        <f t="shared" si="11"/>
        <v>ED2401-TO-KB-Consumption and Domo Free-JA</v>
      </c>
    </row>
    <row r="505" spans="1:11">
      <c r="A505">
        <v>504</v>
      </c>
      <c r="B505" t="s">
        <v>16</v>
      </c>
      <c r="C505">
        <v>2401</v>
      </c>
      <c r="E505" t="s">
        <v>114</v>
      </c>
      <c r="F505" t="s">
        <v>17</v>
      </c>
      <c r="G505" t="s">
        <v>403</v>
      </c>
      <c r="H505" t="s">
        <v>14</v>
      </c>
      <c r="K505" t="str">
        <f t="shared" si="11"/>
        <v>ED2401-TO-KB-RMS Third Party Connector-JA</v>
      </c>
    </row>
    <row r="506" spans="1:11">
      <c r="A506">
        <v>505</v>
      </c>
      <c r="B506" t="s">
        <v>16</v>
      </c>
      <c r="C506">
        <v>2401</v>
      </c>
      <c r="E506" t="s">
        <v>152</v>
      </c>
      <c r="F506" t="s">
        <v>17</v>
      </c>
      <c r="G506" t="s">
        <v>479</v>
      </c>
      <c r="H506" t="s">
        <v>14</v>
      </c>
      <c r="K506" t="str">
        <f t="shared" si="11"/>
        <v>ED2401-MH-KB-Sharepoint Online Writeback Connector-JA</v>
      </c>
    </row>
    <row r="507" spans="1:11">
      <c r="A507">
        <v>506</v>
      </c>
      <c r="B507" t="s">
        <v>16</v>
      </c>
      <c r="C507">
        <v>2401</v>
      </c>
      <c r="E507" t="s">
        <v>152</v>
      </c>
      <c r="F507" t="s">
        <v>247</v>
      </c>
      <c r="G507" t="s">
        <v>479</v>
      </c>
      <c r="H507" t="s">
        <v>14</v>
      </c>
      <c r="K507" t="str">
        <f t="shared" si="11"/>
        <v>ED2401-MH-KB-Support-Sharepoint Online Writeback Connector-JA</v>
      </c>
    </row>
    <row r="508" spans="1:11">
      <c r="A508">
        <v>507</v>
      </c>
      <c r="B508" t="s">
        <v>16</v>
      </c>
      <c r="C508">
        <v>2401</v>
      </c>
      <c r="E508" t="s">
        <v>114</v>
      </c>
      <c r="F508" t="s">
        <v>17</v>
      </c>
      <c r="G508" t="s">
        <v>394</v>
      </c>
      <c r="H508" t="s">
        <v>14</v>
      </c>
      <c r="K508" t="str">
        <f t="shared" si="11"/>
        <v>ED2401-TO-KB-Connectors-JA</v>
      </c>
    </row>
    <row r="509" spans="1:11">
      <c r="A509">
        <v>508</v>
      </c>
      <c r="B509" t="s">
        <v>16</v>
      </c>
      <c r="C509">
        <v>2401</v>
      </c>
      <c r="E509" t="s">
        <v>114</v>
      </c>
      <c r="F509" t="s">
        <v>17</v>
      </c>
      <c r="G509" t="s">
        <v>480</v>
      </c>
      <c r="H509" t="s">
        <v>14</v>
      </c>
      <c r="K509" t="str">
        <f t="shared" si="11"/>
        <v>ED2401-TO-KB-January-JA</v>
      </c>
    </row>
    <row r="510" spans="1:11">
      <c r="A510">
        <v>509</v>
      </c>
      <c r="B510" t="s">
        <v>16</v>
      </c>
      <c r="C510">
        <v>2401</v>
      </c>
      <c r="E510" t="s">
        <v>114</v>
      </c>
      <c r="F510" t="s">
        <v>17</v>
      </c>
      <c r="G510" t="s">
        <v>461</v>
      </c>
      <c r="H510" t="s">
        <v>14</v>
      </c>
      <c r="K510" t="str">
        <f t="shared" si="11"/>
        <v>ED2401-TO-KB-Link issues-JA</v>
      </c>
    </row>
    <row r="511" spans="1:11">
      <c r="A511">
        <v>510</v>
      </c>
      <c r="B511" t="s">
        <v>16</v>
      </c>
      <c r="C511">
        <v>2401</v>
      </c>
      <c r="E511" t="s">
        <v>114</v>
      </c>
      <c r="F511" t="s">
        <v>17</v>
      </c>
      <c r="G511" t="s">
        <v>324</v>
      </c>
      <c r="H511" t="s">
        <v>14</v>
      </c>
      <c r="I511" t="s">
        <v>312</v>
      </c>
      <c r="K511" t="str">
        <f t="shared" si="11"/>
        <v>ED2401-TO-KB-January Connector-JA Batch-1</v>
      </c>
    </row>
    <row r="512" spans="1:11">
      <c r="A512">
        <v>511</v>
      </c>
      <c r="B512" t="s">
        <v>16</v>
      </c>
      <c r="C512">
        <v>2401</v>
      </c>
      <c r="E512" t="s">
        <v>114</v>
      </c>
      <c r="F512" t="s">
        <v>17</v>
      </c>
      <c r="G512" t="s">
        <v>324</v>
      </c>
      <c r="H512" t="s">
        <v>14</v>
      </c>
      <c r="I512" t="s">
        <v>363</v>
      </c>
      <c r="K512" t="str">
        <f t="shared" si="11"/>
        <v>ED2401-TO-KB-January Connector-JA Batch-2</v>
      </c>
    </row>
    <row r="513" spans="1:11">
      <c r="A513">
        <v>512</v>
      </c>
      <c r="B513" t="s">
        <v>16</v>
      </c>
      <c r="C513">
        <v>2401</v>
      </c>
      <c r="E513" t="s">
        <v>114</v>
      </c>
      <c r="F513" t="s">
        <v>17</v>
      </c>
      <c r="G513" t="s">
        <v>324</v>
      </c>
      <c r="H513" t="s">
        <v>14</v>
      </c>
      <c r="I513" t="s">
        <v>332</v>
      </c>
      <c r="K513" t="str">
        <f t="shared" si="11"/>
        <v>ED2401-TO-KB-January Connector-JA Batch-3</v>
      </c>
    </row>
    <row r="514" spans="1:11">
      <c r="A514">
        <v>513</v>
      </c>
      <c r="B514" t="s">
        <v>16</v>
      </c>
      <c r="C514">
        <v>2401</v>
      </c>
      <c r="E514" t="s">
        <v>114</v>
      </c>
      <c r="F514" t="s">
        <v>17</v>
      </c>
      <c r="G514" t="s">
        <v>481</v>
      </c>
      <c r="H514" t="s">
        <v>14</v>
      </c>
      <c r="K514" t="str">
        <f t="shared" si="11"/>
        <v>ED2401-TO-KB-Old Magic ETL Tiles-JA</v>
      </c>
    </row>
    <row r="515" spans="1:11">
      <c r="A515">
        <v>514</v>
      </c>
      <c r="B515" t="s">
        <v>16</v>
      </c>
      <c r="C515">
        <v>2401</v>
      </c>
      <c r="E515" t="s">
        <v>114</v>
      </c>
      <c r="F515" t="s">
        <v>17</v>
      </c>
      <c r="G515" t="s">
        <v>482</v>
      </c>
      <c r="H515" t="s">
        <v>14</v>
      </c>
      <c r="K515" t="str">
        <f t="shared" si="11"/>
        <v>ED2401-TO-KB-Magic ETL Tiles-JA</v>
      </c>
    </row>
    <row r="516" spans="1:11">
      <c r="A516">
        <v>515</v>
      </c>
      <c r="B516" t="s">
        <v>16</v>
      </c>
      <c r="C516">
        <v>2401</v>
      </c>
      <c r="E516" t="s">
        <v>152</v>
      </c>
      <c r="F516" t="s">
        <v>17</v>
      </c>
      <c r="G516" t="s">
        <v>483</v>
      </c>
      <c r="H516" t="s">
        <v>14</v>
      </c>
      <c r="I516" t="s">
        <v>305</v>
      </c>
      <c r="K516" t="str">
        <f t="shared" si="11"/>
        <v>ED2401-MH-KB-January 2024 Release Notes - Japanese-JA Bugfix</v>
      </c>
    </row>
    <row r="517" spans="1:11">
      <c r="A517">
        <v>516</v>
      </c>
      <c r="B517" t="s">
        <v>16</v>
      </c>
      <c r="C517">
        <v>2401</v>
      </c>
      <c r="E517" t="s">
        <v>114</v>
      </c>
      <c r="F517" t="s">
        <v>17</v>
      </c>
      <c r="G517" t="s">
        <v>484</v>
      </c>
      <c r="H517" t="s">
        <v>14</v>
      </c>
      <c r="K517" t="str">
        <f t="shared" si="11"/>
        <v>ED2401-TO-KB-Domo AI-JA</v>
      </c>
    </row>
    <row r="518" spans="1:11">
      <c r="A518">
        <v>517</v>
      </c>
      <c r="B518" t="s">
        <v>16</v>
      </c>
      <c r="C518">
        <v>2401</v>
      </c>
      <c r="E518" t="s">
        <v>114</v>
      </c>
      <c r="F518" t="s">
        <v>17</v>
      </c>
      <c r="G518" t="s">
        <v>484</v>
      </c>
      <c r="H518" t="s">
        <v>14</v>
      </c>
      <c r="I518" t="s">
        <v>310</v>
      </c>
      <c r="K518" t="str">
        <f t="shared" si="11"/>
        <v>ED2401-TO-KB-Domo AI-JA Batch-2</v>
      </c>
    </row>
    <row r="519" spans="1:11">
      <c r="A519">
        <v>518</v>
      </c>
      <c r="B519" t="s">
        <v>16</v>
      </c>
      <c r="C519">
        <v>2401</v>
      </c>
      <c r="E519" t="s">
        <v>114</v>
      </c>
      <c r="F519" t="s">
        <v>17</v>
      </c>
      <c r="G519" t="s">
        <v>480</v>
      </c>
      <c r="H519" t="s">
        <v>14</v>
      </c>
      <c r="I519" t="s">
        <v>363</v>
      </c>
      <c r="K519" t="str">
        <f t="shared" si="11"/>
        <v>ED2401-TO-KB-January-JA Batch-2</v>
      </c>
    </row>
    <row r="520" spans="1:11">
      <c r="A520">
        <v>519</v>
      </c>
      <c r="B520" t="s">
        <v>16</v>
      </c>
      <c r="C520">
        <v>2401</v>
      </c>
      <c r="E520" t="s">
        <v>114</v>
      </c>
      <c r="F520" t="s">
        <v>17</v>
      </c>
      <c r="G520" t="s">
        <v>480</v>
      </c>
      <c r="H520" t="s">
        <v>14</v>
      </c>
      <c r="I520" t="s">
        <v>332</v>
      </c>
      <c r="K520" t="str">
        <f t="shared" si="11"/>
        <v>ED2401-TO-KB-January-JA Batch-3</v>
      </c>
    </row>
    <row r="521" spans="1:11">
      <c r="A521">
        <v>520</v>
      </c>
      <c r="B521" t="s">
        <v>16</v>
      </c>
      <c r="C521">
        <v>2502</v>
      </c>
      <c r="E521" t="s">
        <v>114</v>
      </c>
      <c r="F521" t="s">
        <v>40</v>
      </c>
      <c r="G521" t="s">
        <v>477</v>
      </c>
      <c r="H521" t="s">
        <v>14</v>
      </c>
      <c r="I521" t="s">
        <v>278</v>
      </c>
      <c r="K521" t="str">
        <f t="shared" si="11"/>
        <v>ED2502-TO-App-Scorm files for selflearning courses-JA Update</v>
      </c>
    </row>
    <row r="522" spans="1:11">
      <c r="A522">
        <v>521</v>
      </c>
      <c r="B522" t="s">
        <v>452</v>
      </c>
      <c r="C522">
        <v>2502</v>
      </c>
      <c r="E522" t="s">
        <v>114</v>
      </c>
      <c r="F522" t="s">
        <v>23</v>
      </c>
      <c r="G522" t="s">
        <v>485</v>
      </c>
      <c r="H522" t="s">
        <v>14</v>
      </c>
      <c r="K522" t="str">
        <f t="shared" si="11"/>
        <v>SO2502-TO-Web-Domo Privacy Notice-JA</v>
      </c>
    </row>
    <row r="523" spans="1:11">
      <c r="A523">
        <v>522</v>
      </c>
      <c r="B523" t="s">
        <v>16</v>
      </c>
      <c r="C523">
        <v>2401</v>
      </c>
      <c r="E523" t="s">
        <v>114</v>
      </c>
      <c r="F523" t="s">
        <v>247</v>
      </c>
      <c r="G523" t="s">
        <v>486</v>
      </c>
      <c r="H523" t="s">
        <v>14</v>
      </c>
      <c r="K523" t="str">
        <f t="shared" si="11"/>
        <v>ED2401-TO-KB-Support-February-JA</v>
      </c>
    </row>
    <row r="524" spans="1:11">
      <c r="A524">
        <v>523</v>
      </c>
      <c r="B524" t="s">
        <v>16</v>
      </c>
      <c r="C524">
        <v>2502</v>
      </c>
      <c r="E524" t="s">
        <v>114</v>
      </c>
      <c r="F524" t="s">
        <v>40</v>
      </c>
      <c r="G524" t="s">
        <v>487</v>
      </c>
      <c r="H524" t="s">
        <v>14</v>
      </c>
      <c r="K524" t="str">
        <f t="shared" si="11"/>
        <v>ED2502-TO-App-Jan 24 - Japan Localization-JA</v>
      </c>
    </row>
    <row r="525" spans="1:11">
      <c r="A525">
        <v>524</v>
      </c>
      <c r="B525" t="s">
        <v>16</v>
      </c>
      <c r="C525">
        <v>2502</v>
      </c>
      <c r="E525" t="s">
        <v>114</v>
      </c>
      <c r="F525" t="s">
        <v>247</v>
      </c>
      <c r="G525" t="s">
        <v>486</v>
      </c>
      <c r="H525" t="s">
        <v>14</v>
      </c>
      <c r="I525" t="s">
        <v>312</v>
      </c>
      <c r="K525" t="str">
        <f t="shared" si="11"/>
        <v>ED2502-TO-KB-Support-February-JA Batch-1</v>
      </c>
    </row>
    <row r="526" spans="1:11">
      <c r="A526">
        <v>525</v>
      </c>
      <c r="B526" t="s">
        <v>16</v>
      </c>
      <c r="C526">
        <v>2502</v>
      </c>
      <c r="E526" t="s">
        <v>114</v>
      </c>
      <c r="F526" t="s">
        <v>17</v>
      </c>
      <c r="G526" t="s">
        <v>488</v>
      </c>
      <c r="H526" t="s">
        <v>14</v>
      </c>
      <c r="K526" t="str">
        <f t="shared" si="11"/>
        <v>ED2502-TO-KB-Consumption Credits-JA</v>
      </c>
    </row>
    <row r="527" spans="1:11">
      <c r="A527">
        <v>526</v>
      </c>
      <c r="B527" t="s">
        <v>16</v>
      </c>
      <c r="C527">
        <v>2502</v>
      </c>
      <c r="E527" t="s">
        <v>114</v>
      </c>
      <c r="F527" t="s">
        <v>247</v>
      </c>
      <c r="G527" t="s">
        <v>486</v>
      </c>
      <c r="H527" t="s">
        <v>14</v>
      </c>
      <c r="I527" t="s">
        <v>310</v>
      </c>
      <c r="K527" t="str">
        <f t="shared" si="11"/>
        <v>ED2502-TO-KB-Support-February-JA Batch-2</v>
      </c>
    </row>
    <row r="528" spans="1:11">
      <c r="A528">
        <v>527</v>
      </c>
      <c r="B528" t="s">
        <v>16</v>
      </c>
      <c r="C528">
        <v>2502</v>
      </c>
      <c r="E528" t="s">
        <v>114</v>
      </c>
      <c r="F528" t="s">
        <v>17</v>
      </c>
      <c r="G528" t="s">
        <v>486</v>
      </c>
      <c r="H528" t="s">
        <v>14</v>
      </c>
      <c r="I528" t="s">
        <v>312</v>
      </c>
      <c r="K528" t="str">
        <f t="shared" si="11"/>
        <v>ED2502-TO-KB-February-JA Batch-1</v>
      </c>
    </row>
    <row r="529" spans="1:11">
      <c r="A529">
        <v>528</v>
      </c>
      <c r="B529" t="s">
        <v>16</v>
      </c>
      <c r="C529">
        <v>2502</v>
      </c>
      <c r="E529" t="s">
        <v>114</v>
      </c>
      <c r="F529" t="s">
        <v>17</v>
      </c>
      <c r="G529" t="s">
        <v>486</v>
      </c>
      <c r="H529" t="s">
        <v>14</v>
      </c>
      <c r="I529" t="s">
        <v>363</v>
      </c>
      <c r="K529" t="str">
        <f t="shared" si="11"/>
        <v>ED2502-TO-KB-February-JA Batch-2</v>
      </c>
    </row>
    <row r="530" spans="1:11">
      <c r="A530">
        <v>529</v>
      </c>
      <c r="B530" t="s">
        <v>16</v>
      </c>
      <c r="C530">
        <v>2502</v>
      </c>
      <c r="E530" t="s">
        <v>114</v>
      </c>
      <c r="F530" t="s">
        <v>17</v>
      </c>
      <c r="G530" t="s">
        <v>486</v>
      </c>
      <c r="H530" t="s">
        <v>14</v>
      </c>
      <c r="I530" t="s">
        <v>489</v>
      </c>
      <c r="K530" t="str">
        <f t="shared" si="11"/>
        <v>ED2502-TO-KB-February-JA Batch-3</v>
      </c>
    </row>
    <row r="531" spans="1:11">
      <c r="A531">
        <v>530</v>
      </c>
      <c r="B531" t="s">
        <v>16</v>
      </c>
      <c r="C531">
        <v>2502</v>
      </c>
      <c r="E531" t="s">
        <v>114</v>
      </c>
      <c r="F531" t="s">
        <v>17</v>
      </c>
      <c r="G531" t="s">
        <v>486</v>
      </c>
      <c r="H531" t="s">
        <v>14</v>
      </c>
      <c r="I531" t="s">
        <v>364</v>
      </c>
      <c r="K531" t="str">
        <f t="shared" si="11"/>
        <v>ED2502-TO-KB-February-JA Batch-4</v>
      </c>
    </row>
    <row r="532" spans="1:11">
      <c r="A532">
        <v>531</v>
      </c>
      <c r="B532" t="s">
        <v>16</v>
      </c>
      <c r="C532">
        <v>2502</v>
      </c>
      <c r="E532" t="s">
        <v>114</v>
      </c>
      <c r="F532" t="s">
        <v>17</v>
      </c>
      <c r="G532" t="s">
        <v>486</v>
      </c>
      <c r="H532" t="s">
        <v>14</v>
      </c>
      <c r="I532" t="s">
        <v>336</v>
      </c>
      <c r="K532" t="str">
        <f t="shared" si="11"/>
        <v>ED2502-TO-KB-February-JA Batch-5</v>
      </c>
    </row>
    <row r="533" spans="1:11">
      <c r="A533">
        <v>532</v>
      </c>
      <c r="B533" t="s">
        <v>16</v>
      </c>
      <c r="C533">
        <v>2502</v>
      </c>
      <c r="E533" t="s">
        <v>114</v>
      </c>
      <c r="F533" t="s">
        <v>17</v>
      </c>
      <c r="G533" t="s">
        <v>486</v>
      </c>
      <c r="H533" t="s">
        <v>14</v>
      </c>
      <c r="I533" t="s">
        <v>404</v>
      </c>
      <c r="K533" t="str">
        <f t="shared" si="11"/>
        <v>ED2502-TO-KB-February-JA Batch-6</v>
      </c>
    </row>
    <row r="534" spans="1:11">
      <c r="A534">
        <v>533</v>
      </c>
      <c r="B534" t="s">
        <v>16</v>
      </c>
      <c r="C534">
        <v>2502</v>
      </c>
      <c r="E534" t="s">
        <v>114</v>
      </c>
      <c r="F534" t="s">
        <v>17</v>
      </c>
      <c r="G534" t="s">
        <v>486</v>
      </c>
      <c r="H534" t="s">
        <v>14</v>
      </c>
      <c r="I534" t="s">
        <v>341</v>
      </c>
      <c r="K534" t="str">
        <f t="shared" si="11"/>
        <v>ED2502-TO-KB-February-JA Batch-7</v>
      </c>
    </row>
    <row r="535" spans="1:11">
      <c r="A535">
        <v>534</v>
      </c>
      <c r="B535" t="s">
        <v>16</v>
      </c>
      <c r="C535">
        <v>2502</v>
      </c>
      <c r="E535" t="s">
        <v>114</v>
      </c>
      <c r="F535" t="s">
        <v>17</v>
      </c>
      <c r="G535" t="s">
        <v>486</v>
      </c>
      <c r="H535" t="s">
        <v>14</v>
      </c>
      <c r="I535" t="s">
        <v>405</v>
      </c>
      <c r="K535" t="str">
        <f t="shared" si="11"/>
        <v>ED2502-TO-KB-February-JA Batch-8</v>
      </c>
    </row>
    <row r="536" spans="1:11">
      <c r="A536">
        <v>535</v>
      </c>
      <c r="B536" t="s">
        <v>16</v>
      </c>
      <c r="C536">
        <v>2502</v>
      </c>
      <c r="E536" t="s">
        <v>96</v>
      </c>
      <c r="F536" t="s">
        <v>17</v>
      </c>
      <c r="G536" t="s">
        <v>490</v>
      </c>
      <c r="H536" t="s">
        <v>14</v>
      </c>
      <c r="K536" t="str">
        <f t="shared" si="11"/>
        <v>ED2502-MH-KB-Fonts in Domo App-JA</v>
      </c>
    </row>
    <row r="537" spans="1:11">
      <c r="A537">
        <v>536</v>
      </c>
      <c r="B537" t="s">
        <v>16</v>
      </c>
      <c r="C537">
        <v>2503</v>
      </c>
      <c r="E537" t="s">
        <v>114</v>
      </c>
      <c r="F537" t="s">
        <v>17</v>
      </c>
      <c r="G537" t="s">
        <v>491</v>
      </c>
      <c r="H537" t="s">
        <v>14</v>
      </c>
      <c r="K537" t="str">
        <f t="shared" si="11"/>
        <v>ED2503-TO-KB-March-JA</v>
      </c>
    </row>
    <row r="538" spans="1:11">
      <c r="A538">
        <v>537</v>
      </c>
      <c r="B538" t="s">
        <v>16</v>
      </c>
      <c r="C538">
        <v>2503</v>
      </c>
      <c r="E538" t="s">
        <v>114</v>
      </c>
      <c r="F538" t="s">
        <v>17</v>
      </c>
      <c r="G538" s="270" t="s">
        <v>492</v>
      </c>
      <c r="H538" t="s">
        <v>14</v>
      </c>
      <c r="K538" t="str">
        <f t="shared" si="11"/>
        <v>ED2503-TO-KB-Code Engine-JA</v>
      </c>
    </row>
    <row r="539" spans="1:11">
      <c r="A539">
        <v>538</v>
      </c>
      <c r="B539" t="s">
        <v>16</v>
      </c>
      <c r="C539">
        <v>2503</v>
      </c>
      <c r="E539" t="s">
        <v>114</v>
      </c>
      <c r="F539" t="s">
        <v>17</v>
      </c>
      <c r="G539" t="s">
        <v>493</v>
      </c>
      <c r="H539" t="s">
        <v>14</v>
      </c>
      <c r="K539" t="str">
        <f t="shared" si="11"/>
        <v>ED2503-TO-KB-Release Notes March 2024 - JP-JA</v>
      </c>
    </row>
    <row r="540" spans="1:11">
      <c r="A540">
        <v>539</v>
      </c>
      <c r="B540" t="s">
        <v>16</v>
      </c>
      <c r="C540">
        <v>2503</v>
      </c>
      <c r="E540" t="s">
        <v>114</v>
      </c>
      <c r="F540" t="s">
        <v>17</v>
      </c>
      <c r="G540" t="s">
        <v>491</v>
      </c>
      <c r="H540" t="s">
        <v>14</v>
      </c>
      <c r="I540" t="s">
        <v>310</v>
      </c>
      <c r="K540" t="str">
        <f t="shared" si="11"/>
        <v>ED2503-TO-KB-March-JA Batch-2</v>
      </c>
    </row>
    <row r="541" spans="1:11">
      <c r="A541">
        <v>540</v>
      </c>
      <c r="B541" t="s">
        <v>16</v>
      </c>
      <c r="C541">
        <v>2503</v>
      </c>
      <c r="E541" t="s">
        <v>114</v>
      </c>
      <c r="F541" t="s">
        <v>17</v>
      </c>
      <c r="G541" t="s">
        <v>491</v>
      </c>
      <c r="H541" t="s">
        <v>14</v>
      </c>
      <c r="I541" t="s">
        <v>332</v>
      </c>
      <c r="K541" t="str">
        <f t="shared" si="11"/>
        <v>ED2503-TO-KB-March-JA Batch-3</v>
      </c>
    </row>
    <row r="542" spans="1:11">
      <c r="A542">
        <v>541</v>
      </c>
      <c r="B542" t="s">
        <v>16</v>
      </c>
      <c r="C542">
        <v>2503</v>
      </c>
      <c r="E542" t="s">
        <v>114</v>
      </c>
      <c r="F542" t="s">
        <v>17</v>
      </c>
      <c r="G542" t="s">
        <v>491</v>
      </c>
      <c r="H542" t="s">
        <v>14</v>
      </c>
      <c r="I542" t="s">
        <v>364</v>
      </c>
      <c r="K542" t="str">
        <f t="shared" si="11"/>
        <v>ED2503-TO-KB-March-JA Batch-4</v>
      </c>
    </row>
    <row r="543" spans="1:11">
      <c r="A543">
        <v>542</v>
      </c>
      <c r="B543" t="s">
        <v>16</v>
      </c>
      <c r="C543">
        <v>2503</v>
      </c>
      <c r="E543" t="s">
        <v>114</v>
      </c>
      <c r="F543" t="s">
        <v>17</v>
      </c>
      <c r="G543" t="s">
        <v>491</v>
      </c>
      <c r="H543" t="s">
        <v>14</v>
      </c>
      <c r="I543" t="s">
        <v>336</v>
      </c>
      <c r="K543" t="str">
        <f t="shared" si="11"/>
        <v>ED2503-TO-KB-March-JA Batch-5</v>
      </c>
    </row>
    <row r="544" spans="1:11">
      <c r="A544">
        <v>543</v>
      </c>
      <c r="B544" t="s">
        <v>16</v>
      </c>
      <c r="C544">
        <v>2503</v>
      </c>
      <c r="E544" t="s">
        <v>114</v>
      </c>
      <c r="F544" t="s">
        <v>17</v>
      </c>
      <c r="G544" t="s">
        <v>491</v>
      </c>
      <c r="H544" t="s">
        <v>14</v>
      </c>
      <c r="I544" t="s">
        <v>404</v>
      </c>
      <c r="K544" t="str">
        <f t="shared" si="11"/>
        <v>ED2503-TO-KB-March-JA Batch-6</v>
      </c>
    </row>
    <row r="545" spans="1:11">
      <c r="A545">
        <v>544</v>
      </c>
      <c r="B545" t="s">
        <v>16</v>
      </c>
      <c r="C545">
        <v>2503</v>
      </c>
      <c r="E545" t="s">
        <v>114</v>
      </c>
      <c r="F545" t="s">
        <v>17</v>
      </c>
      <c r="G545" t="s">
        <v>491</v>
      </c>
      <c r="H545" t="s">
        <v>14</v>
      </c>
      <c r="I545" t="s">
        <v>341</v>
      </c>
      <c r="K545" t="str">
        <f t="shared" si="11"/>
        <v>ED2503-TO-KB-March-JA Batch-7</v>
      </c>
    </row>
    <row r="546" spans="1:11">
      <c r="A546">
        <v>545</v>
      </c>
      <c r="B546" t="s">
        <v>16</v>
      </c>
      <c r="C546">
        <v>2503</v>
      </c>
      <c r="E546" t="s">
        <v>114</v>
      </c>
      <c r="F546" t="s">
        <v>17</v>
      </c>
      <c r="G546" t="s">
        <v>491</v>
      </c>
      <c r="H546" t="s">
        <v>14</v>
      </c>
      <c r="I546" t="s">
        <v>405</v>
      </c>
      <c r="K546" t="str">
        <f t="shared" si="11"/>
        <v>ED2503-TO-KB-March-JA Batch-8</v>
      </c>
    </row>
    <row r="547" spans="1:11">
      <c r="A547">
        <v>546</v>
      </c>
      <c r="B547" t="s">
        <v>16</v>
      </c>
      <c r="C547">
        <v>2503</v>
      </c>
      <c r="E547" t="s">
        <v>114</v>
      </c>
      <c r="F547" t="s">
        <v>17</v>
      </c>
      <c r="G547" t="s">
        <v>491</v>
      </c>
      <c r="H547" t="s">
        <v>14</v>
      </c>
      <c r="I547" t="s">
        <v>406</v>
      </c>
      <c r="K547" t="str">
        <f t="shared" si="11"/>
        <v>ED2503-TO-KB-March-JA Batch-9</v>
      </c>
    </row>
    <row r="548" spans="1:11">
      <c r="A548">
        <v>547</v>
      </c>
      <c r="B548" t="s">
        <v>22</v>
      </c>
      <c r="C548">
        <v>2504</v>
      </c>
      <c r="E548" t="s">
        <v>114</v>
      </c>
      <c r="F548" t="s">
        <v>199</v>
      </c>
      <c r="G548" t="s">
        <v>494</v>
      </c>
      <c r="H548" t="s">
        <v>14</v>
      </c>
      <c r="K548" t="str">
        <f t="shared" si="11"/>
        <v>MK2504-TO-WP-Domo.AI-JA</v>
      </c>
    </row>
    <row r="549" spans="1:11">
      <c r="A549">
        <v>548</v>
      </c>
      <c r="B549" t="s">
        <v>16</v>
      </c>
      <c r="C549">
        <v>2504</v>
      </c>
      <c r="E549" t="s">
        <v>114</v>
      </c>
      <c r="F549" t="s">
        <v>40</v>
      </c>
      <c r="G549" t="s">
        <v>495</v>
      </c>
      <c r="H549" t="s">
        <v>14</v>
      </c>
      <c r="K549" t="str">
        <f t="shared" si="11"/>
        <v>ED2504-TO-App-April-JA</v>
      </c>
    </row>
    <row r="550" spans="1:11">
      <c r="A550">
        <v>549</v>
      </c>
      <c r="B550" t="s">
        <v>16</v>
      </c>
      <c r="C550">
        <v>2504</v>
      </c>
      <c r="E550" t="s">
        <v>114</v>
      </c>
      <c r="F550" t="s">
        <v>17</v>
      </c>
      <c r="G550" t="s">
        <v>494</v>
      </c>
      <c r="H550" t="s">
        <v>14</v>
      </c>
      <c r="K550" t="str">
        <f t="shared" si="11"/>
        <v>ED2504-TO-KB-Domo.AI-JA</v>
      </c>
    </row>
    <row r="551" spans="1:11">
      <c r="A551">
        <v>550</v>
      </c>
      <c r="B551" t="s">
        <v>16</v>
      </c>
      <c r="C551">
        <v>2504</v>
      </c>
      <c r="E551" t="s">
        <v>152</v>
      </c>
      <c r="F551" t="s">
        <v>17</v>
      </c>
      <c r="G551" t="s">
        <v>496</v>
      </c>
      <c r="H551" t="s">
        <v>14</v>
      </c>
      <c r="K551" t="str">
        <f t="shared" si="11"/>
        <v>ED2504-MH-KB-Bugfix-JA</v>
      </c>
    </row>
    <row r="552" spans="1:11">
      <c r="A552">
        <v>551</v>
      </c>
      <c r="B552" t="s">
        <v>16</v>
      </c>
      <c r="C552">
        <v>2504</v>
      </c>
      <c r="E552" t="s">
        <v>114</v>
      </c>
      <c r="F552" t="s">
        <v>247</v>
      </c>
      <c r="G552" t="s">
        <v>495</v>
      </c>
      <c r="H552" t="s">
        <v>14</v>
      </c>
      <c r="K552" t="str">
        <f t="shared" si="11"/>
        <v>ED2504-TO-KB-Support-April-JA</v>
      </c>
    </row>
    <row r="553" spans="1:11">
      <c r="A553">
        <v>552</v>
      </c>
      <c r="B553" t="s">
        <v>16</v>
      </c>
      <c r="C553">
        <v>2504</v>
      </c>
      <c r="E553" t="s">
        <v>114</v>
      </c>
      <c r="F553" t="s">
        <v>17</v>
      </c>
      <c r="G553" t="s">
        <v>497</v>
      </c>
      <c r="H553" t="s">
        <v>14</v>
      </c>
      <c r="K553" t="str">
        <f t="shared" si="11"/>
        <v>ED2504-TO-KB-Linkedin-JA</v>
      </c>
    </row>
    <row r="554" spans="1:11">
      <c r="A554">
        <v>553</v>
      </c>
      <c r="B554" t="s">
        <v>16</v>
      </c>
      <c r="C554">
        <v>2504</v>
      </c>
      <c r="E554" t="s">
        <v>114</v>
      </c>
      <c r="F554" t="s">
        <v>17</v>
      </c>
      <c r="G554" t="s">
        <v>495</v>
      </c>
      <c r="H554" t="s">
        <v>14</v>
      </c>
      <c r="K554" t="str">
        <f t="shared" si="11"/>
        <v>ED2504-TO-KB-April-JA</v>
      </c>
    </row>
    <row r="555" spans="1:11">
      <c r="A555">
        <v>554</v>
      </c>
      <c r="B555" t="s">
        <v>16</v>
      </c>
      <c r="C555">
        <v>2504</v>
      </c>
      <c r="E555" t="s">
        <v>114</v>
      </c>
      <c r="F555" t="s">
        <v>17</v>
      </c>
      <c r="G555" t="s">
        <v>495</v>
      </c>
      <c r="H555" t="s">
        <v>14</v>
      </c>
      <c r="I555" t="s">
        <v>310</v>
      </c>
      <c r="K555" t="str">
        <f t="shared" si="11"/>
        <v>ED2504-TO-KB-April-JA Batch-2</v>
      </c>
    </row>
    <row r="556" spans="1:11">
      <c r="A556">
        <v>555</v>
      </c>
      <c r="B556" t="s">
        <v>16</v>
      </c>
      <c r="C556">
        <v>2504</v>
      </c>
      <c r="E556" t="s">
        <v>114</v>
      </c>
      <c r="F556" t="s">
        <v>17</v>
      </c>
      <c r="G556" t="s">
        <v>498</v>
      </c>
      <c r="H556" t="s">
        <v>14</v>
      </c>
      <c r="K556" t="str">
        <f t="shared" si="11"/>
        <v>ED2504-TO-KB-Current Release Notes-JA</v>
      </c>
    </row>
    <row r="557" spans="1:11">
      <c r="A557">
        <v>556</v>
      </c>
      <c r="B557" t="s">
        <v>16</v>
      </c>
      <c r="C557">
        <v>2504</v>
      </c>
      <c r="E557" t="s">
        <v>114</v>
      </c>
      <c r="F557" t="s">
        <v>17</v>
      </c>
      <c r="G557" t="s">
        <v>495</v>
      </c>
      <c r="H557" t="s">
        <v>14</v>
      </c>
      <c r="I557" t="s">
        <v>489</v>
      </c>
      <c r="K557" t="str">
        <f t="shared" si="11"/>
        <v>ED2504-TO-KB-April-JA Batch-3</v>
      </c>
    </row>
    <row r="558" spans="1:11">
      <c r="A558">
        <v>557</v>
      </c>
      <c r="B558" t="s">
        <v>16</v>
      </c>
      <c r="C558">
        <v>2504</v>
      </c>
      <c r="E558" t="s">
        <v>114</v>
      </c>
      <c r="F558" t="s">
        <v>17</v>
      </c>
      <c r="G558" t="s">
        <v>495</v>
      </c>
      <c r="H558" t="s">
        <v>14</v>
      </c>
      <c r="I558" t="s">
        <v>364</v>
      </c>
      <c r="K558" t="str">
        <f t="shared" si="11"/>
        <v>ED2504-TO-KB-April-JA Batch-4</v>
      </c>
    </row>
    <row r="559" spans="1:11">
      <c r="A559">
        <v>558</v>
      </c>
      <c r="B559" t="s">
        <v>16</v>
      </c>
      <c r="C559">
        <v>2504</v>
      </c>
      <c r="E559" t="s">
        <v>114</v>
      </c>
      <c r="F559" t="s">
        <v>17</v>
      </c>
      <c r="G559" t="s">
        <v>495</v>
      </c>
      <c r="H559" t="s">
        <v>14</v>
      </c>
      <c r="I559" t="s">
        <v>336</v>
      </c>
      <c r="K559" t="str">
        <f t="shared" si="11"/>
        <v>ED2504-TO-KB-April-JA Batch-5</v>
      </c>
    </row>
    <row r="560" spans="1:11">
      <c r="A560">
        <v>559</v>
      </c>
      <c r="B560" t="s">
        <v>16</v>
      </c>
      <c r="C560">
        <v>2504</v>
      </c>
      <c r="E560" t="s">
        <v>114</v>
      </c>
      <c r="F560" t="s">
        <v>17</v>
      </c>
      <c r="G560" t="s">
        <v>499</v>
      </c>
      <c r="H560" t="s">
        <v>14</v>
      </c>
      <c r="K560" t="str">
        <f t="shared" si="11"/>
        <v>ED2504-TO-KB-May-JA</v>
      </c>
    </row>
    <row r="561" spans="1:12">
      <c r="A561">
        <v>560</v>
      </c>
      <c r="B561" t="s">
        <v>16</v>
      </c>
      <c r="C561">
        <v>2504</v>
      </c>
      <c r="E561" t="s">
        <v>114</v>
      </c>
      <c r="F561" t="s">
        <v>17</v>
      </c>
      <c r="G561" t="s">
        <v>499</v>
      </c>
      <c r="H561" t="s">
        <v>14</v>
      </c>
      <c r="I561" t="s">
        <v>310</v>
      </c>
      <c r="K561" t="str">
        <f t="shared" si="11"/>
        <v>ED2504-TO-KB-May-JA Batch-2</v>
      </c>
    </row>
    <row r="562" spans="1:12">
      <c r="A562">
        <v>561</v>
      </c>
      <c r="B562" t="s">
        <v>16</v>
      </c>
      <c r="C562">
        <v>2504</v>
      </c>
      <c r="E562" t="s">
        <v>152</v>
      </c>
      <c r="F562" t="s">
        <v>17</v>
      </c>
      <c r="G562" t="s">
        <v>500</v>
      </c>
      <c r="H562" t="s">
        <v>14</v>
      </c>
      <c r="K562" t="str">
        <f t="shared" si="11"/>
        <v>ED2504-MH-KB-Beast Mode Functions Reference Guide-JA</v>
      </c>
    </row>
    <row r="563" spans="1:12">
      <c r="A563">
        <v>562</v>
      </c>
      <c r="B563" t="s">
        <v>16</v>
      </c>
      <c r="C563">
        <v>2504</v>
      </c>
      <c r="E563" t="s">
        <v>114</v>
      </c>
      <c r="F563" t="s">
        <v>17</v>
      </c>
      <c r="G563" t="s">
        <v>499</v>
      </c>
      <c r="H563" t="s">
        <v>14</v>
      </c>
      <c r="I563" t="s">
        <v>489</v>
      </c>
      <c r="K563" t="str">
        <f t="shared" si="11"/>
        <v>ED2504-TO-KB-May-JA Batch-3</v>
      </c>
    </row>
    <row r="564" spans="1:12">
      <c r="A564">
        <v>563</v>
      </c>
      <c r="B564" t="s">
        <v>16</v>
      </c>
      <c r="C564">
        <v>2505</v>
      </c>
      <c r="E564" t="s">
        <v>114</v>
      </c>
      <c r="F564" t="s">
        <v>247</v>
      </c>
      <c r="G564" s="271" t="s">
        <v>254</v>
      </c>
      <c r="H564" t="s">
        <v>14</v>
      </c>
      <c r="K564" t="str">
        <f t="shared" si="11"/>
        <v>ED2505-TO-KB-Support-Pivot Table-JA</v>
      </c>
    </row>
    <row r="565" spans="1:12">
      <c r="A565">
        <v>564</v>
      </c>
      <c r="B565" t="s">
        <v>16</v>
      </c>
      <c r="C565">
        <v>2505</v>
      </c>
      <c r="E565" t="s">
        <v>152</v>
      </c>
      <c r="F565" t="s">
        <v>247</v>
      </c>
      <c r="G565" s="271" t="s">
        <v>501</v>
      </c>
      <c r="H565" t="s">
        <v>14</v>
      </c>
      <c r="K565" t="str">
        <f t="shared" si="11"/>
        <v>ED2505-MH-KB-Support-Available Filter Charts-JA</v>
      </c>
    </row>
    <row r="566" spans="1:12">
      <c r="A566">
        <v>565</v>
      </c>
      <c r="B566" t="s">
        <v>16</v>
      </c>
      <c r="C566">
        <v>2505</v>
      </c>
      <c r="E566" t="s">
        <v>152</v>
      </c>
      <c r="F566" t="s">
        <v>402</v>
      </c>
      <c r="G566" s="271" t="s">
        <v>502</v>
      </c>
      <c r="H566" t="s">
        <v>14</v>
      </c>
      <c r="I566" t="s">
        <v>305</v>
      </c>
      <c r="K566" t="str">
        <f t="shared" si="11"/>
        <v>ED2505-MH-KB-Request-Forms-JA Bugfix</v>
      </c>
    </row>
    <row r="567" spans="1:12">
      <c r="A567">
        <v>566</v>
      </c>
      <c r="B567" t="s">
        <v>16</v>
      </c>
      <c r="C567">
        <v>2505</v>
      </c>
      <c r="E567" t="s">
        <v>152</v>
      </c>
      <c r="F567" t="s">
        <v>402</v>
      </c>
      <c r="G567" s="271" t="s">
        <v>502</v>
      </c>
      <c r="H567" t="s">
        <v>14</v>
      </c>
      <c r="I567" t="s">
        <v>278</v>
      </c>
      <c r="K567" t="str">
        <f t="shared" si="11"/>
        <v>ED2505-MH-KB-Request-Forms-JA Update</v>
      </c>
    </row>
    <row r="568" spans="1:12">
      <c r="A568">
        <v>567</v>
      </c>
      <c r="B568" t="s">
        <v>16</v>
      </c>
      <c r="C568">
        <v>2505</v>
      </c>
      <c r="E568" t="s">
        <v>114</v>
      </c>
      <c r="F568" t="s">
        <v>402</v>
      </c>
      <c r="G568" t="s">
        <v>503</v>
      </c>
      <c r="H568" t="s">
        <v>14</v>
      </c>
      <c r="K568" t="str">
        <f t="shared" ref="K568:K630" si="12">B568&amp;C568&amp;"-"&amp;E568&amp;"-"&amp;F568&amp;"-"&amp;G568&amp;"-"&amp;H568&amp;I568</f>
        <v>ED2505-TO-KB-Request-Cloud Amplifier-JA</v>
      </c>
      <c r="L568" t="s">
        <v>504</v>
      </c>
    </row>
    <row r="569" spans="1:12">
      <c r="A569">
        <v>568</v>
      </c>
      <c r="B569" t="s">
        <v>16</v>
      </c>
      <c r="C569">
        <v>2505</v>
      </c>
      <c r="E569" t="s">
        <v>114</v>
      </c>
      <c r="F569" t="s">
        <v>17</v>
      </c>
      <c r="G569" t="s">
        <v>505</v>
      </c>
      <c r="H569" t="s">
        <v>14</v>
      </c>
      <c r="K569" t="str">
        <f t="shared" si="12"/>
        <v>ED2505-TO-KB-May urgent-JA</v>
      </c>
    </row>
    <row r="570" spans="1:12">
      <c r="A570">
        <v>569</v>
      </c>
      <c r="B570" t="s">
        <v>16</v>
      </c>
      <c r="C570">
        <v>2504</v>
      </c>
      <c r="E570" t="s">
        <v>114</v>
      </c>
      <c r="F570" t="s">
        <v>17</v>
      </c>
      <c r="G570" t="s">
        <v>499</v>
      </c>
      <c r="H570" t="s">
        <v>14</v>
      </c>
      <c r="I570" t="s">
        <v>489</v>
      </c>
      <c r="K570" t="str">
        <f t="shared" si="12"/>
        <v>ED2504-TO-KB-May-JA Batch-3</v>
      </c>
    </row>
    <row r="571" spans="1:12">
      <c r="A571">
        <v>570</v>
      </c>
      <c r="B571" t="s">
        <v>16</v>
      </c>
      <c r="C571">
        <v>2504</v>
      </c>
      <c r="E571" t="s">
        <v>114</v>
      </c>
      <c r="F571" t="s">
        <v>17</v>
      </c>
      <c r="G571" t="s">
        <v>499</v>
      </c>
      <c r="H571" t="s">
        <v>14</v>
      </c>
      <c r="I571" t="s">
        <v>364</v>
      </c>
      <c r="K571" t="str">
        <f t="shared" si="12"/>
        <v>ED2504-TO-KB-May-JA Batch-4</v>
      </c>
    </row>
    <row r="572" spans="1:12">
      <c r="A572">
        <v>571</v>
      </c>
      <c r="B572" t="s">
        <v>16</v>
      </c>
      <c r="C572">
        <v>2504</v>
      </c>
      <c r="E572" t="s">
        <v>114</v>
      </c>
      <c r="F572" t="s">
        <v>17</v>
      </c>
      <c r="G572" t="s">
        <v>499</v>
      </c>
      <c r="H572" t="s">
        <v>14</v>
      </c>
      <c r="I572" t="s">
        <v>336</v>
      </c>
      <c r="K572" t="str">
        <f t="shared" si="12"/>
        <v>ED2504-TO-KB-May-JA Batch-5</v>
      </c>
    </row>
    <row r="573" spans="1:12">
      <c r="A573">
        <v>572</v>
      </c>
      <c r="B573" t="s">
        <v>16</v>
      </c>
      <c r="C573">
        <v>2504</v>
      </c>
      <c r="E573" t="s">
        <v>114</v>
      </c>
      <c r="F573" t="s">
        <v>17</v>
      </c>
      <c r="G573" t="s">
        <v>499</v>
      </c>
      <c r="H573" t="s">
        <v>14</v>
      </c>
      <c r="I573" t="s">
        <v>404</v>
      </c>
      <c r="K573" t="str">
        <f t="shared" si="12"/>
        <v>ED2504-TO-KB-May-JA Batch-6</v>
      </c>
    </row>
    <row r="574" spans="1:12">
      <c r="A574">
        <v>573</v>
      </c>
      <c r="B574" t="s">
        <v>16</v>
      </c>
      <c r="C574">
        <v>2504</v>
      </c>
      <c r="E574" t="s">
        <v>114</v>
      </c>
      <c r="F574" t="s">
        <v>17</v>
      </c>
      <c r="G574" t="s">
        <v>499</v>
      </c>
      <c r="H574" t="s">
        <v>14</v>
      </c>
      <c r="I574" t="s">
        <v>341</v>
      </c>
      <c r="K574" t="str">
        <f t="shared" si="12"/>
        <v>ED2504-TO-KB-May-JA Batch-7</v>
      </c>
    </row>
    <row r="575" spans="1:12">
      <c r="A575">
        <v>574</v>
      </c>
      <c r="B575" t="s">
        <v>16</v>
      </c>
      <c r="C575">
        <v>2504</v>
      </c>
      <c r="E575" t="s">
        <v>114</v>
      </c>
      <c r="F575" t="s">
        <v>17</v>
      </c>
      <c r="G575" t="s">
        <v>499</v>
      </c>
      <c r="H575" t="s">
        <v>14</v>
      </c>
      <c r="I575" t="s">
        <v>405</v>
      </c>
      <c r="K575" t="str">
        <f t="shared" si="12"/>
        <v>ED2504-TO-KB-May-JA Batch-8</v>
      </c>
    </row>
    <row r="576" spans="1:12">
      <c r="A576">
        <v>575</v>
      </c>
      <c r="B576" t="s">
        <v>16</v>
      </c>
      <c r="C576">
        <v>2505</v>
      </c>
      <c r="E576" t="s">
        <v>152</v>
      </c>
      <c r="F576" t="s">
        <v>17</v>
      </c>
      <c r="G576" t="s">
        <v>506</v>
      </c>
      <c r="H576" t="s">
        <v>14</v>
      </c>
      <c r="K576" t="str">
        <f t="shared" si="12"/>
        <v>ED2505-MH-KB-Supported Functions in Magic ETL Reference Guide-JA</v>
      </c>
    </row>
    <row r="577" spans="1:11">
      <c r="A577">
        <v>576</v>
      </c>
      <c r="B577" t="s">
        <v>16</v>
      </c>
      <c r="C577">
        <v>2505</v>
      </c>
      <c r="E577" t="s">
        <v>114</v>
      </c>
      <c r="F577" t="s">
        <v>247</v>
      </c>
      <c r="G577" t="s">
        <v>507</v>
      </c>
      <c r="H577" t="s">
        <v>14</v>
      </c>
      <c r="I577" t="s">
        <v>278</v>
      </c>
      <c r="K577" t="str">
        <f t="shared" si="12"/>
        <v>ED2505-TO-KB-Support-Export Visualization Cards-JA Update</v>
      </c>
    </row>
    <row r="578" spans="1:11">
      <c r="A578">
        <v>577</v>
      </c>
      <c r="B578" t="s">
        <v>16</v>
      </c>
      <c r="C578">
        <v>2026</v>
      </c>
      <c r="E578" t="s">
        <v>114</v>
      </c>
      <c r="F578" t="s">
        <v>402</v>
      </c>
      <c r="G578" s="271" t="s">
        <v>508</v>
      </c>
      <c r="H578" t="s">
        <v>14</v>
      </c>
      <c r="I578" t="s">
        <v>278</v>
      </c>
      <c r="K578" t="str">
        <f t="shared" si="12"/>
        <v>ED2026-TO-KB-Request-Magic ETL on Snowflake (Beta)-JA Update</v>
      </c>
    </row>
    <row r="579" spans="1:11">
      <c r="A579">
        <v>578</v>
      </c>
      <c r="B579" t="s">
        <v>16</v>
      </c>
      <c r="C579">
        <v>2026</v>
      </c>
      <c r="E579" t="s">
        <v>114</v>
      </c>
      <c r="F579" t="s">
        <v>17</v>
      </c>
      <c r="G579" t="s">
        <v>509</v>
      </c>
      <c r="H579" t="s">
        <v>14</v>
      </c>
      <c r="K579" t="str">
        <f t="shared" si="12"/>
        <v>ED2026-TO-KB-Session-JA</v>
      </c>
    </row>
    <row r="580" spans="1:11">
      <c r="A580">
        <v>579</v>
      </c>
      <c r="B580" t="s">
        <v>16</v>
      </c>
      <c r="C580">
        <v>2026</v>
      </c>
      <c r="E580" t="s">
        <v>114</v>
      </c>
      <c r="F580" t="s">
        <v>17</v>
      </c>
      <c r="G580" t="s">
        <v>510</v>
      </c>
      <c r="H580" t="s">
        <v>14</v>
      </c>
      <c r="K580" t="str">
        <f t="shared" si="12"/>
        <v>ED2026-TO-KB-Snowflake and Cloud Amplifier-JA</v>
      </c>
    </row>
    <row r="581" spans="1:11">
      <c r="A581">
        <v>580</v>
      </c>
      <c r="B581" t="s">
        <v>16</v>
      </c>
      <c r="C581">
        <v>2026</v>
      </c>
      <c r="E581" t="s">
        <v>114</v>
      </c>
      <c r="F581" t="s">
        <v>17</v>
      </c>
      <c r="G581" t="s">
        <v>511</v>
      </c>
      <c r="H581" t="s">
        <v>14</v>
      </c>
      <c r="K581" t="str">
        <f t="shared" si="12"/>
        <v>ED2026-TO-KB-Supported Functions in Magic ETL Reference Guide-JA</v>
      </c>
    </row>
    <row r="582" spans="1:11">
      <c r="A582">
        <v>581</v>
      </c>
      <c r="B582" t="s">
        <v>22</v>
      </c>
      <c r="C582">
        <v>2026</v>
      </c>
      <c r="E582" t="s">
        <v>114</v>
      </c>
      <c r="F582" t="s">
        <v>23</v>
      </c>
      <c r="G582" t="s">
        <v>512</v>
      </c>
      <c r="H582" t="s">
        <v>14</v>
      </c>
      <c r="K582" t="str">
        <f t="shared" si="12"/>
        <v>MK2026-TO-Web-Samurai Data Integration Suite LP localization-JA</v>
      </c>
    </row>
    <row r="583" spans="1:11">
      <c r="A583">
        <v>582</v>
      </c>
      <c r="B583" t="s">
        <v>22</v>
      </c>
      <c r="C583">
        <v>2026</v>
      </c>
      <c r="E583" t="s">
        <v>114</v>
      </c>
      <c r="F583" t="s">
        <v>199</v>
      </c>
      <c r="G583" t="s">
        <v>513</v>
      </c>
      <c r="H583" t="s">
        <v>14</v>
      </c>
      <c r="K583" t="str">
        <f t="shared" si="12"/>
        <v>MK2026-TO-WP-Nucleus_2024 BI Analytics Value Matrix-JA</v>
      </c>
    </row>
    <row r="584" spans="1:11">
      <c r="A584">
        <v>583</v>
      </c>
      <c r="B584" t="s">
        <v>16</v>
      </c>
      <c r="C584">
        <v>2026</v>
      </c>
      <c r="E584" t="s">
        <v>152</v>
      </c>
      <c r="F584" t="s">
        <v>137</v>
      </c>
      <c r="G584" t="s">
        <v>514</v>
      </c>
      <c r="H584" t="s">
        <v>14</v>
      </c>
      <c r="K584" t="str">
        <f t="shared" si="12"/>
        <v>ED2026-MH-Education-March 2024 Release Update descriptions in Docebo-JA</v>
      </c>
    </row>
    <row r="585" spans="1:11">
      <c r="A585">
        <v>584</v>
      </c>
      <c r="B585" t="s">
        <v>16</v>
      </c>
      <c r="C585">
        <v>2026</v>
      </c>
      <c r="E585" t="s">
        <v>152</v>
      </c>
      <c r="F585" t="s">
        <v>17</v>
      </c>
      <c r="G585" t="s">
        <v>515</v>
      </c>
      <c r="H585" t="s">
        <v>14</v>
      </c>
      <c r="I585" t="s">
        <v>305</v>
      </c>
      <c r="K585" t="str">
        <f t="shared" si="12"/>
        <v>ED2026-MH-KB-Snowflake and Cloud Amplifier-JA Bugfix</v>
      </c>
    </row>
    <row r="586" spans="1:11">
      <c r="A586">
        <v>585</v>
      </c>
      <c r="B586" t="s">
        <v>16</v>
      </c>
      <c r="C586">
        <v>2026</v>
      </c>
      <c r="E586" t="s">
        <v>114</v>
      </c>
      <c r="F586" t="s">
        <v>17</v>
      </c>
      <c r="G586" t="s">
        <v>516</v>
      </c>
      <c r="H586" t="s">
        <v>14</v>
      </c>
      <c r="K586" t="str">
        <f t="shared" si="12"/>
        <v>ED2026-TO-KB-List on the Appstore-JA</v>
      </c>
    </row>
    <row r="587" spans="1:11">
      <c r="A587">
        <v>586</v>
      </c>
      <c r="B587" t="s">
        <v>16</v>
      </c>
      <c r="C587">
        <v>2026</v>
      </c>
      <c r="E587" t="s">
        <v>114</v>
      </c>
      <c r="F587" t="s">
        <v>17</v>
      </c>
      <c r="G587" t="s">
        <v>517</v>
      </c>
      <c r="H587" t="s">
        <v>14</v>
      </c>
      <c r="I587" t="s">
        <v>312</v>
      </c>
      <c r="K587" t="str">
        <f t="shared" si="12"/>
        <v>ED2026-TO-KB-June-JA Batch-1</v>
      </c>
    </row>
    <row r="588" spans="1:11">
      <c r="A588">
        <v>587</v>
      </c>
      <c r="B588" t="s">
        <v>16</v>
      </c>
      <c r="C588">
        <v>2026</v>
      </c>
      <c r="E588" t="s">
        <v>114</v>
      </c>
      <c r="F588" t="s">
        <v>17</v>
      </c>
      <c r="G588" t="s">
        <v>517</v>
      </c>
      <c r="H588" t="s">
        <v>14</v>
      </c>
      <c r="I588" t="s">
        <v>363</v>
      </c>
      <c r="K588" t="str">
        <f t="shared" si="12"/>
        <v>ED2026-TO-KB-June-JA Batch-2</v>
      </c>
    </row>
    <row r="589" spans="1:11">
      <c r="A589">
        <v>588</v>
      </c>
      <c r="B589" t="s">
        <v>16</v>
      </c>
      <c r="C589">
        <v>2026</v>
      </c>
      <c r="E589" t="s">
        <v>114</v>
      </c>
      <c r="F589" t="s">
        <v>17</v>
      </c>
      <c r="G589" t="s">
        <v>517</v>
      </c>
      <c r="H589" t="s">
        <v>14</v>
      </c>
      <c r="I589" t="s">
        <v>332</v>
      </c>
      <c r="K589" t="str">
        <f t="shared" si="12"/>
        <v>ED2026-TO-KB-June-JA Batch-3</v>
      </c>
    </row>
    <row r="590" spans="1:11">
      <c r="A590">
        <v>589</v>
      </c>
      <c r="B590" t="s">
        <v>16</v>
      </c>
      <c r="C590">
        <v>2026</v>
      </c>
      <c r="E590" t="s">
        <v>114</v>
      </c>
      <c r="F590" t="s">
        <v>17</v>
      </c>
      <c r="G590" t="s">
        <v>518</v>
      </c>
      <c r="H590" t="s">
        <v>14</v>
      </c>
      <c r="I590" t="s">
        <v>364</v>
      </c>
      <c r="K590" t="str">
        <f t="shared" si="12"/>
        <v>ED2026-TO-KB-July-JA Batch-4</v>
      </c>
    </row>
    <row r="591" spans="1:11">
      <c r="A591">
        <v>590</v>
      </c>
      <c r="B591" t="s">
        <v>16</v>
      </c>
      <c r="C591">
        <v>2026</v>
      </c>
      <c r="E591" t="s">
        <v>114</v>
      </c>
      <c r="F591" t="s">
        <v>17</v>
      </c>
      <c r="G591" t="s">
        <v>518</v>
      </c>
      <c r="H591" t="s">
        <v>14</v>
      </c>
      <c r="I591" t="s">
        <v>336</v>
      </c>
      <c r="K591" t="str">
        <f t="shared" si="12"/>
        <v>ED2026-TO-KB-July-JA Batch-5</v>
      </c>
    </row>
    <row r="592" spans="1:11">
      <c r="A592">
        <v>591</v>
      </c>
      <c r="B592" t="s">
        <v>16</v>
      </c>
      <c r="C592">
        <v>2026</v>
      </c>
      <c r="E592" t="s">
        <v>114</v>
      </c>
      <c r="F592" t="s">
        <v>247</v>
      </c>
      <c r="G592" t="s">
        <v>518</v>
      </c>
      <c r="H592" t="s">
        <v>14</v>
      </c>
      <c r="K592" t="str">
        <f t="shared" ref="K592" si="13">B592&amp;C592&amp;"-"&amp;E592&amp;"-"&amp;F592&amp;"-"&amp;G592&amp;"-"&amp;H592&amp;I592</f>
        <v>ED2026-TO-KB-Support-July-JA</v>
      </c>
    </row>
    <row r="593" spans="1:11">
      <c r="A593">
        <v>592</v>
      </c>
      <c r="B593" t="s">
        <v>16</v>
      </c>
      <c r="C593">
        <v>2026</v>
      </c>
      <c r="E593" t="s">
        <v>114</v>
      </c>
      <c r="F593" t="s">
        <v>247</v>
      </c>
      <c r="G593" t="s">
        <v>519</v>
      </c>
      <c r="H593" t="s">
        <v>14</v>
      </c>
      <c r="K593" t="str">
        <f t="shared" si="12"/>
        <v>ED2026-TO-KB-Support-Google Sheets Service Connector-JA</v>
      </c>
    </row>
    <row r="594" spans="1:11">
      <c r="A594">
        <v>593</v>
      </c>
      <c r="B594" t="s">
        <v>16</v>
      </c>
      <c r="C594">
        <v>2026</v>
      </c>
      <c r="E594" t="s">
        <v>114</v>
      </c>
      <c r="F594" t="s">
        <v>247</v>
      </c>
      <c r="G594" t="s">
        <v>520</v>
      </c>
      <c r="H594" t="s">
        <v>14</v>
      </c>
      <c r="K594" t="str">
        <f t="shared" si="12"/>
        <v>ED2026-TO-KB-Support-Routing, Creation, and Mapping-JA</v>
      </c>
    </row>
    <row r="595" spans="1:11">
      <c r="A595">
        <v>594</v>
      </c>
      <c r="B595" t="s">
        <v>16</v>
      </c>
      <c r="C595">
        <v>2026</v>
      </c>
      <c r="E595" t="s">
        <v>114</v>
      </c>
      <c r="F595" t="s">
        <v>17</v>
      </c>
      <c r="G595" t="s">
        <v>521</v>
      </c>
      <c r="H595" t="s">
        <v>14</v>
      </c>
      <c r="K595" t="str">
        <f t="shared" si="12"/>
        <v>ED2026-TO-KB-Range Selector Card for Asana testing-JA</v>
      </c>
    </row>
    <row r="596" spans="1:11">
      <c r="A596">
        <v>595</v>
      </c>
      <c r="B596" t="s">
        <v>16</v>
      </c>
      <c r="C596">
        <v>2507</v>
      </c>
      <c r="E596" t="s">
        <v>152</v>
      </c>
      <c r="F596" t="s">
        <v>17</v>
      </c>
      <c r="G596" t="s">
        <v>522</v>
      </c>
      <c r="H596" t="s">
        <v>14</v>
      </c>
      <c r="I596" t="s">
        <v>305</v>
      </c>
      <c r="K596" t="str">
        <f t="shared" si="12"/>
        <v>ED2507-MH-KB-Date Selector Card-JA Bugfix</v>
      </c>
    </row>
    <row r="597" spans="1:11">
      <c r="A597">
        <v>596</v>
      </c>
      <c r="B597" t="s">
        <v>16</v>
      </c>
      <c r="C597">
        <v>2507</v>
      </c>
      <c r="E597" t="s">
        <v>114</v>
      </c>
      <c r="F597" t="s">
        <v>17</v>
      </c>
      <c r="G597" t="s">
        <v>518</v>
      </c>
      <c r="H597" t="s">
        <v>14</v>
      </c>
      <c r="I597" t="s">
        <v>312</v>
      </c>
      <c r="K597" t="str">
        <f t="shared" si="12"/>
        <v>ED2507-TO-KB-July-JA Batch-1</v>
      </c>
    </row>
    <row r="598" spans="1:11">
      <c r="A598">
        <v>597</v>
      </c>
      <c r="B598" t="s">
        <v>16</v>
      </c>
      <c r="C598">
        <v>2507</v>
      </c>
      <c r="E598" t="s">
        <v>114</v>
      </c>
      <c r="F598" t="s">
        <v>17</v>
      </c>
      <c r="G598" t="s">
        <v>518</v>
      </c>
      <c r="H598" t="s">
        <v>14</v>
      </c>
      <c r="I598" t="s">
        <v>363</v>
      </c>
      <c r="K598" t="str">
        <f t="shared" si="12"/>
        <v>ED2507-TO-KB-July-JA Batch-2</v>
      </c>
    </row>
    <row r="599" spans="1:11">
      <c r="A599">
        <v>598</v>
      </c>
      <c r="B599" t="s">
        <v>16</v>
      </c>
      <c r="C599">
        <v>2507</v>
      </c>
      <c r="E599" t="s">
        <v>114</v>
      </c>
      <c r="F599" t="s">
        <v>17</v>
      </c>
      <c r="G599" t="s">
        <v>518</v>
      </c>
      <c r="H599" t="s">
        <v>14</v>
      </c>
      <c r="I599" t="s">
        <v>332</v>
      </c>
      <c r="K599" t="str">
        <f t="shared" si="12"/>
        <v>ED2507-TO-KB-July-JA Batch-3</v>
      </c>
    </row>
    <row r="600" spans="1:11">
      <c r="A600">
        <v>599</v>
      </c>
      <c r="B600" t="s">
        <v>16</v>
      </c>
      <c r="C600">
        <v>2507</v>
      </c>
      <c r="E600" t="s">
        <v>114</v>
      </c>
      <c r="F600" t="s">
        <v>17</v>
      </c>
      <c r="G600" t="s">
        <v>518</v>
      </c>
      <c r="H600" t="s">
        <v>14</v>
      </c>
      <c r="I600" t="s">
        <v>364</v>
      </c>
      <c r="K600" t="str">
        <f t="shared" si="12"/>
        <v>ED2507-TO-KB-July-JA Batch-4</v>
      </c>
    </row>
    <row r="601" spans="1:11">
      <c r="A601">
        <v>600</v>
      </c>
      <c r="B601" t="s">
        <v>16</v>
      </c>
      <c r="C601">
        <v>2507</v>
      </c>
      <c r="E601" t="s">
        <v>114</v>
      </c>
      <c r="F601" t="s">
        <v>17</v>
      </c>
      <c r="G601" t="s">
        <v>518</v>
      </c>
      <c r="H601" t="s">
        <v>14</v>
      </c>
      <c r="I601" t="s">
        <v>336</v>
      </c>
      <c r="K601" t="str">
        <f t="shared" si="12"/>
        <v>ED2507-TO-KB-July-JA Batch-5</v>
      </c>
    </row>
    <row r="602" spans="1:11">
      <c r="A602">
        <v>601</v>
      </c>
      <c r="B602" t="s">
        <v>16</v>
      </c>
      <c r="C602">
        <v>2507</v>
      </c>
      <c r="E602" t="s">
        <v>114</v>
      </c>
      <c r="F602" t="s">
        <v>17</v>
      </c>
      <c r="G602" t="s">
        <v>518</v>
      </c>
      <c r="H602" t="s">
        <v>14</v>
      </c>
      <c r="I602" t="s">
        <v>404</v>
      </c>
      <c r="K602" t="str">
        <f t="shared" si="12"/>
        <v>ED2507-TO-KB-July-JA Batch-6</v>
      </c>
    </row>
    <row r="603" spans="1:11">
      <c r="A603">
        <v>602</v>
      </c>
      <c r="B603" t="s">
        <v>16</v>
      </c>
      <c r="C603">
        <v>2507</v>
      </c>
      <c r="E603" t="s">
        <v>114</v>
      </c>
      <c r="F603" t="s">
        <v>17</v>
      </c>
      <c r="G603" t="s">
        <v>518</v>
      </c>
      <c r="H603" t="s">
        <v>14</v>
      </c>
      <c r="I603" t="s">
        <v>341</v>
      </c>
      <c r="K603" t="str">
        <f t="shared" si="12"/>
        <v>ED2507-TO-KB-July-JA Batch-7</v>
      </c>
    </row>
    <row r="604" spans="1:11">
      <c r="A604">
        <v>603</v>
      </c>
      <c r="B604" t="s">
        <v>16</v>
      </c>
      <c r="C604">
        <v>2507</v>
      </c>
      <c r="E604" t="s">
        <v>114</v>
      </c>
      <c r="F604" t="s">
        <v>17</v>
      </c>
      <c r="G604" t="s">
        <v>523</v>
      </c>
      <c r="H604" t="s">
        <v>14</v>
      </c>
      <c r="K604" t="str">
        <f t="shared" si="12"/>
        <v>ED2507-TO-KB-Share a DataSet-JA</v>
      </c>
    </row>
    <row r="605" spans="1:11">
      <c r="A605">
        <v>604</v>
      </c>
      <c r="B605" t="s">
        <v>16</v>
      </c>
      <c r="C605">
        <v>2507</v>
      </c>
      <c r="E605" t="s">
        <v>114</v>
      </c>
      <c r="F605" t="s">
        <v>17</v>
      </c>
      <c r="G605" t="s">
        <v>524</v>
      </c>
      <c r="H605" t="s">
        <v>14</v>
      </c>
      <c r="K605" t="str">
        <f t="shared" si="12"/>
        <v>ED2507-TO-KB-Magic ETL on Snowflake-JA</v>
      </c>
    </row>
    <row r="606" spans="1:11">
      <c r="A606">
        <v>605</v>
      </c>
      <c r="B606" t="s">
        <v>16</v>
      </c>
      <c r="C606">
        <v>2507</v>
      </c>
      <c r="E606" t="s">
        <v>114</v>
      </c>
      <c r="F606" t="s">
        <v>17</v>
      </c>
      <c r="G606" t="s">
        <v>418</v>
      </c>
      <c r="H606" t="s">
        <v>14</v>
      </c>
      <c r="I606" t="s">
        <v>312</v>
      </c>
      <c r="K606" t="str">
        <f t="shared" si="12"/>
        <v>ED2507-TO-KB-August -JA Batch-1</v>
      </c>
    </row>
    <row r="607" spans="1:11">
      <c r="A607">
        <v>606</v>
      </c>
      <c r="B607" t="s">
        <v>16</v>
      </c>
      <c r="C607">
        <v>2507</v>
      </c>
      <c r="E607" t="s">
        <v>114</v>
      </c>
      <c r="F607" t="s">
        <v>17</v>
      </c>
      <c r="G607" s="4" t="s">
        <v>109</v>
      </c>
      <c r="H607" t="s">
        <v>14</v>
      </c>
      <c r="K607" t="str">
        <f t="shared" si="12"/>
        <v>ED2507-TO-KB-DataSet Views-JA</v>
      </c>
    </row>
    <row r="608" spans="1:11">
      <c r="A608">
        <v>607</v>
      </c>
      <c r="B608" t="s">
        <v>16</v>
      </c>
      <c r="C608">
        <v>2507</v>
      </c>
      <c r="E608" t="s">
        <v>114</v>
      </c>
      <c r="F608" t="s">
        <v>17</v>
      </c>
      <c r="G608" s="4" t="s">
        <v>525</v>
      </c>
      <c r="H608" t="s">
        <v>14</v>
      </c>
      <c r="K608" t="str">
        <f t="shared" si="12"/>
        <v>ED2507-TO-KB-Analyzer and DataSet Views Integration-JA</v>
      </c>
    </row>
    <row r="609" spans="1:11">
      <c r="A609">
        <v>608</v>
      </c>
      <c r="B609" t="s">
        <v>16</v>
      </c>
      <c r="C609">
        <v>2507</v>
      </c>
      <c r="E609" t="s">
        <v>114</v>
      </c>
      <c r="F609" t="s">
        <v>17</v>
      </c>
      <c r="G609" t="s">
        <v>526</v>
      </c>
      <c r="H609" t="s">
        <v>14</v>
      </c>
      <c r="K609" t="str">
        <f t="shared" si="12"/>
        <v>ED2507-TO-KB-Release related-JA</v>
      </c>
    </row>
    <row r="610" spans="1:11">
      <c r="A610">
        <v>609</v>
      </c>
      <c r="B610" t="s">
        <v>16</v>
      </c>
      <c r="C610">
        <v>2507</v>
      </c>
      <c r="E610" t="s">
        <v>114</v>
      </c>
      <c r="F610" t="s">
        <v>247</v>
      </c>
      <c r="G610" s="4" t="s">
        <v>527</v>
      </c>
      <c r="H610" t="s">
        <v>14</v>
      </c>
      <c r="K610" t="str">
        <f t="shared" si="12"/>
        <v>ED2507-TO-KB-Support-Export Visualization Cards-JA</v>
      </c>
    </row>
    <row r="611" spans="1:11">
      <c r="A611">
        <v>610</v>
      </c>
      <c r="B611" t="s">
        <v>16</v>
      </c>
      <c r="C611">
        <v>2508</v>
      </c>
      <c r="E611" t="s">
        <v>152</v>
      </c>
      <c r="F611" t="s">
        <v>17</v>
      </c>
      <c r="G611" s="4" t="s">
        <v>523</v>
      </c>
      <c r="H611" t="s">
        <v>14</v>
      </c>
      <c r="K611" t="str">
        <f t="shared" si="12"/>
        <v>ED2508-MH-KB-Share a DataSet-JA</v>
      </c>
    </row>
    <row r="612" spans="1:11">
      <c r="A612">
        <v>611</v>
      </c>
      <c r="B612" t="s">
        <v>16</v>
      </c>
      <c r="C612">
        <v>2507</v>
      </c>
      <c r="E612" t="s">
        <v>114</v>
      </c>
      <c r="F612" t="s">
        <v>17</v>
      </c>
      <c r="G612" t="s">
        <v>526</v>
      </c>
      <c r="H612" t="s">
        <v>14</v>
      </c>
      <c r="I612" t="s">
        <v>310</v>
      </c>
      <c r="K612" t="str">
        <f t="shared" si="12"/>
        <v>ED2507-TO-KB-Release related-JA Batch-2</v>
      </c>
    </row>
    <row r="613" spans="1:11">
      <c r="A613">
        <v>612</v>
      </c>
      <c r="B613" t="s">
        <v>16</v>
      </c>
      <c r="C613">
        <v>2507</v>
      </c>
      <c r="E613" t="s">
        <v>114</v>
      </c>
      <c r="F613" t="s">
        <v>50</v>
      </c>
      <c r="G613" t="s">
        <v>528</v>
      </c>
      <c r="H613" t="s">
        <v>14</v>
      </c>
      <c r="K613" t="str">
        <f t="shared" si="12"/>
        <v>ED2507-TO-Movie-On-Demand App Studio Training-JA</v>
      </c>
    </row>
    <row r="614" spans="1:11">
      <c r="A614">
        <v>613</v>
      </c>
      <c r="B614" t="s">
        <v>16</v>
      </c>
      <c r="C614">
        <v>2508</v>
      </c>
      <c r="E614" t="s">
        <v>152</v>
      </c>
      <c r="F614" t="s">
        <v>17</v>
      </c>
      <c r="G614" s="4" t="s">
        <v>523</v>
      </c>
      <c r="H614" t="s">
        <v>14</v>
      </c>
      <c r="I614" t="s">
        <v>278</v>
      </c>
      <c r="K614" t="str">
        <f t="shared" si="12"/>
        <v>ED2508-MH-KB-Share a DataSet-JA Update</v>
      </c>
    </row>
    <row r="615" spans="1:11">
      <c r="A615">
        <v>614</v>
      </c>
      <c r="B615" t="s">
        <v>16</v>
      </c>
      <c r="C615">
        <v>2508</v>
      </c>
      <c r="E615" t="s">
        <v>114</v>
      </c>
      <c r="F615" t="s">
        <v>529</v>
      </c>
      <c r="G615" s="4" t="s">
        <v>530</v>
      </c>
      <c r="H615" t="s">
        <v>14</v>
      </c>
      <c r="I615" t="s">
        <v>278</v>
      </c>
      <c r="K615" t="str">
        <f t="shared" si="12"/>
        <v>ED2508-TO-KB-US-Magic ETL Tiles Filter-JA Update</v>
      </c>
    </row>
    <row r="616" spans="1:11">
      <c r="A616">
        <v>615</v>
      </c>
      <c r="B616" t="s">
        <v>16</v>
      </c>
      <c r="C616">
        <v>2508</v>
      </c>
      <c r="E616" t="s">
        <v>114</v>
      </c>
      <c r="F616" t="s">
        <v>529</v>
      </c>
      <c r="G616" t="s">
        <v>355</v>
      </c>
      <c r="H616" t="s">
        <v>14</v>
      </c>
      <c r="I616" t="s">
        <v>278</v>
      </c>
      <c r="K616" t="str">
        <f t="shared" si="12"/>
        <v>ED2508-TO-KB-US-Table Chart-JA Update</v>
      </c>
    </row>
    <row r="617" spans="1:11">
      <c r="A617">
        <v>616</v>
      </c>
      <c r="B617" t="s">
        <v>22</v>
      </c>
      <c r="C617">
        <v>2508</v>
      </c>
      <c r="E617" t="s">
        <v>114</v>
      </c>
      <c r="F617" t="s">
        <v>199</v>
      </c>
      <c r="G617" t="s">
        <v>531</v>
      </c>
      <c r="H617" t="s">
        <v>14</v>
      </c>
      <c r="K617" t="str">
        <f t="shared" si="12"/>
        <v>MK2508-TO-WP-Why Domo_Whitepaper_Aug 2024-JA</v>
      </c>
    </row>
    <row r="618" spans="1:11">
      <c r="A618">
        <v>617</v>
      </c>
      <c r="B618" t="s">
        <v>16</v>
      </c>
      <c r="C618">
        <v>2508</v>
      </c>
      <c r="E618" t="s">
        <v>114</v>
      </c>
      <c r="F618" t="s">
        <v>17</v>
      </c>
      <c r="G618" t="s">
        <v>532</v>
      </c>
      <c r="H618" t="s">
        <v>14</v>
      </c>
      <c r="K618" t="str">
        <f t="shared" si="12"/>
        <v>ED2508-TO-KB-File Upload Legacy Connector-JA</v>
      </c>
    </row>
    <row r="619" spans="1:11">
      <c r="A619">
        <v>618</v>
      </c>
      <c r="B619" t="s">
        <v>16</v>
      </c>
      <c r="C619">
        <v>2508</v>
      </c>
      <c r="E619" t="s">
        <v>114</v>
      </c>
      <c r="F619" t="s">
        <v>17</v>
      </c>
      <c r="G619" s="267" t="s">
        <v>533</v>
      </c>
      <c r="H619" t="s">
        <v>14</v>
      </c>
      <c r="K619" t="str">
        <f t="shared" si="12"/>
        <v>ED2508-TO-KB-File Upload Connector-JA</v>
      </c>
    </row>
    <row r="620" spans="1:11">
      <c r="A620">
        <v>619</v>
      </c>
      <c r="B620" t="s">
        <v>16</v>
      </c>
      <c r="C620">
        <v>2508</v>
      </c>
      <c r="E620" t="s">
        <v>114</v>
      </c>
      <c r="F620" t="s">
        <v>534</v>
      </c>
      <c r="G620" t="s">
        <v>535</v>
      </c>
      <c r="H620" t="s">
        <v>14</v>
      </c>
      <c r="K620" t="str">
        <f t="shared" si="12"/>
        <v>ED2508-TO-KB-asana-Augsut-1 -JA</v>
      </c>
    </row>
    <row r="621" spans="1:11">
      <c r="A621">
        <v>620</v>
      </c>
      <c r="B621" t="s">
        <v>16</v>
      </c>
      <c r="C621">
        <v>2508</v>
      </c>
      <c r="E621" t="s">
        <v>114</v>
      </c>
      <c r="F621" t="s">
        <v>534</v>
      </c>
      <c r="G621" s="4" t="s">
        <v>536</v>
      </c>
      <c r="H621" t="s">
        <v>14</v>
      </c>
      <c r="K621" t="str">
        <f t="shared" si="12"/>
        <v>ED2508-TO-KB-asana-Magic ETL Tiles: Filter-JA</v>
      </c>
    </row>
    <row r="622" spans="1:11">
      <c r="A622">
        <v>621</v>
      </c>
      <c r="B622" t="s">
        <v>16</v>
      </c>
      <c r="C622">
        <v>2508</v>
      </c>
      <c r="E622" t="s">
        <v>114</v>
      </c>
      <c r="F622" t="s">
        <v>17</v>
      </c>
      <c r="G622" t="s">
        <v>109</v>
      </c>
      <c r="H622" t="s">
        <v>14</v>
      </c>
      <c r="K622" t="str">
        <f t="shared" si="12"/>
        <v>ED2508-TO-KB-DataSet Views-JA</v>
      </c>
    </row>
    <row r="623" spans="1:11">
      <c r="A623">
        <v>622</v>
      </c>
      <c r="B623" t="s">
        <v>16</v>
      </c>
      <c r="C623">
        <v>2508</v>
      </c>
      <c r="E623" t="s">
        <v>114</v>
      </c>
      <c r="F623" t="s">
        <v>17</v>
      </c>
      <c r="G623" s="4" t="s">
        <v>537</v>
      </c>
      <c r="H623" t="s">
        <v>14</v>
      </c>
      <c r="K623" t="str">
        <f t="shared" si="12"/>
        <v>ED2508-TO-KB-Properties Available for Most Charts-JA</v>
      </c>
    </row>
    <row r="624" spans="1:11">
      <c r="A624">
        <v>623</v>
      </c>
      <c r="B624" t="s">
        <v>16</v>
      </c>
      <c r="C624">
        <v>2508</v>
      </c>
      <c r="E624" t="s">
        <v>114</v>
      </c>
      <c r="F624" t="s">
        <v>17</v>
      </c>
      <c r="G624" t="s">
        <v>418</v>
      </c>
      <c r="H624" t="s">
        <v>14</v>
      </c>
      <c r="I624" t="s">
        <v>310</v>
      </c>
      <c r="K624" t="str">
        <f t="shared" si="12"/>
        <v>ED2508-TO-KB-August -JA Batch-2</v>
      </c>
    </row>
    <row r="625" spans="1:11">
      <c r="A625">
        <v>624</v>
      </c>
      <c r="B625" t="s">
        <v>16</v>
      </c>
      <c r="C625">
        <v>2508</v>
      </c>
      <c r="E625" t="s">
        <v>114</v>
      </c>
      <c r="F625" t="s">
        <v>17</v>
      </c>
      <c r="G625" t="s">
        <v>418</v>
      </c>
      <c r="H625" t="s">
        <v>14</v>
      </c>
      <c r="I625" t="s">
        <v>332</v>
      </c>
      <c r="K625" t="str">
        <f t="shared" si="12"/>
        <v>ED2508-TO-KB-August -JA Batch-3</v>
      </c>
    </row>
    <row r="626" spans="1:11">
      <c r="A626">
        <v>625</v>
      </c>
      <c r="B626" t="s">
        <v>16</v>
      </c>
      <c r="C626">
        <v>2508</v>
      </c>
      <c r="E626" t="s">
        <v>114</v>
      </c>
      <c r="F626" t="s">
        <v>17</v>
      </c>
      <c r="G626" t="s">
        <v>418</v>
      </c>
      <c r="H626" t="s">
        <v>14</v>
      </c>
      <c r="I626" t="s">
        <v>364</v>
      </c>
      <c r="K626" t="str">
        <f t="shared" si="12"/>
        <v>ED2508-TO-KB-August -JA Batch-4</v>
      </c>
    </row>
    <row r="627" spans="1:11">
      <c r="A627">
        <v>626</v>
      </c>
      <c r="B627" t="s">
        <v>16</v>
      </c>
      <c r="C627">
        <v>2508</v>
      </c>
      <c r="E627" t="s">
        <v>114</v>
      </c>
      <c r="F627" t="s">
        <v>247</v>
      </c>
      <c r="G627" t="s">
        <v>538</v>
      </c>
      <c r="H627" t="s">
        <v>14</v>
      </c>
      <c r="K627" t="str">
        <f t="shared" si="12"/>
        <v>ED2508-TO-KB-Support-Microsoft OneDrive for Business Connector-JA</v>
      </c>
    </row>
    <row r="628" spans="1:11">
      <c r="A628">
        <v>627</v>
      </c>
      <c r="B628" t="s">
        <v>16</v>
      </c>
      <c r="C628">
        <v>2508</v>
      </c>
      <c r="E628" t="s">
        <v>114</v>
      </c>
      <c r="F628" t="s">
        <v>17</v>
      </c>
      <c r="G628" t="s">
        <v>539</v>
      </c>
      <c r="H628" t="s">
        <v>14</v>
      </c>
      <c r="K628" t="str">
        <f t="shared" si="12"/>
        <v>ED2508-TO-KB-Microsoft Connectors-JA</v>
      </c>
    </row>
    <row r="629" spans="1:11">
      <c r="A629">
        <v>628</v>
      </c>
      <c r="B629" t="s">
        <v>16</v>
      </c>
      <c r="C629">
        <v>2508</v>
      </c>
      <c r="E629" t="s">
        <v>114</v>
      </c>
      <c r="F629" t="s">
        <v>17</v>
      </c>
      <c r="G629" t="s">
        <v>540</v>
      </c>
      <c r="H629" t="s">
        <v>14</v>
      </c>
      <c r="K629" t="str">
        <f t="shared" si="12"/>
        <v>ED2508-TO-KB-Support-July-JA</v>
      </c>
    </row>
    <row r="630" spans="1:11">
      <c r="A630">
        <v>629</v>
      </c>
      <c r="B630" t="s">
        <v>16</v>
      </c>
      <c r="C630">
        <v>2508</v>
      </c>
      <c r="E630" t="s">
        <v>114</v>
      </c>
      <c r="F630" t="s">
        <v>17</v>
      </c>
      <c r="G630" t="s">
        <v>541</v>
      </c>
      <c r="H630" t="s">
        <v>14</v>
      </c>
      <c r="K630" t="str">
        <f t="shared" si="12"/>
        <v>ED2508-TO-KB-August - Connector-JA</v>
      </c>
    </row>
    <row r="631" spans="1:11">
      <c r="A631">
        <v>630</v>
      </c>
      <c r="B631" t="s">
        <v>16</v>
      </c>
      <c r="C631">
        <v>2509</v>
      </c>
      <c r="D631" s="300" t="s">
        <v>542</v>
      </c>
      <c r="E631" t="s">
        <v>114</v>
      </c>
      <c r="F631" t="s">
        <v>17</v>
      </c>
      <c r="G631" s="309" t="s">
        <v>530</v>
      </c>
      <c r="H631" t="s">
        <v>14</v>
      </c>
      <c r="I631" t="s">
        <v>278</v>
      </c>
      <c r="K631" t="str">
        <f>B631&amp;C631&amp;"-"&amp;D631&amp;"-"&amp;E631&amp;"-"&amp;F631&amp;"-"&amp;G631&amp;"-"&amp;H631&amp;I631</f>
        <v>ED2509-04-TO-KB-Magic ETL Tiles Filter-JA Update</v>
      </c>
    </row>
    <row r="632" spans="1:11">
      <c r="A632">
        <v>631</v>
      </c>
      <c r="B632" t="s">
        <v>16</v>
      </c>
      <c r="C632">
        <v>2509</v>
      </c>
      <c r="D632" s="300" t="s">
        <v>542</v>
      </c>
      <c r="E632" t="s">
        <v>114</v>
      </c>
      <c r="F632" t="s">
        <v>17</v>
      </c>
      <c r="G632" t="s">
        <v>543</v>
      </c>
      <c r="H632" t="s">
        <v>14</v>
      </c>
      <c r="K632" t="str">
        <f>B632&amp;C632&amp;"-"&amp;D632&amp;"-"&amp;E632&amp;"-"&amp;F632&amp;"-"&amp;G632&amp;"-"&amp;H632&amp;I632</f>
        <v>ED2509-04-TO-KB-Link update-JA</v>
      </c>
    </row>
    <row r="633" spans="1:11">
      <c r="A633">
        <v>632</v>
      </c>
      <c r="B633" t="s">
        <v>16</v>
      </c>
      <c r="C633">
        <v>2509</v>
      </c>
      <c r="D633" s="300" t="s">
        <v>542</v>
      </c>
      <c r="E633" t="s">
        <v>114</v>
      </c>
      <c r="F633" t="s">
        <v>17</v>
      </c>
      <c r="G633" t="s">
        <v>435</v>
      </c>
      <c r="H633" t="s">
        <v>14</v>
      </c>
      <c r="I633" t="s">
        <v>312</v>
      </c>
      <c r="K633" t="str">
        <f>B633&amp;C633&amp;"-"&amp;D633&amp;"-"&amp;E633&amp;"-"&amp;F633&amp;"-"&amp;G633&amp;"-"&amp;H633&amp;I633</f>
        <v>ED2509-04-TO-KB-September-JA Batch-1</v>
      </c>
    </row>
    <row r="634" spans="1:11">
      <c r="A634">
        <v>633</v>
      </c>
      <c r="B634" t="s">
        <v>16</v>
      </c>
      <c r="C634">
        <v>2509</v>
      </c>
      <c r="D634" s="300" t="s">
        <v>542</v>
      </c>
      <c r="E634" t="s">
        <v>114</v>
      </c>
      <c r="F634" t="s">
        <v>17</v>
      </c>
      <c r="G634" t="s">
        <v>394</v>
      </c>
      <c r="H634" t="s">
        <v>14</v>
      </c>
      <c r="I634" t="s">
        <v>312</v>
      </c>
      <c r="K634" t="str">
        <f>B634&amp;C634&amp;"-"&amp;D634&amp;"-"&amp;E634&amp;"-"&amp;F634&amp;"-"&amp;G634&amp;"-"&amp;H634&amp;I634</f>
        <v>ED2509-04-TO-KB-Connectors-JA Batch-1</v>
      </c>
    </row>
    <row r="635" spans="1:11">
      <c r="A635">
        <v>634</v>
      </c>
      <c r="B635" t="s">
        <v>16</v>
      </c>
      <c r="C635">
        <v>2509</v>
      </c>
      <c r="D635" s="300" t="s">
        <v>542</v>
      </c>
      <c r="E635" t="s">
        <v>114</v>
      </c>
      <c r="F635" t="s">
        <v>534</v>
      </c>
      <c r="G635" t="s">
        <v>544</v>
      </c>
      <c r="H635" t="s">
        <v>14</v>
      </c>
      <c r="K635" t="str">
        <f t="shared" ref="K635:K696" si="14">B635&amp;C635&amp;"-"&amp;D635&amp;"-"&amp;E635&amp;"-"&amp;F635&amp;"-"&amp;G635&amp;"-"&amp;H635&amp;I635</f>
        <v>ED2509-04-TO-KB-asana-App Studio  Overview-JA</v>
      </c>
    </row>
    <row r="636" spans="1:11">
      <c r="A636">
        <v>635</v>
      </c>
      <c r="B636" t="s">
        <v>16</v>
      </c>
      <c r="C636">
        <v>2509</v>
      </c>
      <c r="D636" s="300" t="s">
        <v>545</v>
      </c>
      <c r="E636" t="s">
        <v>114</v>
      </c>
      <c r="F636" t="s">
        <v>534</v>
      </c>
      <c r="G636" s="306" t="s">
        <v>546</v>
      </c>
      <c r="H636" t="s">
        <v>14</v>
      </c>
      <c r="K636" t="str">
        <f t="shared" si="14"/>
        <v>ED2509-05-TO-KB-asana-Magic ETL Tiles DataSets-JA</v>
      </c>
    </row>
    <row r="637" spans="1:11">
      <c r="A637">
        <v>636</v>
      </c>
      <c r="B637" t="s">
        <v>16</v>
      </c>
      <c r="C637">
        <v>2509</v>
      </c>
      <c r="D637" s="300" t="s">
        <v>545</v>
      </c>
      <c r="E637" t="s">
        <v>114</v>
      </c>
      <c r="F637" t="s">
        <v>534</v>
      </c>
      <c r="G637" s="306" t="s">
        <v>547</v>
      </c>
      <c r="H637" t="s">
        <v>14</v>
      </c>
      <c r="K637" t="str">
        <f t="shared" si="14"/>
        <v>ED2509-05-TO-KB-asana-Publishing DataSet Views-JA</v>
      </c>
    </row>
    <row r="638" spans="1:11">
      <c r="A638">
        <v>637</v>
      </c>
      <c r="B638" t="s">
        <v>42</v>
      </c>
      <c r="C638">
        <v>2509</v>
      </c>
      <c r="D638" s="300" t="s">
        <v>548</v>
      </c>
      <c r="E638" t="s">
        <v>114</v>
      </c>
      <c r="F638" t="s">
        <v>453</v>
      </c>
      <c r="G638" t="s">
        <v>549</v>
      </c>
      <c r="H638" t="s">
        <v>14</v>
      </c>
      <c r="K638" t="str">
        <f t="shared" si="14"/>
        <v>CS2509-12-TO-Document-CS SOW-JA</v>
      </c>
    </row>
    <row r="639" spans="1:11">
      <c r="A639">
        <v>638</v>
      </c>
      <c r="B639" t="s">
        <v>16</v>
      </c>
      <c r="C639">
        <v>2509</v>
      </c>
      <c r="D639" s="300" t="s">
        <v>548</v>
      </c>
      <c r="E639" t="s">
        <v>114</v>
      </c>
      <c r="F639" t="s">
        <v>550</v>
      </c>
      <c r="G639" t="s">
        <v>551</v>
      </c>
      <c r="H639" t="s">
        <v>14</v>
      </c>
      <c r="K639" t="str">
        <f t="shared" si="14"/>
        <v>ED2509-12-TO-KB-JIRA-freee Enterprise Connector-JA</v>
      </c>
    </row>
    <row r="640" spans="1:11">
      <c r="A640">
        <v>639</v>
      </c>
      <c r="B640" t="s">
        <v>16</v>
      </c>
      <c r="C640">
        <v>2509</v>
      </c>
      <c r="D640" s="300" t="s">
        <v>552</v>
      </c>
      <c r="E640" t="s">
        <v>114</v>
      </c>
      <c r="F640" t="s">
        <v>550</v>
      </c>
      <c r="G640" t="s">
        <v>551</v>
      </c>
      <c r="H640" t="s">
        <v>14</v>
      </c>
      <c r="I640" t="s">
        <v>278</v>
      </c>
      <c r="K640" t="str">
        <f t="shared" si="14"/>
        <v>ED2509-17-TO-KB-JIRA-freee Enterprise Connector-JA Update</v>
      </c>
    </row>
    <row r="641" spans="1:11">
      <c r="A641">
        <v>640</v>
      </c>
      <c r="B641" t="s">
        <v>16</v>
      </c>
      <c r="C641">
        <v>2509</v>
      </c>
      <c r="D641" s="300" t="s">
        <v>553</v>
      </c>
      <c r="E641" t="s">
        <v>114</v>
      </c>
      <c r="F641" t="s">
        <v>550</v>
      </c>
      <c r="G641" t="s">
        <v>554</v>
      </c>
      <c r="H641" t="s">
        <v>14</v>
      </c>
      <c r="K641" t="str">
        <f t="shared" si="14"/>
        <v>ED2509-18-TO-KB-JIRA-Education Statistics Connector-JA</v>
      </c>
    </row>
    <row r="642" spans="1:11">
      <c r="A642">
        <v>641</v>
      </c>
      <c r="B642" t="s">
        <v>16</v>
      </c>
      <c r="C642">
        <v>2509</v>
      </c>
      <c r="D642" s="300" t="s">
        <v>553</v>
      </c>
      <c r="E642" t="s">
        <v>114</v>
      </c>
      <c r="F642" t="s">
        <v>534</v>
      </c>
      <c r="G642" t="s">
        <v>555</v>
      </c>
      <c r="H642" t="s">
        <v>14</v>
      </c>
      <c r="K642" t="str">
        <f t="shared" si="14"/>
        <v>ED2509-18-TO-KB-asana-Build Domo Apps with the Pro-code Editor-JA</v>
      </c>
    </row>
    <row r="643" spans="1:11">
      <c r="A643">
        <v>642</v>
      </c>
      <c r="B643" t="s">
        <v>16</v>
      </c>
      <c r="C643">
        <v>2509</v>
      </c>
      <c r="D643" s="300" t="s">
        <v>553</v>
      </c>
      <c r="E643" t="s">
        <v>114</v>
      </c>
      <c r="F643" t="s">
        <v>534</v>
      </c>
      <c r="G643" s="306" t="s">
        <v>556</v>
      </c>
      <c r="H643" t="s">
        <v>14</v>
      </c>
      <c r="K643" t="str">
        <f t="shared" si="14"/>
        <v>ED2509-18-TO-KB-asana-Domo CLI (Command Line Interface) Tool-JA</v>
      </c>
    </row>
    <row r="644" spans="1:11">
      <c r="A644">
        <v>643</v>
      </c>
      <c r="B644" t="s">
        <v>16</v>
      </c>
      <c r="C644">
        <v>2509</v>
      </c>
      <c r="D644" s="300" t="s">
        <v>553</v>
      </c>
      <c r="E644" t="s">
        <v>114</v>
      </c>
      <c r="F644" t="s">
        <v>247</v>
      </c>
      <c r="G644" t="s">
        <v>557</v>
      </c>
      <c r="H644" t="s">
        <v>14</v>
      </c>
      <c r="K644" t="str">
        <f t="shared" si="14"/>
        <v>ED2509-18-TO-KB-Support-Adobe Analytics 1.4 OAuth Connector-JA</v>
      </c>
    </row>
    <row r="645" spans="1:11">
      <c r="A645">
        <v>644</v>
      </c>
      <c r="B645" t="s">
        <v>16</v>
      </c>
      <c r="C645">
        <v>2509</v>
      </c>
      <c r="D645" s="300" t="s">
        <v>553</v>
      </c>
      <c r="E645" t="s">
        <v>114</v>
      </c>
      <c r="F645" t="s">
        <v>534</v>
      </c>
      <c r="G645" t="s">
        <v>558</v>
      </c>
      <c r="H645" t="s">
        <v>14</v>
      </c>
      <c r="K645" t="str">
        <f t="shared" si="14"/>
        <v>ED2509-18-TO-KB-asana-Change the Owner of a DataSet-JA</v>
      </c>
    </row>
    <row r="646" spans="1:11">
      <c r="A646">
        <v>645</v>
      </c>
      <c r="B646" t="s">
        <v>16</v>
      </c>
      <c r="C646">
        <v>2509</v>
      </c>
      <c r="D646" s="300" t="s">
        <v>553</v>
      </c>
      <c r="E646" t="s">
        <v>114</v>
      </c>
      <c r="F646" t="s">
        <v>534</v>
      </c>
      <c r="G646" t="s">
        <v>559</v>
      </c>
      <c r="H646" t="s">
        <v>14</v>
      </c>
      <c r="K646" t="str">
        <f t="shared" si="14"/>
        <v>ED2509-18-TO-KB-asana-Publish Content to a Subscriber Instance-JA</v>
      </c>
    </row>
    <row r="647" spans="1:11">
      <c r="A647">
        <v>646</v>
      </c>
      <c r="B647" t="s">
        <v>16</v>
      </c>
      <c r="C647">
        <v>2509</v>
      </c>
      <c r="D647" s="300" t="s">
        <v>560</v>
      </c>
      <c r="E647" t="s">
        <v>114</v>
      </c>
      <c r="F647" t="s">
        <v>534</v>
      </c>
      <c r="G647" t="s">
        <v>561</v>
      </c>
      <c r="H647" t="s">
        <v>14</v>
      </c>
      <c r="I647" t="s">
        <v>312</v>
      </c>
      <c r="K647" t="str">
        <f t="shared" si="14"/>
        <v>ED2509-19-TO-KB-asana-Release related-JA Batch-1</v>
      </c>
    </row>
    <row r="648" spans="1:11">
      <c r="A648">
        <v>647</v>
      </c>
      <c r="B648" t="s">
        <v>16</v>
      </c>
      <c r="C648">
        <v>2509</v>
      </c>
      <c r="D648" s="300" t="s">
        <v>560</v>
      </c>
      <c r="E648" t="s">
        <v>114</v>
      </c>
      <c r="F648" t="s">
        <v>534</v>
      </c>
      <c r="G648" t="s">
        <v>561</v>
      </c>
      <c r="H648" t="s">
        <v>14</v>
      </c>
      <c r="I648" t="s">
        <v>363</v>
      </c>
      <c r="K648" t="str">
        <f t="shared" si="14"/>
        <v>ED2509-19-TO-KB-asana-Release related-JA Batch-2</v>
      </c>
    </row>
    <row r="649" spans="1:11">
      <c r="A649">
        <v>648</v>
      </c>
      <c r="B649" t="s">
        <v>16</v>
      </c>
      <c r="C649">
        <v>2509</v>
      </c>
      <c r="D649" s="300" t="s">
        <v>560</v>
      </c>
      <c r="E649" t="s">
        <v>114</v>
      </c>
      <c r="F649" t="s">
        <v>534</v>
      </c>
      <c r="G649" t="s">
        <v>561</v>
      </c>
      <c r="H649" t="s">
        <v>14</v>
      </c>
      <c r="I649" t="s">
        <v>332</v>
      </c>
      <c r="K649" t="str">
        <f t="shared" si="14"/>
        <v>ED2509-19-TO-KB-asana-Release related-JA Batch-3</v>
      </c>
    </row>
    <row r="650" spans="1:11">
      <c r="A650">
        <v>649</v>
      </c>
      <c r="B650" t="s">
        <v>16</v>
      </c>
      <c r="C650">
        <v>2509</v>
      </c>
      <c r="D650" s="300" t="s">
        <v>560</v>
      </c>
      <c r="E650" t="s">
        <v>114</v>
      </c>
      <c r="F650" t="s">
        <v>534</v>
      </c>
      <c r="G650" t="s">
        <v>561</v>
      </c>
      <c r="H650" t="s">
        <v>14</v>
      </c>
      <c r="I650" t="s">
        <v>364</v>
      </c>
      <c r="K650" t="str">
        <f t="shared" si="14"/>
        <v>ED2509-19-TO-KB-asana-Release related-JA Batch-4</v>
      </c>
    </row>
    <row r="651" spans="1:11">
      <c r="A651">
        <v>650</v>
      </c>
      <c r="B651" t="s">
        <v>16</v>
      </c>
      <c r="C651">
        <v>2509</v>
      </c>
      <c r="D651" s="300" t="s">
        <v>560</v>
      </c>
      <c r="E651" t="s">
        <v>114</v>
      </c>
      <c r="F651" t="s">
        <v>534</v>
      </c>
      <c r="G651" t="s">
        <v>561</v>
      </c>
      <c r="H651" t="s">
        <v>14</v>
      </c>
      <c r="I651" t="s">
        <v>336</v>
      </c>
      <c r="K651" t="str">
        <f t="shared" si="14"/>
        <v>ED2509-19-TO-KB-asana-Release related-JA Batch-5</v>
      </c>
    </row>
    <row r="652" spans="1:11">
      <c r="A652">
        <v>651</v>
      </c>
      <c r="B652" t="s">
        <v>16</v>
      </c>
      <c r="C652">
        <v>2509</v>
      </c>
      <c r="D652" s="300" t="s">
        <v>560</v>
      </c>
      <c r="E652" t="s">
        <v>114</v>
      </c>
      <c r="F652" t="s">
        <v>534</v>
      </c>
      <c r="G652" t="s">
        <v>562</v>
      </c>
      <c r="H652" t="s">
        <v>14</v>
      </c>
      <c r="K652" t="str">
        <f t="shared" si="14"/>
        <v>ED2509-19-TO-KB-asana-US requests-JA</v>
      </c>
    </row>
    <row r="653" spans="1:11">
      <c r="A653">
        <v>652</v>
      </c>
      <c r="B653" t="s">
        <v>16</v>
      </c>
      <c r="C653">
        <v>2509</v>
      </c>
      <c r="D653" s="300" t="s">
        <v>563</v>
      </c>
      <c r="E653" t="s">
        <v>114</v>
      </c>
      <c r="F653" t="s">
        <v>137</v>
      </c>
      <c r="G653" t="s">
        <v>564</v>
      </c>
      <c r="H653" t="s">
        <v>14</v>
      </c>
      <c r="K653" t="str">
        <f t="shared" si="14"/>
        <v>ED2509-26-TO-Education-Getting started with workflows training V2-JA</v>
      </c>
    </row>
    <row r="654" spans="1:11">
      <c r="A654">
        <v>653</v>
      </c>
      <c r="B654" t="s">
        <v>16</v>
      </c>
      <c r="C654">
        <v>2509</v>
      </c>
      <c r="D654" s="300" t="s">
        <v>563</v>
      </c>
      <c r="E654" t="s">
        <v>114</v>
      </c>
      <c r="F654" t="s">
        <v>137</v>
      </c>
      <c r="G654" t="s">
        <v>565</v>
      </c>
      <c r="H654" t="s">
        <v>14</v>
      </c>
      <c r="K654" t="str">
        <f t="shared" si="14"/>
        <v>ED2509-26-TO-Education-Getting started with workflows training V2 - Description-JA</v>
      </c>
    </row>
    <row r="655" spans="1:11">
      <c r="A655">
        <v>654</v>
      </c>
      <c r="B655" t="s">
        <v>16</v>
      </c>
      <c r="C655">
        <v>2510</v>
      </c>
      <c r="D655" s="300" t="s">
        <v>563</v>
      </c>
      <c r="E655" t="s">
        <v>152</v>
      </c>
      <c r="F655" t="s">
        <v>550</v>
      </c>
      <c r="G655" s="306" t="s">
        <v>554</v>
      </c>
      <c r="H655" t="s">
        <v>14</v>
      </c>
      <c r="I655" t="s">
        <v>278</v>
      </c>
      <c r="K655" t="str">
        <f t="shared" si="14"/>
        <v>ED2510-26-MH-KB-JIRA-Education Statistics Connector-JA Update</v>
      </c>
    </row>
    <row r="656" spans="1:11">
      <c r="A656">
        <v>655</v>
      </c>
      <c r="B656" t="s">
        <v>16</v>
      </c>
      <c r="C656">
        <v>2510</v>
      </c>
      <c r="D656" s="300" t="s">
        <v>566</v>
      </c>
      <c r="E656" t="s">
        <v>114</v>
      </c>
      <c r="F656" t="s">
        <v>534</v>
      </c>
      <c r="G656" s="306" t="s">
        <v>471</v>
      </c>
      <c r="H656" t="s">
        <v>14</v>
      </c>
      <c r="K656" t="str">
        <f t="shared" si="14"/>
        <v>ED2510-2-TO-KB-asana-Changing the Date Format in Your Chart-JA</v>
      </c>
    </row>
    <row r="657" spans="1:11">
      <c r="A657">
        <v>656</v>
      </c>
      <c r="B657" t="s">
        <v>16</v>
      </c>
      <c r="C657">
        <v>2510</v>
      </c>
      <c r="D657" s="300" t="s">
        <v>567</v>
      </c>
      <c r="E657" t="s">
        <v>114</v>
      </c>
      <c r="F657" t="s">
        <v>534</v>
      </c>
      <c r="G657" s="306" t="s">
        <v>568</v>
      </c>
      <c r="H657" t="s">
        <v>14</v>
      </c>
      <c r="K657" t="str">
        <f t="shared" si="14"/>
        <v>ED2510-02-TO-KB-asana-Embed Content Outside of Domo-JA</v>
      </c>
    </row>
    <row r="658" spans="1:11">
      <c r="A658">
        <v>657</v>
      </c>
      <c r="B658" t="s">
        <v>16</v>
      </c>
      <c r="C658">
        <v>2510</v>
      </c>
      <c r="D658" s="300" t="s">
        <v>567</v>
      </c>
      <c r="E658" t="s">
        <v>114</v>
      </c>
      <c r="F658" t="s">
        <v>534</v>
      </c>
      <c r="G658" s="306" t="s">
        <v>569</v>
      </c>
      <c r="H658" t="s">
        <v>14</v>
      </c>
      <c r="K658" t="str">
        <f t="shared" si="14"/>
        <v>ED2510-02-TO-KB-asana-Scheduled Reports | Overview-JA</v>
      </c>
    </row>
    <row r="659" spans="1:11">
      <c r="A659">
        <v>658</v>
      </c>
      <c r="B659" t="s">
        <v>16</v>
      </c>
      <c r="C659">
        <v>2510</v>
      </c>
      <c r="D659" s="300" t="s">
        <v>567</v>
      </c>
      <c r="E659" t="s">
        <v>114</v>
      </c>
      <c r="F659" t="s">
        <v>534</v>
      </c>
      <c r="G659" t="s">
        <v>570</v>
      </c>
      <c r="H659" t="s">
        <v>14</v>
      </c>
      <c r="K659" t="str">
        <f t="shared" si="14"/>
        <v>ED2510-02-TO-KB-asana-Magic ETL on BigQuery-JA</v>
      </c>
    </row>
    <row r="660" spans="1:11">
      <c r="A660">
        <v>659</v>
      </c>
      <c r="B660" t="s">
        <v>16</v>
      </c>
      <c r="C660">
        <v>2510</v>
      </c>
      <c r="D660" s="300" t="s">
        <v>567</v>
      </c>
      <c r="E660" t="s">
        <v>114</v>
      </c>
      <c r="F660" t="s">
        <v>534</v>
      </c>
      <c r="G660" t="s">
        <v>571</v>
      </c>
      <c r="H660" t="s">
        <v>14</v>
      </c>
      <c r="K660" t="str">
        <f t="shared" si="14"/>
        <v>ED2510-02-TO-KB-asana-Domo Sandbox-JA</v>
      </c>
    </row>
    <row r="661" spans="1:11">
      <c r="A661">
        <v>660</v>
      </c>
      <c r="B661" t="s">
        <v>16</v>
      </c>
      <c r="C661">
        <v>2510</v>
      </c>
      <c r="D661" s="300" t="s">
        <v>567</v>
      </c>
      <c r="E661" t="s">
        <v>114</v>
      </c>
      <c r="F661" t="s">
        <v>534</v>
      </c>
      <c r="G661" s="306" t="s">
        <v>572</v>
      </c>
      <c r="H661" t="s">
        <v>14</v>
      </c>
      <c r="K661" t="str">
        <f t="shared" si="14"/>
        <v>ED2510-02-TO-KB-asana-Jupyter Workspaces User Guide-JA</v>
      </c>
    </row>
    <row r="662" spans="1:11">
      <c r="A662">
        <v>661</v>
      </c>
      <c r="B662" t="s">
        <v>16</v>
      </c>
      <c r="C662">
        <v>2510</v>
      </c>
      <c r="D662" s="300" t="s">
        <v>573</v>
      </c>
      <c r="E662" t="s">
        <v>114</v>
      </c>
      <c r="F662" t="s">
        <v>534</v>
      </c>
      <c r="G662" s="306" t="s">
        <v>574</v>
      </c>
      <c r="H662" t="s">
        <v>14</v>
      </c>
      <c r="K662" t="str">
        <f t="shared" si="14"/>
        <v>ED2510-03-TO-KB-asana-Magic ETL on Databricks (Beta)-JA</v>
      </c>
    </row>
    <row r="663" spans="1:11">
      <c r="A663">
        <v>662</v>
      </c>
      <c r="B663" t="s">
        <v>16</v>
      </c>
      <c r="C663">
        <v>2510</v>
      </c>
      <c r="D663" s="300" t="s">
        <v>573</v>
      </c>
      <c r="E663" t="s">
        <v>114</v>
      </c>
      <c r="F663" t="s">
        <v>40</v>
      </c>
      <c r="G663" t="s">
        <v>575</v>
      </c>
      <c r="H663" t="s">
        <v>14</v>
      </c>
      <c r="K663" t="str">
        <f t="shared" si="14"/>
        <v>ED2510-03-TO-App-2024 Release Update-JA</v>
      </c>
    </row>
    <row r="664" spans="1:11">
      <c r="A664">
        <v>663</v>
      </c>
      <c r="B664" t="s">
        <v>16</v>
      </c>
      <c r="C664">
        <v>2510</v>
      </c>
      <c r="D664" s="300" t="s">
        <v>573</v>
      </c>
      <c r="E664" t="s">
        <v>114</v>
      </c>
      <c r="F664" t="s">
        <v>534</v>
      </c>
      <c r="G664" t="s">
        <v>576</v>
      </c>
      <c r="H664" t="s">
        <v>14</v>
      </c>
      <c r="K664" t="str">
        <f t="shared" si="14"/>
        <v>ED2510-03-TO-KB-asana-SCIM (System for Cross-domain Identity Management) in Domo-JA</v>
      </c>
    </row>
    <row r="665" spans="1:11">
      <c r="A665">
        <v>664</v>
      </c>
      <c r="B665" t="s">
        <v>16</v>
      </c>
      <c r="C665">
        <v>2510</v>
      </c>
      <c r="D665" s="300" t="s">
        <v>573</v>
      </c>
      <c r="E665" t="s">
        <v>114</v>
      </c>
      <c r="F665" t="s">
        <v>534</v>
      </c>
      <c r="G665" s="306" t="s">
        <v>577</v>
      </c>
      <c r="H665" t="s">
        <v>14</v>
      </c>
      <c r="K665" t="str">
        <f t="shared" si="14"/>
        <v>ED2510-03-TO-KB-asana-Custom Date &amp; Timestamp Formatting in Analyzer-JA</v>
      </c>
    </row>
    <row r="666" spans="1:11">
      <c r="A666">
        <v>665</v>
      </c>
      <c r="B666" t="s">
        <v>16</v>
      </c>
      <c r="C666">
        <v>2510</v>
      </c>
      <c r="D666" s="300" t="s">
        <v>573</v>
      </c>
      <c r="E666" t="s">
        <v>114</v>
      </c>
      <c r="F666" t="s">
        <v>17</v>
      </c>
      <c r="G666" t="s">
        <v>578</v>
      </c>
      <c r="H666" t="s">
        <v>14</v>
      </c>
      <c r="I666" t="s">
        <v>312</v>
      </c>
      <c r="K666" t="str">
        <f t="shared" si="14"/>
        <v>ED2510-03-TO-KB-October-JA Batch-1</v>
      </c>
    </row>
    <row r="667" spans="1:11">
      <c r="A667">
        <v>666</v>
      </c>
      <c r="B667" t="s">
        <v>16</v>
      </c>
      <c r="C667">
        <v>2510</v>
      </c>
      <c r="D667" s="300" t="s">
        <v>573</v>
      </c>
      <c r="E667" t="s">
        <v>114</v>
      </c>
      <c r="F667" t="s">
        <v>17</v>
      </c>
      <c r="G667" t="s">
        <v>578</v>
      </c>
      <c r="H667" t="s">
        <v>14</v>
      </c>
      <c r="I667" t="s">
        <v>363</v>
      </c>
      <c r="K667" t="str">
        <f t="shared" si="14"/>
        <v>ED2510-03-TO-KB-October-JA Batch-2</v>
      </c>
    </row>
    <row r="668" spans="1:11">
      <c r="A668">
        <v>667</v>
      </c>
      <c r="B668" t="s">
        <v>16</v>
      </c>
      <c r="C668">
        <v>2510</v>
      </c>
      <c r="D668" s="300" t="s">
        <v>573</v>
      </c>
      <c r="E668" t="s">
        <v>114</v>
      </c>
      <c r="F668" t="s">
        <v>17</v>
      </c>
      <c r="G668" t="s">
        <v>578</v>
      </c>
      <c r="H668" t="s">
        <v>14</v>
      </c>
      <c r="I668" t="s">
        <v>332</v>
      </c>
      <c r="K668" t="str">
        <f t="shared" si="14"/>
        <v>ED2510-03-TO-KB-October-JA Batch-3</v>
      </c>
    </row>
    <row r="669" spans="1:11">
      <c r="A669">
        <v>668</v>
      </c>
      <c r="B669" t="s">
        <v>16</v>
      </c>
      <c r="C669">
        <v>2510</v>
      </c>
      <c r="D669" s="300" t="s">
        <v>573</v>
      </c>
      <c r="E669" t="s">
        <v>114</v>
      </c>
      <c r="F669" t="s">
        <v>17</v>
      </c>
      <c r="G669" t="s">
        <v>578</v>
      </c>
      <c r="H669" t="s">
        <v>14</v>
      </c>
      <c r="I669" t="s">
        <v>364</v>
      </c>
      <c r="K669" t="str">
        <f t="shared" si="14"/>
        <v>ED2510-03-TO-KB-October-JA Batch-4</v>
      </c>
    </row>
    <row r="670" spans="1:11">
      <c r="A670">
        <v>669</v>
      </c>
      <c r="B670" t="s">
        <v>16</v>
      </c>
      <c r="C670">
        <v>2510</v>
      </c>
      <c r="D670" s="300" t="s">
        <v>573</v>
      </c>
      <c r="E670" t="s">
        <v>114</v>
      </c>
      <c r="F670" t="s">
        <v>17</v>
      </c>
      <c r="G670" t="s">
        <v>578</v>
      </c>
      <c r="H670" t="s">
        <v>14</v>
      </c>
      <c r="I670" t="s">
        <v>336</v>
      </c>
      <c r="K670" t="str">
        <f t="shared" si="14"/>
        <v>ED2510-03-TO-KB-October-JA Batch-5</v>
      </c>
    </row>
    <row r="671" spans="1:11">
      <c r="A671">
        <v>670</v>
      </c>
      <c r="B671" t="s">
        <v>16</v>
      </c>
      <c r="C671">
        <v>2510</v>
      </c>
      <c r="D671" s="300" t="s">
        <v>579</v>
      </c>
      <c r="E671" t="s">
        <v>114</v>
      </c>
      <c r="F671" t="s">
        <v>137</v>
      </c>
      <c r="G671" t="s">
        <v>580</v>
      </c>
      <c r="H671" t="s">
        <v>14</v>
      </c>
      <c r="K671" t="str">
        <f t="shared" si="14"/>
        <v>ED2510-08-TO-Education-App-2024 Release Update-JA</v>
      </c>
    </row>
    <row r="672" spans="1:11">
      <c r="A672">
        <v>671</v>
      </c>
      <c r="B672" t="s">
        <v>16</v>
      </c>
      <c r="C672">
        <v>2510</v>
      </c>
      <c r="D672" s="300" t="s">
        <v>581</v>
      </c>
      <c r="E672" t="s">
        <v>114</v>
      </c>
      <c r="F672" t="s">
        <v>17</v>
      </c>
      <c r="G672" t="s">
        <v>582</v>
      </c>
      <c r="H672" t="s">
        <v>14</v>
      </c>
      <c r="K672" t="str">
        <f t="shared" si="14"/>
        <v>ED2510-10-TO-KB-Launch Workbench Enterprise Jobs with Third-Party Tools Using JWT-JA</v>
      </c>
    </row>
    <row r="673" spans="1:11">
      <c r="A673">
        <v>672</v>
      </c>
      <c r="B673" t="s">
        <v>16</v>
      </c>
      <c r="C673">
        <v>2510</v>
      </c>
      <c r="D673" s="300" t="s">
        <v>583</v>
      </c>
      <c r="E673" t="s">
        <v>114</v>
      </c>
      <c r="F673" t="s">
        <v>17</v>
      </c>
      <c r="G673" s="306" t="s">
        <v>584</v>
      </c>
      <c r="H673" t="s">
        <v>14</v>
      </c>
      <c r="K673" t="str">
        <f t="shared" si="14"/>
        <v>ED2510-15-TO-KB-October Release Notes - JP-JA</v>
      </c>
    </row>
    <row r="674" spans="1:11">
      <c r="A674">
        <v>673</v>
      </c>
      <c r="B674" t="s">
        <v>16</v>
      </c>
      <c r="C674">
        <v>2510</v>
      </c>
      <c r="D674" s="300" t="s">
        <v>585</v>
      </c>
      <c r="E674" t="s">
        <v>114</v>
      </c>
      <c r="F674" t="s">
        <v>534</v>
      </c>
      <c r="G674" t="s">
        <v>586</v>
      </c>
      <c r="H674" t="s">
        <v>14</v>
      </c>
      <c r="K674" t="str">
        <f t="shared" si="14"/>
        <v>ED2510-22-TO-KB-asana-Cloud Amplifier-JA</v>
      </c>
    </row>
    <row r="675" spans="1:11">
      <c r="A675">
        <v>674</v>
      </c>
      <c r="B675" t="s">
        <v>16</v>
      </c>
      <c r="C675">
        <v>2510</v>
      </c>
      <c r="D675" s="300" t="s">
        <v>585</v>
      </c>
      <c r="E675" t="s">
        <v>114</v>
      </c>
      <c r="F675" t="s">
        <v>534</v>
      </c>
      <c r="G675" t="s">
        <v>578</v>
      </c>
      <c r="H675" t="s">
        <v>14</v>
      </c>
      <c r="I675" t="s">
        <v>312</v>
      </c>
      <c r="K675" t="str">
        <f t="shared" si="14"/>
        <v>ED2510-22-TO-KB-asana-October-JA Batch-1</v>
      </c>
    </row>
    <row r="676" spans="1:11">
      <c r="A676">
        <v>675</v>
      </c>
      <c r="B676" t="s">
        <v>16</v>
      </c>
      <c r="C676">
        <v>2510</v>
      </c>
      <c r="D676" s="300" t="s">
        <v>585</v>
      </c>
      <c r="E676" t="s">
        <v>114</v>
      </c>
      <c r="F676" t="s">
        <v>534</v>
      </c>
      <c r="G676" t="s">
        <v>578</v>
      </c>
      <c r="H676" t="s">
        <v>14</v>
      </c>
      <c r="I676" t="s">
        <v>363</v>
      </c>
      <c r="K676" t="str">
        <f t="shared" si="14"/>
        <v>ED2510-22-TO-KB-asana-October-JA Batch-2</v>
      </c>
    </row>
    <row r="677" spans="1:11">
      <c r="A677">
        <v>676</v>
      </c>
      <c r="B677" t="s">
        <v>16</v>
      </c>
      <c r="C677">
        <v>2510</v>
      </c>
      <c r="D677" s="300" t="s">
        <v>585</v>
      </c>
      <c r="E677" t="s">
        <v>114</v>
      </c>
      <c r="F677" t="s">
        <v>534</v>
      </c>
      <c r="G677" t="s">
        <v>578</v>
      </c>
      <c r="H677" t="s">
        <v>14</v>
      </c>
      <c r="I677" t="s">
        <v>332</v>
      </c>
      <c r="K677" t="str">
        <f t="shared" si="14"/>
        <v>ED2510-22-TO-KB-asana-October-JA Batch-3</v>
      </c>
    </row>
    <row r="678" spans="1:11">
      <c r="A678">
        <v>677</v>
      </c>
      <c r="B678" t="s">
        <v>16</v>
      </c>
      <c r="C678">
        <v>2510</v>
      </c>
      <c r="D678" s="300" t="s">
        <v>587</v>
      </c>
      <c r="E678" t="s">
        <v>114</v>
      </c>
      <c r="F678" t="s">
        <v>17</v>
      </c>
      <c r="G678" t="s">
        <v>578</v>
      </c>
      <c r="H678" t="s">
        <v>14</v>
      </c>
      <c r="I678" t="s">
        <v>340</v>
      </c>
      <c r="K678" t="str">
        <f t="shared" si="14"/>
        <v>ED2510-23-TO-KB-October-JA Batch-6</v>
      </c>
    </row>
    <row r="679" spans="1:11">
      <c r="A679">
        <v>678</v>
      </c>
      <c r="B679" t="s">
        <v>16</v>
      </c>
      <c r="C679">
        <v>2510</v>
      </c>
      <c r="D679" s="300" t="s">
        <v>587</v>
      </c>
      <c r="E679" t="s">
        <v>114</v>
      </c>
      <c r="F679" t="s">
        <v>17</v>
      </c>
      <c r="G679" t="s">
        <v>578</v>
      </c>
      <c r="H679" t="s">
        <v>14</v>
      </c>
      <c r="I679" t="s">
        <v>341</v>
      </c>
      <c r="K679" t="str">
        <f t="shared" si="14"/>
        <v>ED2510-23-TO-KB-October-JA Batch-7</v>
      </c>
    </row>
    <row r="680" spans="1:11">
      <c r="A680">
        <v>679</v>
      </c>
      <c r="B680" t="s">
        <v>16</v>
      </c>
      <c r="C680">
        <v>2510</v>
      </c>
      <c r="D680" s="300" t="s">
        <v>587</v>
      </c>
      <c r="E680" t="s">
        <v>114</v>
      </c>
      <c r="F680" t="s">
        <v>17</v>
      </c>
      <c r="G680" t="s">
        <v>578</v>
      </c>
      <c r="H680" t="s">
        <v>14</v>
      </c>
      <c r="I680" t="s">
        <v>405</v>
      </c>
      <c r="K680" t="str">
        <f t="shared" si="14"/>
        <v>ED2510-23-TO-KB-October-JA Batch-8</v>
      </c>
    </row>
    <row r="681" spans="1:11">
      <c r="A681">
        <v>680</v>
      </c>
      <c r="B681" t="s">
        <v>16</v>
      </c>
      <c r="C681">
        <v>2510</v>
      </c>
      <c r="D681" s="300" t="s">
        <v>587</v>
      </c>
      <c r="E681" t="s">
        <v>114</v>
      </c>
      <c r="F681" t="s">
        <v>17</v>
      </c>
      <c r="G681" t="s">
        <v>578</v>
      </c>
      <c r="H681" t="s">
        <v>14</v>
      </c>
      <c r="I681" t="s">
        <v>406</v>
      </c>
      <c r="K681" t="str">
        <f t="shared" si="14"/>
        <v>ED2510-23-TO-KB-October-JA Batch-9</v>
      </c>
    </row>
    <row r="682" spans="1:11">
      <c r="A682">
        <v>681</v>
      </c>
      <c r="B682" t="s">
        <v>16</v>
      </c>
      <c r="C682">
        <v>2510</v>
      </c>
      <c r="D682" s="300" t="s">
        <v>587</v>
      </c>
      <c r="E682" t="s">
        <v>114</v>
      </c>
      <c r="F682" t="s">
        <v>17</v>
      </c>
      <c r="G682" t="s">
        <v>588</v>
      </c>
      <c r="H682" t="s">
        <v>14</v>
      </c>
      <c r="K682" t="str">
        <f t="shared" si="14"/>
        <v>ED2510-23-TO-KB-Google Sheets Connector-JA</v>
      </c>
    </row>
    <row r="683" spans="1:11">
      <c r="A683">
        <v>682</v>
      </c>
      <c r="B683" t="s">
        <v>16</v>
      </c>
      <c r="C683">
        <v>2510</v>
      </c>
      <c r="D683" s="300" t="s">
        <v>587</v>
      </c>
      <c r="E683" t="s">
        <v>114</v>
      </c>
      <c r="F683" t="s">
        <v>17</v>
      </c>
      <c r="G683" t="s">
        <v>589</v>
      </c>
      <c r="H683" t="s">
        <v>14</v>
      </c>
      <c r="K683" t="str">
        <f>B683&amp;C683&amp;"-"&amp;D683&amp;"-"&amp;E683&amp;"-"&amp;F683&amp;"-"&amp;G683&amp;"-"&amp;H683&amp;I683</f>
        <v>ED2510-23-TO-KB-Train and Deploy Models with AutoML (Automated Machine Learning)-JA</v>
      </c>
    </row>
    <row r="684" spans="1:11">
      <c r="A684">
        <v>683</v>
      </c>
      <c r="B684" t="s">
        <v>16</v>
      </c>
      <c r="C684">
        <v>2510</v>
      </c>
      <c r="D684" s="300" t="s">
        <v>587</v>
      </c>
      <c r="E684" t="s">
        <v>114</v>
      </c>
      <c r="F684" t="s">
        <v>534</v>
      </c>
      <c r="G684" s="306" t="s">
        <v>590</v>
      </c>
      <c r="H684" t="s">
        <v>14</v>
      </c>
      <c r="K684" t="str">
        <f>B684&amp;C684&amp;"-"&amp;D684&amp;"-"&amp;E684&amp;"-"&amp;F684&amp;"-"&amp;G684&amp;"-"&amp;H684&amp;I684</f>
        <v>ED2510-23-TO-KB-asana-AI Readiness-JA</v>
      </c>
    </row>
    <row r="685" spans="1:11">
      <c r="A685">
        <v>684</v>
      </c>
      <c r="B685" t="s">
        <v>16</v>
      </c>
      <c r="C685">
        <v>2510</v>
      </c>
      <c r="D685" s="300" t="s">
        <v>587</v>
      </c>
      <c r="E685" t="s">
        <v>114</v>
      </c>
      <c r="F685" t="s">
        <v>534</v>
      </c>
      <c r="G685" t="s">
        <v>591</v>
      </c>
      <c r="H685" t="s">
        <v>14</v>
      </c>
      <c r="K685" t="str">
        <f t="shared" si="14"/>
        <v>ED2510-23-TO-KB-asana-Submit a Support Ticket-JA</v>
      </c>
    </row>
    <row r="686" spans="1:11">
      <c r="A686">
        <v>685</v>
      </c>
      <c r="B686" t="s">
        <v>16</v>
      </c>
      <c r="C686">
        <v>2510</v>
      </c>
      <c r="D686" s="300" t="s">
        <v>592</v>
      </c>
      <c r="E686" t="s">
        <v>114</v>
      </c>
      <c r="F686" t="s">
        <v>534</v>
      </c>
      <c r="G686" t="s">
        <v>593</v>
      </c>
      <c r="H686" t="s">
        <v>14</v>
      </c>
      <c r="K686" t="str">
        <f t="shared" si="14"/>
        <v>ED2510-24-TO-KB-asana-App Studio Overview-JA</v>
      </c>
    </row>
    <row r="687" spans="1:11">
      <c r="A687">
        <v>686</v>
      </c>
      <c r="B687" t="s">
        <v>16</v>
      </c>
      <c r="C687">
        <v>2510</v>
      </c>
      <c r="D687" s="300" t="s">
        <v>594</v>
      </c>
      <c r="E687" t="s">
        <v>114</v>
      </c>
      <c r="F687" t="s">
        <v>534</v>
      </c>
      <c r="G687" t="s">
        <v>595</v>
      </c>
      <c r="H687" t="s">
        <v>14</v>
      </c>
      <c r="K687" t="str">
        <f t="shared" si="14"/>
        <v>ED2510-25-TO-KB-asana-Microsoft SharePoint connector-JA</v>
      </c>
    </row>
    <row r="688" spans="1:11">
      <c r="A688">
        <v>687</v>
      </c>
      <c r="B688" t="s">
        <v>16</v>
      </c>
      <c r="C688">
        <v>2511</v>
      </c>
      <c r="D688" s="300" t="s">
        <v>596</v>
      </c>
      <c r="E688" t="s">
        <v>114</v>
      </c>
      <c r="F688" t="s">
        <v>534</v>
      </c>
      <c r="G688" t="s">
        <v>595</v>
      </c>
      <c r="H688" t="s">
        <v>14</v>
      </c>
      <c r="I688" t="s">
        <v>278</v>
      </c>
      <c r="K688" t="str">
        <f t="shared" si="14"/>
        <v>ED2511-06-TO-KB-asana-Microsoft SharePoint connector-JA Update</v>
      </c>
    </row>
    <row r="689" spans="1:11">
      <c r="A689">
        <v>688</v>
      </c>
      <c r="B689" t="s">
        <v>16</v>
      </c>
      <c r="C689">
        <v>2511</v>
      </c>
      <c r="D689" s="300" t="s">
        <v>597</v>
      </c>
      <c r="E689" t="s">
        <v>152</v>
      </c>
      <c r="F689" t="s">
        <v>17</v>
      </c>
      <c r="G689" s="306" t="s">
        <v>547</v>
      </c>
      <c r="H689" t="s">
        <v>14</v>
      </c>
      <c r="K689" t="str">
        <f t="shared" si="14"/>
        <v>ED2511-13-MH-KB-Publishing DataSet Views-JA</v>
      </c>
    </row>
    <row r="690" spans="1:11">
      <c r="A690">
        <v>689</v>
      </c>
      <c r="B690" t="s">
        <v>16</v>
      </c>
      <c r="C690">
        <v>2511</v>
      </c>
      <c r="D690" s="300" t="s">
        <v>597</v>
      </c>
      <c r="E690" t="s">
        <v>114</v>
      </c>
      <c r="F690" t="s">
        <v>50</v>
      </c>
      <c r="G690" t="s">
        <v>598</v>
      </c>
      <c r="H690" t="s">
        <v>14</v>
      </c>
      <c r="K690" t="str">
        <f t="shared" si="14"/>
        <v>ED2511-13-TO-Movie-Getting started with workflows training V2-Closing Logo-JA</v>
      </c>
    </row>
    <row r="691" spans="1:11">
      <c r="A691">
        <v>690</v>
      </c>
      <c r="B691" t="s">
        <v>16</v>
      </c>
      <c r="C691">
        <v>2511</v>
      </c>
      <c r="D691" s="300" t="s">
        <v>553</v>
      </c>
      <c r="E691" t="s">
        <v>152</v>
      </c>
      <c r="F691" t="s">
        <v>17</v>
      </c>
      <c r="G691" s="306" t="s">
        <v>438</v>
      </c>
      <c r="H691" t="s">
        <v>14</v>
      </c>
      <c r="I691" t="s">
        <v>274</v>
      </c>
      <c r="K691" t="str">
        <f t="shared" si="14"/>
        <v>ED2511-18-MH-KB-Projecting the Last Value in Your Chart-JA SFDC Update</v>
      </c>
    </row>
    <row r="692" spans="1:11">
      <c r="A692">
        <v>691</v>
      </c>
      <c r="B692" t="s">
        <v>16</v>
      </c>
      <c r="C692">
        <v>2511</v>
      </c>
      <c r="D692" s="300" t="s">
        <v>553</v>
      </c>
      <c r="E692" t="s">
        <v>152</v>
      </c>
      <c r="F692" t="s">
        <v>17</v>
      </c>
      <c r="G692" s="306" t="s">
        <v>599</v>
      </c>
      <c r="H692" t="s">
        <v>14</v>
      </c>
      <c r="I692" t="s">
        <v>274</v>
      </c>
      <c r="K692" t="str">
        <f t="shared" si="14"/>
        <v>ED2511-18-MH-KB-Enable SSO with Salesforcecom-JA SFDC Update</v>
      </c>
    </row>
    <row r="693" spans="1:11">
      <c r="A693">
        <v>692</v>
      </c>
      <c r="B693" t="s">
        <v>16</v>
      </c>
      <c r="C693">
        <v>2511</v>
      </c>
      <c r="D693" s="300" t="s">
        <v>553</v>
      </c>
      <c r="E693" t="s">
        <v>152</v>
      </c>
      <c r="F693" t="s">
        <v>17</v>
      </c>
      <c r="G693" s="306" t="s">
        <v>600</v>
      </c>
      <c r="H693" t="s">
        <v>14</v>
      </c>
      <c r="I693" t="s">
        <v>274</v>
      </c>
      <c r="K693" t="str">
        <f t="shared" si="14"/>
        <v>ED2511-18-MH-KB-Customize Domo Mobile App-JA SFDC Update</v>
      </c>
    </row>
    <row r="694" spans="1:11">
      <c r="A694">
        <v>693</v>
      </c>
      <c r="B694" t="s">
        <v>16</v>
      </c>
      <c r="C694">
        <v>2511</v>
      </c>
      <c r="D694" s="300" t="s">
        <v>601</v>
      </c>
      <c r="E694" t="s">
        <v>152</v>
      </c>
      <c r="F694" t="s">
        <v>17</v>
      </c>
      <c r="G694" t="s">
        <v>602</v>
      </c>
      <c r="H694" t="s">
        <v>14</v>
      </c>
      <c r="I694" t="s">
        <v>274</v>
      </c>
      <c r="K694" t="str">
        <f t="shared" si="14"/>
        <v>ED2511-20-MH-KB-Recurly Connector-JA SFDC Update</v>
      </c>
    </row>
    <row r="695" spans="1:11">
      <c r="A695">
        <v>694</v>
      </c>
      <c r="B695" t="s">
        <v>16</v>
      </c>
      <c r="C695">
        <v>2511</v>
      </c>
      <c r="D695" s="300" t="s">
        <v>603</v>
      </c>
      <c r="E695" t="s">
        <v>152</v>
      </c>
      <c r="F695" t="s">
        <v>17</v>
      </c>
      <c r="G695" s="306" t="s">
        <v>604</v>
      </c>
      <c r="H695" t="s">
        <v>14</v>
      </c>
      <c r="K695" t="str">
        <f t="shared" si="14"/>
        <v>ED2511-21-MH-KB-Forecasting Universal Model-JA</v>
      </c>
    </row>
    <row r="696" spans="1:11">
      <c r="A696">
        <v>695</v>
      </c>
      <c r="B696" t="s">
        <v>16</v>
      </c>
      <c r="C696">
        <v>2511</v>
      </c>
      <c r="D696" s="300" t="s">
        <v>563</v>
      </c>
      <c r="E696" t="s">
        <v>114</v>
      </c>
      <c r="F696" t="s">
        <v>17</v>
      </c>
      <c r="G696" t="s">
        <v>394</v>
      </c>
      <c r="H696" t="s">
        <v>14</v>
      </c>
      <c r="K696" t="str">
        <f t="shared" si="14"/>
        <v>ED2511-26-TO-KB-Connectors-JA</v>
      </c>
    </row>
    <row r="697" spans="1:11">
      <c r="A697">
        <v>696</v>
      </c>
      <c r="B697" t="s">
        <v>16</v>
      </c>
      <c r="C697">
        <v>2511</v>
      </c>
      <c r="D697" s="300" t="s">
        <v>563</v>
      </c>
      <c r="E697" t="s">
        <v>114</v>
      </c>
      <c r="F697" t="s">
        <v>17</v>
      </c>
      <c r="G697" t="s">
        <v>605</v>
      </c>
      <c r="H697" t="s">
        <v>14</v>
      </c>
      <c r="K697" t="str">
        <f t="shared" ref="K697:K760" si="15">B697&amp;C697&amp;"-"&amp;D697&amp;"-"&amp;E697&amp;"-"&amp;F697&amp;"-"&amp;G697&amp;"-"&amp;H697&amp;I697</f>
        <v>ED2511-26-TO-KB-App-JA</v>
      </c>
    </row>
    <row r="698" spans="1:11">
      <c r="A698">
        <v>697</v>
      </c>
      <c r="B698" t="s">
        <v>16</v>
      </c>
      <c r="C698">
        <v>2511</v>
      </c>
      <c r="D698" s="300" t="s">
        <v>563</v>
      </c>
      <c r="E698" t="s">
        <v>114</v>
      </c>
      <c r="F698" t="s">
        <v>17</v>
      </c>
      <c r="G698" t="s">
        <v>458</v>
      </c>
      <c r="H698" t="s">
        <v>14</v>
      </c>
      <c r="I698" t="s">
        <v>312</v>
      </c>
      <c r="K698" t="str">
        <f t="shared" si="15"/>
        <v>ED2511-26-TO-KB-November-JA Batch-1</v>
      </c>
    </row>
    <row r="699" spans="1:11">
      <c r="A699">
        <v>698</v>
      </c>
      <c r="B699" t="s">
        <v>16</v>
      </c>
      <c r="C699">
        <v>2511</v>
      </c>
      <c r="D699" s="300" t="s">
        <v>606</v>
      </c>
      <c r="E699" t="s">
        <v>114</v>
      </c>
      <c r="F699" t="s">
        <v>17</v>
      </c>
      <c r="G699" s="306" t="s">
        <v>604</v>
      </c>
      <c r="H699" t="s">
        <v>14</v>
      </c>
      <c r="I699" t="s">
        <v>278</v>
      </c>
      <c r="K699" t="str">
        <f t="shared" si="15"/>
        <v>ED2511-29-TO-KB-Forecasting Universal Model-JA Update</v>
      </c>
    </row>
    <row r="700" spans="1:11">
      <c r="A700">
        <v>699</v>
      </c>
      <c r="B700" t="s">
        <v>16</v>
      </c>
      <c r="C700">
        <v>2512</v>
      </c>
      <c r="D700" s="300" t="s">
        <v>607</v>
      </c>
      <c r="E700" t="s">
        <v>114</v>
      </c>
      <c r="F700" t="s">
        <v>40</v>
      </c>
      <c r="G700" s="300" t="s">
        <v>608</v>
      </c>
      <c r="H700" t="s">
        <v>14</v>
      </c>
      <c r="K700" t="str">
        <f t="shared" si="15"/>
        <v>ED2512-03-TO-App-November 24-JA</v>
      </c>
    </row>
    <row r="701" spans="1:11">
      <c r="A701">
        <v>700</v>
      </c>
      <c r="B701" t="s">
        <v>16</v>
      </c>
      <c r="C701">
        <v>2512</v>
      </c>
      <c r="D701" s="300" t="s">
        <v>607</v>
      </c>
      <c r="E701" t="s">
        <v>114</v>
      </c>
      <c r="F701" t="s">
        <v>40</v>
      </c>
      <c r="G701" s="300" t="s">
        <v>608</v>
      </c>
      <c r="H701" t="s">
        <v>14</v>
      </c>
      <c r="I701" t="s">
        <v>609</v>
      </c>
      <c r="K701" t="str">
        <f t="shared" si="15"/>
        <v>ED2512-03-TO-App-November 24-JACourse Description</v>
      </c>
    </row>
    <row r="702" spans="1:11">
      <c r="A702">
        <v>701</v>
      </c>
      <c r="B702" t="s">
        <v>16</v>
      </c>
      <c r="C702">
        <v>2512</v>
      </c>
      <c r="D702" s="300" t="s">
        <v>542</v>
      </c>
      <c r="E702" t="s">
        <v>114</v>
      </c>
      <c r="F702" t="s">
        <v>534</v>
      </c>
      <c r="G702" t="s">
        <v>472</v>
      </c>
      <c r="H702" t="s">
        <v>14</v>
      </c>
      <c r="I702" t="s">
        <v>312</v>
      </c>
      <c r="K702" t="str">
        <f t="shared" si="15"/>
        <v>ED2512-04-TO-KB-asana-December-JA Batch-1</v>
      </c>
    </row>
    <row r="703" spans="1:11">
      <c r="A703">
        <v>702</v>
      </c>
      <c r="B703" t="s">
        <v>16</v>
      </c>
      <c r="C703">
        <v>2512</v>
      </c>
      <c r="D703" s="300" t="s">
        <v>542</v>
      </c>
      <c r="E703" t="s">
        <v>114</v>
      </c>
      <c r="F703" t="s">
        <v>534</v>
      </c>
      <c r="G703" t="s">
        <v>472</v>
      </c>
      <c r="H703" t="s">
        <v>14</v>
      </c>
      <c r="I703" t="s">
        <v>363</v>
      </c>
      <c r="K703" t="str">
        <f t="shared" si="15"/>
        <v>ED2512-04-TO-KB-asana-December-JA Batch-2</v>
      </c>
    </row>
    <row r="704" spans="1:11">
      <c r="A704">
        <v>703</v>
      </c>
      <c r="B704" t="s">
        <v>16</v>
      </c>
      <c r="C704">
        <v>2512</v>
      </c>
      <c r="D704" s="300" t="s">
        <v>542</v>
      </c>
      <c r="E704" t="s">
        <v>114</v>
      </c>
      <c r="F704" t="s">
        <v>534</v>
      </c>
      <c r="G704" t="s">
        <v>472</v>
      </c>
      <c r="H704" t="s">
        <v>14</v>
      </c>
      <c r="I704" t="s">
        <v>332</v>
      </c>
      <c r="K704" t="str">
        <f t="shared" si="15"/>
        <v>ED2512-04-TO-KB-asana-December-JA Batch-3</v>
      </c>
    </row>
    <row r="705" spans="1:11">
      <c r="A705">
        <v>704</v>
      </c>
      <c r="B705" t="s">
        <v>16</v>
      </c>
      <c r="C705">
        <v>2512</v>
      </c>
      <c r="D705" s="300" t="s">
        <v>542</v>
      </c>
      <c r="E705" t="s">
        <v>114</v>
      </c>
      <c r="F705" t="s">
        <v>534</v>
      </c>
      <c r="G705" t="s">
        <v>472</v>
      </c>
      <c r="H705" t="s">
        <v>14</v>
      </c>
      <c r="I705" t="s">
        <v>364</v>
      </c>
      <c r="K705" t="str">
        <f t="shared" si="15"/>
        <v>ED2512-04-TO-KB-asana-December-JA Batch-4</v>
      </c>
    </row>
    <row r="706" spans="1:11">
      <c r="A706">
        <v>705</v>
      </c>
      <c r="B706" t="s">
        <v>16</v>
      </c>
      <c r="C706">
        <v>2512</v>
      </c>
      <c r="D706" s="300" t="s">
        <v>542</v>
      </c>
      <c r="E706" t="s">
        <v>114</v>
      </c>
      <c r="F706" t="s">
        <v>534</v>
      </c>
      <c r="G706" t="s">
        <v>472</v>
      </c>
      <c r="H706" t="s">
        <v>14</v>
      </c>
      <c r="I706" t="s">
        <v>379</v>
      </c>
      <c r="K706" t="str">
        <f t="shared" si="15"/>
        <v>ED2512-04-TO-KB-asana-December-JA Batch-5</v>
      </c>
    </row>
    <row r="707" spans="1:11">
      <c r="A707">
        <v>706</v>
      </c>
      <c r="B707" t="s">
        <v>16</v>
      </c>
      <c r="C707">
        <v>2512</v>
      </c>
      <c r="D707" s="300" t="s">
        <v>610</v>
      </c>
      <c r="E707" t="s">
        <v>114</v>
      </c>
      <c r="F707" t="s">
        <v>17</v>
      </c>
      <c r="G707" t="s">
        <v>394</v>
      </c>
      <c r="H707" t="s">
        <v>14</v>
      </c>
      <c r="K707" t="str">
        <f t="shared" si="15"/>
        <v>ED2512-11-TO-KB-Connectors-JA</v>
      </c>
    </row>
    <row r="708" spans="1:11">
      <c r="A708">
        <v>707</v>
      </c>
      <c r="B708" t="s">
        <v>16</v>
      </c>
      <c r="C708">
        <v>2512</v>
      </c>
      <c r="D708" s="300" t="s">
        <v>610</v>
      </c>
      <c r="E708" t="s">
        <v>114</v>
      </c>
      <c r="F708" t="s">
        <v>17</v>
      </c>
      <c r="G708" t="s">
        <v>394</v>
      </c>
      <c r="H708" t="s">
        <v>14</v>
      </c>
      <c r="I708" t="s">
        <v>363</v>
      </c>
      <c r="K708" t="str">
        <f t="shared" si="15"/>
        <v>ED2512-11-TO-KB-Connectors-JA Batch-2</v>
      </c>
    </row>
    <row r="709" spans="1:11">
      <c r="A709">
        <v>708</v>
      </c>
      <c r="B709" t="s">
        <v>16</v>
      </c>
      <c r="C709">
        <v>2512</v>
      </c>
      <c r="D709" s="300" t="s">
        <v>610</v>
      </c>
      <c r="E709" t="s">
        <v>114</v>
      </c>
      <c r="F709" t="s">
        <v>17</v>
      </c>
      <c r="G709" t="s">
        <v>394</v>
      </c>
      <c r="H709" t="s">
        <v>14</v>
      </c>
      <c r="I709" t="s">
        <v>332</v>
      </c>
      <c r="K709" t="str">
        <f t="shared" si="15"/>
        <v>ED2512-11-TO-KB-Connectors-JA Batch-3</v>
      </c>
    </row>
    <row r="710" spans="1:11">
      <c r="A710">
        <v>709</v>
      </c>
      <c r="B710" t="s">
        <v>16</v>
      </c>
      <c r="C710">
        <v>2512</v>
      </c>
      <c r="D710" s="300" t="s">
        <v>610</v>
      </c>
      <c r="E710" t="s">
        <v>114</v>
      </c>
      <c r="F710" t="s">
        <v>17</v>
      </c>
      <c r="G710" t="s">
        <v>472</v>
      </c>
      <c r="H710" t="s">
        <v>14</v>
      </c>
      <c r="I710" t="s">
        <v>312</v>
      </c>
      <c r="K710" t="str">
        <f t="shared" si="15"/>
        <v>ED2512-11-TO-KB-December-JA Batch-1</v>
      </c>
    </row>
    <row r="711" spans="1:11">
      <c r="A711">
        <v>710</v>
      </c>
      <c r="B711" t="s">
        <v>16</v>
      </c>
      <c r="C711">
        <v>2512</v>
      </c>
      <c r="D711" s="300" t="s">
        <v>610</v>
      </c>
      <c r="E711" t="s">
        <v>114</v>
      </c>
      <c r="F711" t="s">
        <v>17</v>
      </c>
      <c r="G711" t="s">
        <v>472</v>
      </c>
      <c r="H711" t="s">
        <v>14</v>
      </c>
      <c r="I711" t="s">
        <v>363</v>
      </c>
      <c r="K711" t="str">
        <f t="shared" si="15"/>
        <v>ED2512-11-TO-KB-December-JA Batch-2</v>
      </c>
    </row>
    <row r="712" spans="1:11">
      <c r="A712">
        <v>711</v>
      </c>
      <c r="B712" t="s">
        <v>16</v>
      </c>
      <c r="C712">
        <v>2512</v>
      </c>
      <c r="D712" s="300" t="s">
        <v>610</v>
      </c>
      <c r="E712" t="s">
        <v>114</v>
      </c>
      <c r="F712" t="s">
        <v>17</v>
      </c>
      <c r="G712" t="s">
        <v>472</v>
      </c>
      <c r="H712" t="s">
        <v>14</v>
      </c>
      <c r="I712" t="s">
        <v>332</v>
      </c>
      <c r="K712" t="str">
        <f t="shared" si="15"/>
        <v>ED2512-11-TO-KB-December-JA Batch-3</v>
      </c>
    </row>
    <row r="713" spans="1:11">
      <c r="A713">
        <v>712</v>
      </c>
      <c r="B713" t="s">
        <v>16</v>
      </c>
      <c r="C713">
        <v>2512</v>
      </c>
      <c r="D713" s="300" t="s">
        <v>553</v>
      </c>
      <c r="E713" t="s">
        <v>114</v>
      </c>
      <c r="F713" t="s">
        <v>534</v>
      </c>
      <c r="G713" t="s">
        <v>472</v>
      </c>
      <c r="H713" t="s">
        <v>14</v>
      </c>
      <c r="I713" t="s">
        <v>340</v>
      </c>
      <c r="K713" t="str">
        <f t="shared" si="15"/>
        <v>ED2512-18-TO-KB-asana-December-JA Batch-6</v>
      </c>
    </row>
    <row r="714" spans="1:11">
      <c r="A714">
        <v>713</v>
      </c>
      <c r="B714" t="s">
        <v>16</v>
      </c>
      <c r="C714">
        <v>2512</v>
      </c>
      <c r="D714" s="300" t="s">
        <v>553</v>
      </c>
      <c r="E714" t="s">
        <v>114</v>
      </c>
      <c r="F714" t="s">
        <v>17</v>
      </c>
      <c r="G714" t="s">
        <v>472</v>
      </c>
      <c r="H714" t="s">
        <v>14</v>
      </c>
      <c r="I714" t="s">
        <v>335</v>
      </c>
      <c r="K714" t="str">
        <f t="shared" si="15"/>
        <v>ED2512-18-TO-KB-December-JA Batch-4</v>
      </c>
    </row>
    <row r="715" spans="1:11">
      <c r="A715">
        <v>714</v>
      </c>
      <c r="B715" t="s">
        <v>16</v>
      </c>
      <c r="C715">
        <v>2512</v>
      </c>
      <c r="D715" s="300" t="s">
        <v>553</v>
      </c>
      <c r="E715" t="s">
        <v>114</v>
      </c>
      <c r="F715" t="s">
        <v>17</v>
      </c>
      <c r="G715" t="s">
        <v>394</v>
      </c>
      <c r="H715" t="s">
        <v>14</v>
      </c>
      <c r="I715" t="s">
        <v>335</v>
      </c>
      <c r="K715" t="str">
        <f t="shared" si="15"/>
        <v>ED2512-18-TO-KB-Connectors-JA Batch-4</v>
      </c>
    </row>
    <row r="716" spans="1:11">
      <c r="A716">
        <v>715</v>
      </c>
      <c r="B716" t="s">
        <v>16</v>
      </c>
      <c r="C716">
        <v>2512</v>
      </c>
      <c r="D716" s="300" t="s">
        <v>553</v>
      </c>
      <c r="E716" t="s">
        <v>114</v>
      </c>
      <c r="F716" t="s">
        <v>17</v>
      </c>
      <c r="G716" t="s">
        <v>394</v>
      </c>
      <c r="H716" t="s">
        <v>14</v>
      </c>
      <c r="I716" t="s">
        <v>336</v>
      </c>
      <c r="K716" t="str">
        <f t="shared" si="15"/>
        <v>ED2512-18-TO-KB-Connectors-JA Batch-5</v>
      </c>
    </row>
    <row r="717" spans="1:11">
      <c r="A717">
        <v>716</v>
      </c>
      <c r="B717" t="s">
        <v>16</v>
      </c>
      <c r="C717">
        <v>2512</v>
      </c>
      <c r="D717" s="300" t="s">
        <v>560</v>
      </c>
      <c r="E717" t="s">
        <v>114</v>
      </c>
      <c r="F717" t="s">
        <v>17</v>
      </c>
      <c r="G717" t="s">
        <v>394</v>
      </c>
      <c r="H717" t="s">
        <v>14</v>
      </c>
      <c r="I717" t="s">
        <v>404</v>
      </c>
      <c r="K717" t="str">
        <f t="shared" si="15"/>
        <v>ED2512-19-TO-KB-Connectors-JA Batch-6</v>
      </c>
    </row>
    <row r="718" spans="1:11">
      <c r="A718">
        <v>717</v>
      </c>
      <c r="B718" t="s">
        <v>16</v>
      </c>
      <c r="C718">
        <v>2512</v>
      </c>
      <c r="D718" s="300" t="s">
        <v>560</v>
      </c>
      <c r="E718" t="s">
        <v>114</v>
      </c>
      <c r="F718" t="s">
        <v>17</v>
      </c>
      <c r="G718" t="s">
        <v>394</v>
      </c>
      <c r="H718" t="s">
        <v>14</v>
      </c>
      <c r="I718" t="s">
        <v>341</v>
      </c>
      <c r="K718" t="str">
        <f t="shared" si="15"/>
        <v>ED2512-19-TO-KB-Connectors-JA Batch-7</v>
      </c>
    </row>
    <row r="719" spans="1:11">
      <c r="A719">
        <v>718</v>
      </c>
      <c r="B719" t="s">
        <v>16</v>
      </c>
      <c r="C719">
        <v>2512</v>
      </c>
      <c r="D719" s="300" t="s">
        <v>560</v>
      </c>
      <c r="E719" t="s">
        <v>114</v>
      </c>
      <c r="F719" t="s">
        <v>17</v>
      </c>
      <c r="G719" t="s">
        <v>472</v>
      </c>
      <c r="H719" t="s">
        <v>14</v>
      </c>
      <c r="I719" t="s">
        <v>335</v>
      </c>
      <c r="K719" t="str">
        <f>B719&amp;C719&amp;"-"&amp;D719&amp;"-"&amp;E719&amp;"-"&amp;F719&amp;"-"&amp;G719&amp;"-"&amp;H719&amp;I719</f>
        <v>ED2512-19-TO-KB-December-JA Batch-4</v>
      </c>
    </row>
    <row r="720" spans="1:11">
      <c r="A720">
        <v>719</v>
      </c>
      <c r="B720" t="s">
        <v>16</v>
      </c>
      <c r="C720">
        <v>2501</v>
      </c>
      <c r="D720" s="300" t="s">
        <v>611</v>
      </c>
      <c r="E720" t="s">
        <v>114</v>
      </c>
      <c r="F720" t="s">
        <v>17</v>
      </c>
      <c r="G720" t="s">
        <v>480</v>
      </c>
      <c r="H720" t="s">
        <v>14</v>
      </c>
      <c r="K720" t="str">
        <f t="shared" si="15"/>
        <v>ED2501-21-TO-KB-January-JA</v>
      </c>
    </row>
    <row r="721" spans="1:11">
      <c r="A721">
        <v>720</v>
      </c>
      <c r="B721" t="s">
        <v>16</v>
      </c>
      <c r="C721">
        <v>2501</v>
      </c>
      <c r="D721" s="300" t="s">
        <v>611</v>
      </c>
      <c r="E721" t="s">
        <v>114</v>
      </c>
      <c r="F721" t="s">
        <v>17</v>
      </c>
      <c r="G721" t="s">
        <v>480</v>
      </c>
      <c r="H721" t="s">
        <v>14</v>
      </c>
      <c r="I721" t="s">
        <v>310</v>
      </c>
      <c r="K721" t="str">
        <f t="shared" si="15"/>
        <v>ED2501-21-TO-KB-January-JA Batch-2</v>
      </c>
    </row>
    <row r="722" spans="1:11">
      <c r="A722">
        <v>721</v>
      </c>
      <c r="B722" t="s">
        <v>16</v>
      </c>
      <c r="C722">
        <v>2501</v>
      </c>
      <c r="D722" s="300" t="s">
        <v>611</v>
      </c>
      <c r="E722" t="s">
        <v>114</v>
      </c>
      <c r="F722" t="s">
        <v>17</v>
      </c>
      <c r="G722" t="s">
        <v>480</v>
      </c>
      <c r="H722" t="s">
        <v>14</v>
      </c>
      <c r="I722" t="s">
        <v>332</v>
      </c>
      <c r="K722" t="str">
        <f t="shared" si="15"/>
        <v>ED2501-21-TO-KB-January-JA Batch-3</v>
      </c>
    </row>
    <row r="723" spans="1:11">
      <c r="A723">
        <v>722</v>
      </c>
      <c r="B723" t="s">
        <v>16</v>
      </c>
      <c r="C723">
        <v>2501</v>
      </c>
      <c r="D723" s="300" t="s">
        <v>611</v>
      </c>
      <c r="E723" t="s">
        <v>114</v>
      </c>
      <c r="F723" t="s">
        <v>17</v>
      </c>
      <c r="G723" t="s">
        <v>480</v>
      </c>
      <c r="H723" t="s">
        <v>14</v>
      </c>
      <c r="I723" t="s">
        <v>364</v>
      </c>
      <c r="K723" t="str">
        <f t="shared" si="15"/>
        <v>ED2501-21-TO-KB-January-JA Batch-4</v>
      </c>
    </row>
    <row r="724" spans="1:11">
      <c r="A724">
        <v>723</v>
      </c>
      <c r="B724" t="s">
        <v>16</v>
      </c>
      <c r="C724">
        <v>2501</v>
      </c>
      <c r="D724" s="300" t="s">
        <v>611</v>
      </c>
      <c r="E724" t="s">
        <v>114</v>
      </c>
      <c r="F724" t="s">
        <v>17</v>
      </c>
      <c r="G724" t="s">
        <v>480</v>
      </c>
      <c r="H724" t="s">
        <v>14</v>
      </c>
      <c r="I724" t="s">
        <v>336</v>
      </c>
      <c r="K724" t="str">
        <f t="shared" si="15"/>
        <v>ED2501-21-TO-KB-January-JA Batch-5</v>
      </c>
    </row>
    <row r="725" spans="1:11">
      <c r="A725">
        <v>724</v>
      </c>
      <c r="B725" t="s">
        <v>16</v>
      </c>
      <c r="C725">
        <v>2501</v>
      </c>
      <c r="D725" s="300" t="s">
        <v>611</v>
      </c>
      <c r="E725" t="s">
        <v>114</v>
      </c>
      <c r="F725" t="s">
        <v>17</v>
      </c>
      <c r="G725" t="s">
        <v>480</v>
      </c>
      <c r="H725" t="s">
        <v>14</v>
      </c>
      <c r="I725" t="s">
        <v>404</v>
      </c>
      <c r="K725" t="str">
        <f t="shared" si="15"/>
        <v>ED2501-21-TO-KB-January-JA Batch-6</v>
      </c>
    </row>
    <row r="726" spans="1:11" ht="18.600000000000001">
      <c r="A726">
        <v>725</v>
      </c>
      <c r="B726" t="s">
        <v>16</v>
      </c>
      <c r="C726">
        <v>2501</v>
      </c>
      <c r="D726" s="300" t="s">
        <v>585</v>
      </c>
      <c r="E726" t="s">
        <v>114</v>
      </c>
      <c r="F726" t="s">
        <v>17</v>
      </c>
      <c r="G726" s="70" t="s">
        <v>612</v>
      </c>
      <c r="H726" t="s">
        <v>14</v>
      </c>
      <c r="K726" t="str">
        <f t="shared" si="15"/>
        <v>ED2501-22-TO-KB-Kintone-JA</v>
      </c>
    </row>
    <row r="727" spans="1:11">
      <c r="A727">
        <v>726</v>
      </c>
      <c r="B727" t="s">
        <v>16</v>
      </c>
      <c r="C727">
        <v>2501</v>
      </c>
      <c r="D727" s="300" t="s">
        <v>613</v>
      </c>
      <c r="E727" t="s">
        <v>114</v>
      </c>
      <c r="F727" t="s">
        <v>534</v>
      </c>
      <c r="G727" s="306" t="s">
        <v>254</v>
      </c>
      <c r="H727" t="s">
        <v>14</v>
      </c>
      <c r="K727" t="str">
        <f t="shared" si="15"/>
        <v>ED2501-23-TO-KB-asana-Pivot Table-JA</v>
      </c>
    </row>
    <row r="728" spans="1:11">
      <c r="A728">
        <v>727</v>
      </c>
      <c r="B728" t="s">
        <v>16</v>
      </c>
      <c r="C728">
        <v>2501</v>
      </c>
      <c r="D728" s="300" t="s">
        <v>613</v>
      </c>
      <c r="E728" t="s">
        <v>114</v>
      </c>
      <c r="F728" t="s">
        <v>534</v>
      </c>
      <c r="G728" t="s">
        <v>614</v>
      </c>
      <c r="H728" t="s">
        <v>14</v>
      </c>
      <c r="K728" t="str">
        <f t="shared" si="15"/>
        <v>ED2501-23-TO-KB-asana-Scheduled Reports Overview-JA</v>
      </c>
    </row>
    <row r="729" spans="1:11" ht="18.600000000000001">
      <c r="A729">
        <v>728</v>
      </c>
      <c r="B729" t="s">
        <v>16</v>
      </c>
      <c r="C729">
        <v>2501</v>
      </c>
      <c r="D729" s="300" t="s">
        <v>613</v>
      </c>
      <c r="E729" t="s">
        <v>114</v>
      </c>
      <c r="F729" t="s">
        <v>534</v>
      </c>
      <c r="G729" s="70" t="s">
        <v>508</v>
      </c>
      <c r="H729" t="s">
        <v>14</v>
      </c>
      <c r="K729" t="str">
        <f t="shared" si="15"/>
        <v>ED2501-23-TO-KB-asana-Magic ETL on Snowflake (Beta)-JA</v>
      </c>
    </row>
    <row r="730" spans="1:11">
      <c r="A730">
        <v>729</v>
      </c>
      <c r="B730" t="s">
        <v>16</v>
      </c>
      <c r="C730">
        <v>2501</v>
      </c>
      <c r="D730" s="300" t="s">
        <v>613</v>
      </c>
      <c r="E730" t="s">
        <v>114</v>
      </c>
      <c r="F730" t="s">
        <v>534</v>
      </c>
      <c r="G730" t="s">
        <v>615</v>
      </c>
      <c r="H730" t="s">
        <v>14</v>
      </c>
      <c r="K730" t="str">
        <f t="shared" si="15"/>
        <v>ED2501-23-TO-KB-asana-Migrate from Federated to Cloud Amplifier-JA</v>
      </c>
    </row>
    <row r="731" spans="1:11">
      <c r="A731">
        <v>730</v>
      </c>
      <c r="B731" t="s">
        <v>16</v>
      </c>
      <c r="C731">
        <v>2501</v>
      </c>
      <c r="D731" s="300" t="s">
        <v>616</v>
      </c>
      <c r="E731" t="s">
        <v>114</v>
      </c>
      <c r="F731" t="s">
        <v>247</v>
      </c>
      <c r="G731" t="s">
        <v>617</v>
      </c>
      <c r="H731" t="s">
        <v>14</v>
      </c>
      <c r="K731" t="str">
        <f t="shared" si="15"/>
        <v>ED2501-28-TO-KB-Support-Microsoft Azure Storage Data Lake Gen2 Connector-JA</v>
      </c>
    </row>
    <row r="732" spans="1:11">
      <c r="A732">
        <v>731</v>
      </c>
      <c r="B732" t="s">
        <v>16</v>
      </c>
      <c r="C732">
        <v>2501</v>
      </c>
      <c r="D732" s="300" t="s">
        <v>616</v>
      </c>
      <c r="E732" t="s">
        <v>114</v>
      </c>
      <c r="F732" t="s">
        <v>534</v>
      </c>
      <c r="G732" t="s">
        <v>480</v>
      </c>
      <c r="H732" t="s">
        <v>14</v>
      </c>
      <c r="I732" t="s">
        <v>312</v>
      </c>
      <c r="K732" t="str">
        <f t="shared" si="15"/>
        <v>ED2501-28-TO-KB-asana-January-JA Batch-1</v>
      </c>
    </row>
    <row r="733" spans="1:11">
      <c r="A733">
        <v>732</v>
      </c>
      <c r="B733" t="s">
        <v>16</v>
      </c>
      <c r="C733">
        <v>2501</v>
      </c>
      <c r="D733" s="300" t="s">
        <v>616</v>
      </c>
      <c r="E733" t="s">
        <v>114</v>
      </c>
      <c r="F733" t="s">
        <v>17</v>
      </c>
      <c r="G733" t="s">
        <v>480</v>
      </c>
      <c r="H733" t="s">
        <v>14</v>
      </c>
      <c r="I733" t="s">
        <v>421</v>
      </c>
      <c r="K733" t="str">
        <f t="shared" si="15"/>
        <v>ED2501-28-TO-KB-January-JA Batch-7</v>
      </c>
    </row>
    <row r="734" spans="1:11">
      <c r="A734">
        <v>733</v>
      </c>
      <c r="B734" t="s">
        <v>16</v>
      </c>
      <c r="C734">
        <v>2501</v>
      </c>
      <c r="D734" s="300" t="s">
        <v>616</v>
      </c>
      <c r="E734" t="s">
        <v>114</v>
      </c>
      <c r="F734" t="s">
        <v>17</v>
      </c>
      <c r="G734" t="s">
        <v>480</v>
      </c>
      <c r="H734" t="s">
        <v>14</v>
      </c>
      <c r="I734" t="s">
        <v>405</v>
      </c>
      <c r="K734" t="str">
        <f t="shared" si="15"/>
        <v>ED2501-28-TO-KB-January-JA Batch-8</v>
      </c>
    </row>
    <row r="735" spans="1:11">
      <c r="A735">
        <v>734</v>
      </c>
      <c r="B735" t="s">
        <v>16</v>
      </c>
      <c r="C735">
        <v>2501</v>
      </c>
      <c r="D735" s="300" t="s">
        <v>616</v>
      </c>
      <c r="E735" t="s">
        <v>114</v>
      </c>
      <c r="F735" t="s">
        <v>17</v>
      </c>
      <c r="G735" t="s">
        <v>480</v>
      </c>
      <c r="H735" t="s">
        <v>14</v>
      </c>
      <c r="I735" t="s">
        <v>618</v>
      </c>
      <c r="K735" t="str">
        <f t="shared" si="15"/>
        <v>ED2501-28-TO-KB-January-JA Batch-9</v>
      </c>
    </row>
    <row r="736" spans="1:11">
      <c r="A736">
        <v>735</v>
      </c>
      <c r="B736" t="s">
        <v>16</v>
      </c>
      <c r="C736">
        <v>2501</v>
      </c>
      <c r="D736" s="300" t="s">
        <v>616</v>
      </c>
      <c r="E736" t="s">
        <v>114</v>
      </c>
      <c r="F736" t="s">
        <v>17</v>
      </c>
      <c r="G736" t="s">
        <v>480</v>
      </c>
      <c r="H736" t="s">
        <v>14</v>
      </c>
      <c r="I736" t="s">
        <v>619</v>
      </c>
      <c r="K736" t="str">
        <f t="shared" si="15"/>
        <v>ED2501-28-TO-KB-January-JA Batch-10</v>
      </c>
    </row>
    <row r="737" spans="1:11">
      <c r="A737">
        <v>736</v>
      </c>
      <c r="B737" t="s">
        <v>16</v>
      </c>
      <c r="C737">
        <v>2501</v>
      </c>
      <c r="D737" s="300" t="s">
        <v>620</v>
      </c>
      <c r="E737" t="s">
        <v>152</v>
      </c>
      <c r="F737" t="s">
        <v>17</v>
      </c>
      <c r="G737" t="s">
        <v>621</v>
      </c>
      <c r="H737" t="s">
        <v>14</v>
      </c>
      <c r="I737" t="s">
        <v>278</v>
      </c>
      <c r="K737" t="str">
        <f t="shared" si="15"/>
        <v>ED2501-29-MH-KB-Kintone OAuth Connector-JA Update</v>
      </c>
    </row>
    <row r="738" spans="1:11">
      <c r="A738">
        <v>737</v>
      </c>
      <c r="B738" t="s">
        <v>16</v>
      </c>
      <c r="C738">
        <v>2501</v>
      </c>
      <c r="D738" s="300" t="s">
        <v>620</v>
      </c>
      <c r="E738" t="s">
        <v>114</v>
      </c>
      <c r="F738" t="s">
        <v>17</v>
      </c>
      <c r="G738" t="s">
        <v>622</v>
      </c>
      <c r="H738" t="s">
        <v>14</v>
      </c>
      <c r="K738" t="str">
        <f t="shared" si="15"/>
        <v>ED2501-29-TO-KB-Oracle Cloud and Cloud Amplifier-JA</v>
      </c>
    </row>
    <row r="739" spans="1:11">
      <c r="A739">
        <v>738</v>
      </c>
      <c r="B739" t="s">
        <v>16</v>
      </c>
      <c r="C739">
        <v>2501</v>
      </c>
      <c r="D739" s="300" t="s">
        <v>620</v>
      </c>
      <c r="E739" t="s">
        <v>114</v>
      </c>
      <c r="F739" t="s">
        <v>534</v>
      </c>
      <c r="G739" s="306" t="s">
        <v>623</v>
      </c>
      <c r="H739" t="s">
        <v>14</v>
      </c>
      <c r="K739" t="str">
        <f t="shared" si="15"/>
        <v>ED2501-29-TO-KB-asana-Cloud Amplifier Overview-JA</v>
      </c>
    </row>
    <row r="740" spans="1:11">
      <c r="A740">
        <v>739</v>
      </c>
      <c r="B740" t="s">
        <v>16</v>
      </c>
      <c r="C740">
        <v>2501</v>
      </c>
      <c r="D740" s="300" t="s">
        <v>620</v>
      </c>
      <c r="E740" t="s">
        <v>114</v>
      </c>
      <c r="F740" t="s">
        <v>534</v>
      </c>
      <c r="G740" t="s">
        <v>624</v>
      </c>
      <c r="H740" t="s">
        <v>14</v>
      </c>
      <c r="K740" t="str">
        <f t="shared" si="15"/>
        <v>ED2501-29-TO-KB-asana-Use Non-aggregated Columns in Aggregated Beast Modes-JA</v>
      </c>
    </row>
    <row r="741" spans="1:11">
      <c r="A741">
        <v>740</v>
      </c>
      <c r="B741" t="s">
        <v>16</v>
      </c>
      <c r="C741">
        <v>2501</v>
      </c>
      <c r="D741" s="300" t="s">
        <v>620</v>
      </c>
      <c r="E741" t="s">
        <v>114</v>
      </c>
      <c r="F741" t="s">
        <v>17</v>
      </c>
      <c r="G741" s="306" t="s">
        <v>438</v>
      </c>
      <c r="H741" t="s">
        <v>14</v>
      </c>
      <c r="K741" t="str">
        <f t="shared" si="15"/>
        <v>ED2501-29-TO-KB-Projecting the Last Value in Your Chart-JA</v>
      </c>
    </row>
    <row r="742" spans="1:11">
      <c r="A742">
        <v>741</v>
      </c>
      <c r="B742" t="s">
        <v>16</v>
      </c>
      <c r="C742">
        <v>2501</v>
      </c>
      <c r="D742" s="300" t="s">
        <v>620</v>
      </c>
      <c r="E742" t="s">
        <v>114</v>
      </c>
      <c r="F742" t="s">
        <v>534</v>
      </c>
      <c r="G742" t="s">
        <v>515</v>
      </c>
      <c r="H742" t="s">
        <v>14</v>
      </c>
      <c r="K742" t="str">
        <f t="shared" si="15"/>
        <v>ED2501-29-TO-KB-asana-Snowflake and Cloud Amplifier-JA</v>
      </c>
    </row>
    <row r="743" spans="1:11">
      <c r="A743">
        <v>742</v>
      </c>
      <c r="B743" t="s">
        <v>16</v>
      </c>
      <c r="C743">
        <v>2501</v>
      </c>
      <c r="D743" s="300" t="s">
        <v>620</v>
      </c>
      <c r="E743" t="s">
        <v>114</v>
      </c>
      <c r="F743" t="s">
        <v>534</v>
      </c>
      <c r="G743" s="306" t="s">
        <v>625</v>
      </c>
      <c r="H743" t="s">
        <v>14</v>
      </c>
      <c r="K743" t="str">
        <f t="shared" si="15"/>
        <v>ED2501-29-TO-KB-asana-Magic ETL Tiles: Data Science-JA</v>
      </c>
    </row>
    <row r="744" spans="1:11">
      <c r="A744">
        <v>743</v>
      </c>
      <c r="B744" t="s">
        <v>16</v>
      </c>
      <c r="C744">
        <v>2501</v>
      </c>
      <c r="D744" s="300" t="s">
        <v>626</v>
      </c>
      <c r="E744" t="s">
        <v>114</v>
      </c>
      <c r="F744" t="s">
        <v>534</v>
      </c>
      <c r="G744" t="s">
        <v>627</v>
      </c>
      <c r="H744" t="s">
        <v>14</v>
      </c>
      <c r="K744" t="str">
        <f t="shared" si="15"/>
        <v>ED2501-30-TO-KB-asana-Table Charts-JA</v>
      </c>
    </row>
    <row r="745" spans="1:11">
      <c r="A745">
        <v>744</v>
      </c>
      <c r="B745" t="s">
        <v>16</v>
      </c>
      <c r="C745">
        <v>2501</v>
      </c>
      <c r="D745" s="300" t="s">
        <v>626</v>
      </c>
      <c r="E745" t="s">
        <v>114</v>
      </c>
      <c r="F745" t="s">
        <v>534</v>
      </c>
      <c r="G745" t="s">
        <v>628</v>
      </c>
      <c r="H745" t="s">
        <v>14</v>
      </c>
      <c r="K745" t="str">
        <f t="shared" si="15"/>
        <v>ED2501-30-TO-KB-asana-2024 Release 6 November-JA</v>
      </c>
    </row>
    <row r="746" spans="1:11">
      <c r="A746">
        <v>745</v>
      </c>
      <c r="B746" t="s">
        <v>16</v>
      </c>
      <c r="C746">
        <v>2501</v>
      </c>
      <c r="D746" s="300" t="s">
        <v>626</v>
      </c>
      <c r="E746" t="s">
        <v>114</v>
      </c>
      <c r="F746" t="s">
        <v>534</v>
      </c>
      <c r="G746" t="s">
        <v>480</v>
      </c>
      <c r="H746" t="s">
        <v>14</v>
      </c>
      <c r="I746" t="s">
        <v>310</v>
      </c>
      <c r="K746" t="str">
        <f t="shared" si="15"/>
        <v>ED2501-30-TO-KB-asana-January-JA Batch-2</v>
      </c>
    </row>
    <row r="747" spans="1:11">
      <c r="A747">
        <v>746</v>
      </c>
      <c r="B747" t="s">
        <v>16</v>
      </c>
      <c r="C747">
        <v>2501</v>
      </c>
      <c r="D747" s="300" t="s">
        <v>626</v>
      </c>
      <c r="E747" t="s">
        <v>114</v>
      </c>
      <c r="F747" t="s">
        <v>534</v>
      </c>
      <c r="G747" t="s">
        <v>480</v>
      </c>
      <c r="H747" t="s">
        <v>14</v>
      </c>
      <c r="I747" t="s">
        <v>332</v>
      </c>
      <c r="K747" t="str">
        <f t="shared" si="15"/>
        <v>ED2501-30-TO-KB-asana-January-JA Batch-3</v>
      </c>
    </row>
    <row r="748" spans="1:11">
      <c r="A748">
        <v>747</v>
      </c>
      <c r="B748" t="s">
        <v>16</v>
      </c>
      <c r="C748">
        <v>2501</v>
      </c>
      <c r="D748" s="300" t="s">
        <v>626</v>
      </c>
      <c r="E748" t="s">
        <v>114</v>
      </c>
      <c r="F748" t="s">
        <v>534</v>
      </c>
      <c r="G748" t="s">
        <v>480</v>
      </c>
      <c r="H748" t="s">
        <v>14</v>
      </c>
      <c r="I748" t="s">
        <v>364</v>
      </c>
      <c r="K748" t="str">
        <f t="shared" si="15"/>
        <v>ED2501-30-TO-KB-asana-January-JA Batch-4</v>
      </c>
    </row>
    <row r="749" spans="1:11">
      <c r="A749">
        <v>748</v>
      </c>
      <c r="B749" t="s">
        <v>16</v>
      </c>
      <c r="C749">
        <v>2501</v>
      </c>
      <c r="D749" s="300" t="s">
        <v>626</v>
      </c>
      <c r="E749" t="s">
        <v>114</v>
      </c>
      <c r="F749" t="s">
        <v>534</v>
      </c>
      <c r="G749" t="s">
        <v>480</v>
      </c>
      <c r="H749" t="s">
        <v>14</v>
      </c>
      <c r="I749" t="s">
        <v>336</v>
      </c>
      <c r="K749" t="str">
        <f t="shared" si="15"/>
        <v>ED2501-30-TO-KB-asana-January-JA Batch-5</v>
      </c>
    </row>
    <row r="750" spans="1:11">
      <c r="A750">
        <v>749</v>
      </c>
      <c r="B750" t="s">
        <v>16</v>
      </c>
      <c r="C750">
        <v>2501</v>
      </c>
      <c r="D750" s="300" t="s">
        <v>626</v>
      </c>
      <c r="E750" t="s">
        <v>114</v>
      </c>
      <c r="F750" t="s">
        <v>534</v>
      </c>
      <c r="G750" t="s">
        <v>629</v>
      </c>
      <c r="H750" t="s">
        <v>14</v>
      </c>
      <c r="K750" t="str">
        <f t="shared" si="15"/>
        <v>ED2501-30-TO-KB-asana-Sandbox-JA</v>
      </c>
    </row>
    <row r="751" spans="1:11" ht="36">
      <c r="A751">
        <v>750</v>
      </c>
      <c r="B751" t="s">
        <v>16</v>
      </c>
      <c r="C751">
        <v>2602</v>
      </c>
      <c r="D751" s="300" t="s">
        <v>542</v>
      </c>
      <c r="E751" t="s">
        <v>114</v>
      </c>
      <c r="F751" t="s">
        <v>247</v>
      </c>
      <c r="G751" s="306" t="s">
        <v>630</v>
      </c>
      <c r="H751" t="s">
        <v>14</v>
      </c>
      <c r="K751" t="str">
        <f t="shared" si="15"/>
        <v>ED2602-04-TO-KB-Support-Microsoft Azure Data Lake Store Connector - Deprecated-JA</v>
      </c>
    </row>
    <row r="752" spans="1:11">
      <c r="A752">
        <v>751</v>
      </c>
      <c r="B752" t="s">
        <v>16</v>
      </c>
      <c r="C752">
        <v>2602</v>
      </c>
      <c r="D752" s="300" t="s">
        <v>542</v>
      </c>
      <c r="E752" t="s">
        <v>114</v>
      </c>
      <c r="F752" t="s">
        <v>40</v>
      </c>
      <c r="G752" t="s">
        <v>631</v>
      </c>
      <c r="H752" t="s">
        <v>14</v>
      </c>
      <c r="K752" t="str">
        <f t="shared" si="15"/>
        <v>ED2602-04-TO-App-January 2025 Release Update-JA</v>
      </c>
    </row>
    <row r="753" spans="1:11">
      <c r="A753">
        <v>752</v>
      </c>
      <c r="B753" t="s">
        <v>16</v>
      </c>
      <c r="C753">
        <v>2602</v>
      </c>
      <c r="D753" s="300" t="s">
        <v>542</v>
      </c>
      <c r="E753" t="s">
        <v>114</v>
      </c>
      <c r="F753" t="s">
        <v>632</v>
      </c>
      <c r="G753" t="s">
        <v>633</v>
      </c>
      <c r="H753" t="s">
        <v>14</v>
      </c>
      <c r="K753" t="str">
        <f t="shared" si="15"/>
        <v>ED2602-04-TO-KB-Release-Amazon Athena and Cloud Amplifier (Beta)-JA</v>
      </c>
    </row>
    <row r="754" spans="1:11">
      <c r="A754">
        <v>753</v>
      </c>
      <c r="B754" t="s">
        <v>16</v>
      </c>
      <c r="C754">
        <v>2602</v>
      </c>
      <c r="D754" s="300" t="s">
        <v>611</v>
      </c>
      <c r="E754" t="s">
        <v>114</v>
      </c>
      <c r="F754" t="s">
        <v>17</v>
      </c>
      <c r="G754" t="s">
        <v>634</v>
      </c>
      <c r="H754" t="s">
        <v>14</v>
      </c>
      <c r="K754" t="str">
        <f t="shared" si="15"/>
        <v>ED2602-21-TO-KB-	- Cloud Amplifier Overview --JA</v>
      </c>
    </row>
    <row r="755" spans="1:11">
      <c r="A755">
        <v>754</v>
      </c>
      <c r="B755" t="s">
        <v>16</v>
      </c>
      <c r="C755">
        <v>2602</v>
      </c>
      <c r="D755" s="300" t="s">
        <v>611</v>
      </c>
      <c r="E755" t="s">
        <v>114</v>
      </c>
      <c r="F755" t="s">
        <v>247</v>
      </c>
      <c r="G755" s="306" t="s">
        <v>635</v>
      </c>
      <c r="H755" t="s">
        <v>14</v>
      </c>
      <c r="K755" t="str">
        <f t="shared" si="15"/>
        <v>ED2602-21-TO-KB-Support-Publish Content to an Organization-JA</v>
      </c>
    </row>
    <row r="756" spans="1:11">
      <c r="A756">
        <v>755</v>
      </c>
      <c r="B756" t="s">
        <v>16</v>
      </c>
      <c r="C756">
        <v>2602</v>
      </c>
      <c r="D756" s="300" t="s">
        <v>611</v>
      </c>
      <c r="E756" t="s">
        <v>114</v>
      </c>
      <c r="F756" t="s">
        <v>534</v>
      </c>
      <c r="G756" t="s">
        <v>486</v>
      </c>
      <c r="H756" t="s">
        <v>14</v>
      </c>
      <c r="I756" t="s">
        <v>312</v>
      </c>
      <c r="K756" t="str">
        <f t="shared" si="15"/>
        <v>ED2602-21-TO-KB-asana-February-JA Batch-1</v>
      </c>
    </row>
    <row r="757" spans="1:11">
      <c r="A757">
        <v>756</v>
      </c>
      <c r="B757" t="s">
        <v>16</v>
      </c>
      <c r="C757">
        <v>2602</v>
      </c>
      <c r="D757" s="300" t="s">
        <v>611</v>
      </c>
      <c r="E757" t="s">
        <v>114</v>
      </c>
      <c r="F757" t="s">
        <v>534</v>
      </c>
      <c r="G757" t="s">
        <v>486</v>
      </c>
      <c r="H757" t="s">
        <v>14</v>
      </c>
      <c r="I757" t="s">
        <v>363</v>
      </c>
      <c r="K757" t="str">
        <f t="shared" si="15"/>
        <v>ED2602-21-TO-KB-asana-February-JA Batch-2</v>
      </c>
    </row>
    <row r="758" spans="1:11">
      <c r="A758">
        <v>757</v>
      </c>
      <c r="B758" t="s">
        <v>16</v>
      </c>
      <c r="C758">
        <v>2602</v>
      </c>
      <c r="D758" s="300" t="s">
        <v>611</v>
      </c>
      <c r="E758" t="s">
        <v>114</v>
      </c>
      <c r="F758" t="s">
        <v>17</v>
      </c>
      <c r="G758" t="s">
        <v>394</v>
      </c>
      <c r="H758" t="s">
        <v>14</v>
      </c>
      <c r="I758" t="s">
        <v>312</v>
      </c>
      <c r="K758" t="str">
        <f t="shared" si="15"/>
        <v>ED2602-21-TO-KB-Connectors-JA Batch-1</v>
      </c>
    </row>
    <row r="759" spans="1:11">
      <c r="A759">
        <v>758</v>
      </c>
      <c r="B759" t="s">
        <v>16</v>
      </c>
      <c r="C759">
        <v>2602</v>
      </c>
      <c r="D759" s="300" t="s">
        <v>611</v>
      </c>
      <c r="E759" t="s">
        <v>114</v>
      </c>
      <c r="F759" t="s">
        <v>17</v>
      </c>
      <c r="G759" t="s">
        <v>394</v>
      </c>
      <c r="H759" t="s">
        <v>14</v>
      </c>
      <c r="I759" t="s">
        <v>363</v>
      </c>
      <c r="K759" t="str">
        <f t="shared" si="15"/>
        <v>ED2602-21-TO-KB-Connectors-JA Batch-2</v>
      </c>
    </row>
    <row r="760" spans="1:11">
      <c r="A760">
        <v>759</v>
      </c>
      <c r="B760" t="s">
        <v>16</v>
      </c>
      <c r="C760">
        <v>2602</v>
      </c>
      <c r="D760" s="300" t="s">
        <v>611</v>
      </c>
      <c r="E760" t="s">
        <v>114</v>
      </c>
      <c r="F760" t="s">
        <v>17</v>
      </c>
      <c r="G760" t="s">
        <v>394</v>
      </c>
      <c r="H760" t="s">
        <v>14</v>
      </c>
      <c r="I760" t="s">
        <v>332</v>
      </c>
      <c r="K760" t="str">
        <f t="shared" si="15"/>
        <v>ED2602-21-TO-KB-Connectors-JA Batch-3</v>
      </c>
    </row>
    <row r="761" spans="1:11">
      <c r="A761">
        <v>760</v>
      </c>
      <c r="B761" t="s">
        <v>16</v>
      </c>
      <c r="C761">
        <v>2602</v>
      </c>
      <c r="D761" s="300" t="s">
        <v>636</v>
      </c>
      <c r="E761" t="s">
        <v>114</v>
      </c>
      <c r="F761" t="s">
        <v>17</v>
      </c>
      <c r="G761" t="s">
        <v>637</v>
      </c>
      <c r="H761" t="s">
        <v>14</v>
      </c>
      <c r="I761" t="s">
        <v>312</v>
      </c>
      <c r="K761" t="str">
        <f t="shared" ref="K761:K824" si="16">B761&amp;C761&amp;"-"&amp;D761&amp;"-"&amp;E761&amp;"-"&amp;F761&amp;"-"&amp;G761&amp;"-"&amp;H761&amp;I761</f>
        <v>ED2602-27-TO-KB-February articles-JA Batch-1</v>
      </c>
    </row>
    <row r="762" spans="1:11">
      <c r="A762">
        <v>761</v>
      </c>
      <c r="B762" t="s">
        <v>16</v>
      </c>
      <c r="C762">
        <v>2602</v>
      </c>
      <c r="D762" s="300" t="s">
        <v>636</v>
      </c>
      <c r="E762" t="s">
        <v>114</v>
      </c>
      <c r="F762" t="s">
        <v>17</v>
      </c>
      <c r="G762" t="s">
        <v>637</v>
      </c>
      <c r="H762" t="s">
        <v>14</v>
      </c>
      <c r="I762" t="s">
        <v>363</v>
      </c>
      <c r="K762" t="str">
        <f t="shared" si="16"/>
        <v>ED2602-27-TO-KB-February articles-JA Batch-2</v>
      </c>
    </row>
    <row r="763" spans="1:11">
      <c r="A763">
        <v>762</v>
      </c>
      <c r="B763" t="s">
        <v>16</v>
      </c>
      <c r="C763">
        <v>2602</v>
      </c>
      <c r="D763" s="300" t="s">
        <v>636</v>
      </c>
      <c r="E763" t="s">
        <v>114</v>
      </c>
      <c r="F763" t="s">
        <v>17</v>
      </c>
      <c r="G763" t="s">
        <v>637</v>
      </c>
      <c r="H763" t="s">
        <v>14</v>
      </c>
      <c r="I763" t="s">
        <v>332</v>
      </c>
      <c r="K763" t="str">
        <f t="shared" si="16"/>
        <v>ED2602-27-TO-KB-February articles-JA Batch-3</v>
      </c>
    </row>
    <row r="764" spans="1:11">
      <c r="A764">
        <v>763</v>
      </c>
      <c r="B764" t="s">
        <v>16</v>
      </c>
      <c r="C764">
        <v>2602</v>
      </c>
      <c r="D764" s="300" t="s">
        <v>636</v>
      </c>
      <c r="E764" t="s">
        <v>114</v>
      </c>
      <c r="F764" t="s">
        <v>17</v>
      </c>
      <c r="G764" t="s">
        <v>637</v>
      </c>
      <c r="H764" t="s">
        <v>14</v>
      </c>
      <c r="I764" t="s">
        <v>364</v>
      </c>
      <c r="K764" t="str">
        <f t="shared" si="16"/>
        <v>ED2602-27-TO-KB-February articles-JA Batch-4</v>
      </c>
    </row>
    <row r="765" spans="1:11">
      <c r="A765">
        <v>764</v>
      </c>
      <c r="B765" t="s">
        <v>16</v>
      </c>
      <c r="C765">
        <v>2603</v>
      </c>
      <c r="D765" s="300" t="s">
        <v>607</v>
      </c>
      <c r="E765" t="s">
        <v>114</v>
      </c>
      <c r="F765" t="s">
        <v>17</v>
      </c>
      <c r="G765" t="s">
        <v>638</v>
      </c>
      <c r="H765" t="s">
        <v>14</v>
      </c>
      <c r="K765" t="str">
        <f t="shared" si="16"/>
        <v>ED2603-03-TO-KB-- Cloud Amplifier Overview --JA</v>
      </c>
    </row>
    <row r="766" spans="1:11">
      <c r="A766">
        <v>765</v>
      </c>
      <c r="B766" t="s">
        <v>16</v>
      </c>
      <c r="C766">
        <v>2603</v>
      </c>
      <c r="D766" s="300" t="s">
        <v>542</v>
      </c>
      <c r="E766" t="s">
        <v>114</v>
      </c>
      <c r="F766" t="s">
        <v>17</v>
      </c>
      <c r="G766" t="s">
        <v>639</v>
      </c>
      <c r="H766" t="s">
        <v>14</v>
      </c>
      <c r="I766" t="s">
        <v>312</v>
      </c>
      <c r="K766" t="str">
        <f t="shared" si="16"/>
        <v>ED2603-04-TO-KB-March articles-JA Batch-1</v>
      </c>
    </row>
    <row r="767" spans="1:11">
      <c r="A767">
        <v>766</v>
      </c>
      <c r="B767" t="s">
        <v>16</v>
      </c>
      <c r="C767">
        <v>2603</v>
      </c>
      <c r="D767" s="300" t="s">
        <v>542</v>
      </c>
      <c r="E767" t="s">
        <v>114</v>
      </c>
      <c r="F767" t="s">
        <v>17</v>
      </c>
      <c r="G767" t="s">
        <v>639</v>
      </c>
      <c r="H767" t="s">
        <v>14</v>
      </c>
      <c r="I767" t="s">
        <v>363</v>
      </c>
      <c r="K767" t="str">
        <f t="shared" si="16"/>
        <v>ED2603-04-TO-KB-March articles-JA Batch-2</v>
      </c>
    </row>
    <row r="768" spans="1:11">
      <c r="A768">
        <v>767</v>
      </c>
      <c r="B768" t="s">
        <v>16</v>
      </c>
      <c r="C768">
        <v>2603</v>
      </c>
      <c r="D768" s="300" t="s">
        <v>542</v>
      </c>
      <c r="E768" t="s">
        <v>114</v>
      </c>
      <c r="F768" t="s">
        <v>17</v>
      </c>
      <c r="G768" t="s">
        <v>639</v>
      </c>
      <c r="H768" t="s">
        <v>14</v>
      </c>
      <c r="I768" t="s">
        <v>332</v>
      </c>
      <c r="K768" t="str">
        <f t="shared" si="16"/>
        <v>ED2603-04-TO-KB-March articles-JA Batch-3</v>
      </c>
    </row>
    <row r="769" spans="1:11">
      <c r="A769">
        <v>768</v>
      </c>
      <c r="B769" t="s">
        <v>16</v>
      </c>
      <c r="C769">
        <v>2603</v>
      </c>
      <c r="D769" s="300" t="s">
        <v>542</v>
      </c>
      <c r="E769" t="s">
        <v>114</v>
      </c>
      <c r="F769" t="s">
        <v>17</v>
      </c>
      <c r="G769" t="s">
        <v>639</v>
      </c>
      <c r="H769" t="s">
        <v>14</v>
      </c>
      <c r="I769" t="s">
        <v>364</v>
      </c>
      <c r="K769" t="str">
        <f t="shared" si="16"/>
        <v>ED2603-04-TO-KB-March articles-JA Batch-4</v>
      </c>
    </row>
    <row r="770" spans="1:11">
      <c r="A770">
        <v>769</v>
      </c>
      <c r="B770" t="s">
        <v>16</v>
      </c>
      <c r="C770">
        <v>2603</v>
      </c>
      <c r="D770" s="300" t="s">
        <v>542</v>
      </c>
      <c r="E770" t="s">
        <v>114</v>
      </c>
      <c r="F770" t="s">
        <v>17</v>
      </c>
      <c r="G770" t="s">
        <v>639</v>
      </c>
      <c r="H770" t="s">
        <v>14</v>
      </c>
      <c r="I770" t="s">
        <v>336</v>
      </c>
      <c r="K770" t="str">
        <f t="shared" si="16"/>
        <v>ED2603-04-TO-KB-March articles-JA Batch-5</v>
      </c>
    </row>
    <row r="771" spans="1:11">
      <c r="A771">
        <v>770</v>
      </c>
      <c r="B771" t="s">
        <v>16</v>
      </c>
      <c r="C771">
        <v>2603</v>
      </c>
      <c r="D771" s="300" t="s">
        <v>545</v>
      </c>
      <c r="E771" t="s">
        <v>114</v>
      </c>
      <c r="F771" t="s">
        <v>534</v>
      </c>
      <c r="G771" t="s">
        <v>491</v>
      </c>
      <c r="H771" t="s">
        <v>14</v>
      </c>
      <c r="I771" t="s">
        <v>312</v>
      </c>
      <c r="K771" t="str">
        <f t="shared" si="16"/>
        <v>ED2603-05-TO-KB-asana-March-JA Batch-1</v>
      </c>
    </row>
    <row r="772" spans="1:11">
      <c r="A772">
        <v>771</v>
      </c>
      <c r="B772" t="s">
        <v>16</v>
      </c>
      <c r="C772">
        <v>2603</v>
      </c>
      <c r="D772" s="300" t="s">
        <v>545</v>
      </c>
      <c r="E772" t="s">
        <v>114</v>
      </c>
      <c r="F772" t="s">
        <v>534</v>
      </c>
      <c r="G772" t="s">
        <v>559</v>
      </c>
      <c r="H772" t="s">
        <v>14</v>
      </c>
      <c r="K772" t="str">
        <f t="shared" si="16"/>
        <v>ED2603-05-TO-KB-asana-Publish Content to a Subscriber Instance-JA</v>
      </c>
    </row>
    <row r="773" spans="1:11">
      <c r="A773">
        <v>772</v>
      </c>
      <c r="B773" t="s">
        <v>16</v>
      </c>
      <c r="C773">
        <v>2603</v>
      </c>
      <c r="D773" s="300" t="s">
        <v>545</v>
      </c>
      <c r="E773" t="s">
        <v>114</v>
      </c>
      <c r="F773" t="s">
        <v>534</v>
      </c>
      <c r="G773" t="s">
        <v>640</v>
      </c>
      <c r="H773" t="s">
        <v>14</v>
      </c>
      <c r="K773" t="str">
        <f t="shared" si="16"/>
        <v>ED2603-05-TO-KB-asana-Jupyter Notebook Executions via Workflows -JA</v>
      </c>
    </row>
    <row r="774" spans="1:11">
      <c r="A774">
        <v>773</v>
      </c>
      <c r="B774" t="s">
        <v>16</v>
      </c>
      <c r="C774">
        <v>2603</v>
      </c>
      <c r="D774" s="300" t="s">
        <v>545</v>
      </c>
      <c r="E774" t="s">
        <v>114</v>
      </c>
      <c r="F774" t="s">
        <v>534</v>
      </c>
      <c r="G774" t="s">
        <v>491</v>
      </c>
      <c r="H774" t="s">
        <v>14</v>
      </c>
      <c r="I774" t="s">
        <v>310</v>
      </c>
      <c r="K774" t="str">
        <f t="shared" si="16"/>
        <v>ED2603-05-TO-KB-asana-March-JA Batch-2</v>
      </c>
    </row>
    <row r="775" spans="1:11">
      <c r="A775">
        <v>774</v>
      </c>
      <c r="B775" t="s">
        <v>16</v>
      </c>
      <c r="C775">
        <v>2603</v>
      </c>
      <c r="D775" s="300" t="s">
        <v>545</v>
      </c>
      <c r="E775" t="s">
        <v>114</v>
      </c>
      <c r="F775" t="s">
        <v>534</v>
      </c>
      <c r="G775" t="s">
        <v>491</v>
      </c>
      <c r="H775" t="s">
        <v>14</v>
      </c>
      <c r="I775" t="s">
        <v>332</v>
      </c>
      <c r="K775" t="str">
        <f t="shared" si="16"/>
        <v>ED2603-05-TO-KB-asana-March-JA Batch-3</v>
      </c>
    </row>
    <row r="776" spans="1:11">
      <c r="A776">
        <v>775</v>
      </c>
      <c r="B776" t="s">
        <v>16</v>
      </c>
      <c r="C776">
        <v>2603</v>
      </c>
      <c r="D776" s="300" t="s">
        <v>641</v>
      </c>
      <c r="E776" t="s">
        <v>114</v>
      </c>
      <c r="F776" t="s">
        <v>534</v>
      </c>
      <c r="G776" s="306" t="s">
        <v>642</v>
      </c>
      <c r="H776" t="s">
        <v>14</v>
      </c>
      <c r="K776" t="str">
        <f t="shared" si="16"/>
        <v>ED2603-06-TO-KB-asana-Group Ownership of Accounts (Beta)-JA</v>
      </c>
    </row>
    <row r="777" spans="1:11">
      <c r="A777">
        <v>776</v>
      </c>
      <c r="B777" t="s">
        <v>16</v>
      </c>
      <c r="C777">
        <v>2603</v>
      </c>
      <c r="D777" s="300" t="s">
        <v>610</v>
      </c>
      <c r="E777" t="s">
        <v>114</v>
      </c>
      <c r="F777" t="s">
        <v>534</v>
      </c>
      <c r="G777" t="s">
        <v>643</v>
      </c>
      <c r="H777" t="s">
        <v>14</v>
      </c>
      <c r="K777" t="str">
        <f t="shared" si="16"/>
        <v>ED2603-11-TO-KB-asana-System Roles Reference-JA</v>
      </c>
    </row>
    <row r="778" spans="1:11">
      <c r="A778">
        <v>777</v>
      </c>
      <c r="B778" t="s">
        <v>16</v>
      </c>
      <c r="C778">
        <v>2603</v>
      </c>
      <c r="D778" s="300" t="s">
        <v>610</v>
      </c>
      <c r="E778" t="s">
        <v>114</v>
      </c>
      <c r="F778" t="s">
        <v>534</v>
      </c>
      <c r="G778" t="s">
        <v>491</v>
      </c>
      <c r="H778" t="s">
        <v>14</v>
      </c>
      <c r="I778" t="s">
        <v>335</v>
      </c>
      <c r="K778" t="str">
        <f t="shared" si="16"/>
        <v>ED2603-11-TO-KB-asana-March-JA Batch-4</v>
      </c>
    </row>
    <row r="779" spans="1:11">
      <c r="A779">
        <v>778</v>
      </c>
      <c r="B779" t="s">
        <v>16</v>
      </c>
      <c r="C779">
        <v>2603</v>
      </c>
      <c r="D779" s="300" t="s">
        <v>610</v>
      </c>
      <c r="E779" t="s">
        <v>114</v>
      </c>
      <c r="F779" t="s">
        <v>534</v>
      </c>
      <c r="G779" s="306" t="s">
        <v>644</v>
      </c>
      <c r="H779" t="s">
        <v>14</v>
      </c>
      <c r="K779" t="str">
        <f t="shared" si="16"/>
        <v>ED2603-11-TO-KB-asana-Inline Editing | User Guide-JA</v>
      </c>
    </row>
    <row r="780" spans="1:11">
      <c r="A780">
        <v>779</v>
      </c>
      <c r="B780" t="s">
        <v>16</v>
      </c>
      <c r="C780">
        <v>2603</v>
      </c>
      <c r="D780" s="300" t="s">
        <v>610</v>
      </c>
      <c r="E780" t="s">
        <v>114</v>
      </c>
      <c r="F780" t="s">
        <v>534</v>
      </c>
      <c r="G780" t="s">
        <v>491</v>
      </c>
      <c r="H780" t="s">
        <v>14</v>
      </c>
      <c r="I780" t="s">
        <v>379</v>
      </c>
      <c r="K780" t="str">
        <f t="shared" si="16"/>
        <v>ED2603-11-TO-KB-asana-March-JA Batch-5</v>
      </c>
    </row>
    <row r="781" spans="1:11">
      <c r="A781">
        <v>780</v>
      </c>
      <c r="B781" t="s">
        <v>16</v>
      </c>
      <c r="C781">
        <v>2603</v>
      </c>
      <c r="D781" s="300" t="s">
        <v>560</v>
      </c>
      <c r="E781" t="s">
        <v>152</v>
      </c>
      <c r="G781" s="306" t="s">
        <v>643</v>
      </c>
      <c r="H781" t="s">
        <v>14</v>
      </c>
      <c r="I781" t="s">
        <v>278</v>
      </c>
      <c r="K781" t="str">
        <f t="shared" si="16"/>
        <v>ED2603-19-MH--System Roles Reference-JA Update</v>
      </c>
    </row>
    <row r="782" spans="1:11">
      <c r="A782">
        <v>781</v>
      </c>
      <c r="B782" t="s">
        <v>16</v>
      </c>
      <c r="C782">
        <v>2603</v>
      </c>
      <c r="D782" s="300" t="s">
        <v>560</v>
      </c>
      <c r="E782" t="s">
        <v>114</v>
      </c>
      <c r="F782" t="s">
        <v>17</v>
      </c>
      <c r="G782" s="306" t="s">
        <v>559</v>
      </c>
      <c r="H782" t="s">
        <v>14</v>
      </c>
      <c r="K782" t="str">
        <f t="shared" si="16"/>
        <v>ED2603-19-TO-KB-Publish Content to a Subscriber Instance-JA</v>
      </c>
    </row>
    <row r="783" spans="1:11">
      <c r="A783">
        <v>782</v>
      </c>
      <c r="B783" t="s">
        <v>16</v>
      </c>
      <c r="C783">
        <v>2603</v>
      </c>
      <c r="D783" s="300" t="s">
        <v>560</v>
      </c>
      <c r="E783" t="s">
        <v>114</v>
      </c>
      <c r="F783" t="s">
        <v>17</v>
      </c>
      <c r="G783" t="s">
        <v>491</v>
      </c>
      <c r="H783" t="s">
        <v>14</v>
      </c>
      <c r="I783" t="s">
        <v>278</v>
      </c>
      <c r="K783" t="str">
        <f>B783&amp;C783&amp;"-"&amp;D783&amp;"-"&amp;E783&amp;"-"&amp;F783&amp;"-"&amp;G783&amp;"-"&amp;H783&amp;I783</f>
        <v>ED2603-19-TO-KB-March-JA Update</v>
      </c>
    </row>
    <row r="784" spans="1:11">
      <c r="A784">
        <v>783</v>
      </c>
      <c r="B784" t="s">
        <v>16</v>
      </c>
      <c r="C784">
        <v>2603</v>
      </c>
      <c r="D784" s="300" t="s">
        <v>560</v>
      </c>
      <c r="E784" t="s">
        <v>114</v>
      </c>
      <c r="F784" t="s">
        <v>247</v>
      </c>
      <c r="G784" s="306" t="s">
        <v>645</v>
      </c>
      <c r="H784" t="s">
        <v>14</v>
      </c>
      <c r="K784" t="str">
        <f>B784&amp;C784&amp;"-"&amp;D784&amp;"-"&amp;E784&amp;"-"&amp;F784&amp;"-"&amp;G784&amp;"-"&amp;H784&amp;I784</f>
        <v>ED2603-19-TO-KB-Support-Microsoft SharePoint Online REST Connector-JA</v>
      </c>
    </row>
    <row r="785" spans="1:11">
      <c r="A785">
        <v>784</v>
      </c>
      <c r="B785" t="s">
        <v>16</v>
      </c>
      <c r="C785">
        <v>2603</v>
      </c>
      <c r="D785" s="300" t="s">
        <v>592</v>
      </c>
      <c r="E785" t="s">
        <v>114</v>
      </c>
      <c r="F785" t="s">
        <v>632</v>
      </c>
      <c r="G785" t="s">
        <v>646</v>
      </c>
      <c r="H785" t="s">
        <v>14</v>
      </c>
      <c r="I785" t="s">
        <v>315</v>
      </c>
      <c r="K785" t="str">
        <f t="shared" si="16"/>
        <v>ED2603-24-TO-KB-Release- March 2025 release-JA New</v>
      </c>
    </row>
    <row r="786" spans="1:11">
      <c r="A786">
        <v>785</v>
      </c>
      <c r="B786" t="s">
        <v>16</v>
      </c>
      <c r="C786">
        <v>2603</v>
      </c>
      <c r="D786" s="300" t="s">
        <v>592</v>
      </c>
      <c r="E786" t="s">
        <v>114</v>
      </c>
      <c r="F786" t="s">
        <v>632</v>
      </c>
      <c r="G786" t="s">
        <v>646</v>
      </c>
      <c r="H786" t="s">
        <v>14</v>
      </c>
      <c r="I786" t="s">
        <v>284</v>
      </c>
      <c r="K786" t="str">
        <f t="shared" si="16"/>
        <v>ED2603-24-TO-KB-Release- March 2025 release-JA Update Batch-1</v>
      </c>
    </row>
    <row r="787" spans="1:11">
      <c r="A787">
        <v>786</v>
      </c>
      <c r="B787" t="s">
        <v>16</v>
      </c>
      <c r="C787">
        <v>2603</v>
      </c>
      <c r="D787" s="300" t="s">
        <v>592</v>
      </c>
      <c r="E787" t="s">
        <v>114</v>
      </c>
      <c r="F787" t="s">
        <v>632</v>
      </c>
      <c r="G787" t="s">
        <v>646</v>
      </c>
      <c r="H787" t="s">
        <v>14</v>
      </c>
      <c r="I787" t="s">
        <v>647</v>
      </c>
      <c r="K787" t="str">
        <f t="shared" si="16"/>
        <v>ED2603-24-TO-KB-Release- March 2025 release-JA Update Batch-2</v>
      </c>
    </row>
    <row r="788" spans="1:11">
      <c r="A788">
        <v>787</v>
      </c>
      <c r="B788" t="s">
        <v>16</v>
      </c>
      <c r="C788">
        <v>2603</v>
      </c>
      <c r="D788" s="300" t="s">
        <v>592</v>
      </c>
      <c r="E788" t="s">
        <v>114</v>
      </c>
      <c r="F788" t="s">
        <v>632</v>
      </c>
      <c r="G788" t="s">
        <v>646</v>
      </c>
      <c r="H788" t="s">
        <v>14</v>
      </c>
      <c r="I788" t="s">
        <v>648</v>
      </c>
      <c r="K788" t="str">
        <f t="shared" si="16"/>
        <v>ED2603-24-TO-KB-Release- March 2025 release-JA Update Batch-3</v>
      </c>
    </row>
    <row r="789" spans="1:11">
      <c r="A789">
        <v>788</v>
      </c>
      <c r="B789" t="s">
        <v>16</v>
      </c>
      <c r="C789">
        <v>2603</v>
      </c>
      <c r="D789" s="300" t="s">
        <v>592</v>
      </c>
      <c r="E789" t="s">
        <v>114</v>
      </c>
      <c r="F789" t="s">
        <v>632</v>
      </c>
      <c r="G789" t="s">
        <v>646</v>
      </c>
      <c r="H789" t="s">
        <v>14</v>
      </c>
      <c r="I789" t="s">
        <v>649</v>
      </c>
      <c r="K789" t="str">
        <f t="shared" si="16"/>
        <v>ED2603-24-TO-KB-Release- March 2025 release-JA Update Batch-4</v>
      </c>
    </row>
    <row r="790" spans="1:11">
      <c r="A790">
        <v>789</v>
      </c>
      <c r="B790" t="s">
        <v>16</v>
      </c>
      <c r="C790">
        <v>2603</v>
      </c>
      <c r="D790" s="300" t="s">
        <v>650</v>
      </c>
      <c r="E790" t="s">
        <v>114</v>
      </c>
      <c r="F790" t="s">
        <v>17</v>
      </c>
      <c r="G790" t="s">
        <v>651</v>
      </c>
      <c r="H790" t="s">
        <v>14</v>
      </c>
      <c r="K790" t="str">
        <f t="shared" si="16"/>
        <v>ED2603-25-TO-KB-March - Republished-JA</v>
      </c>
    </row>
    <row r="791" spans="1:11">
      <c r="A791">
        <v>790</v>
      </c>
      <c r="B791" t="s">
        <v>16</v>
      </c>
      <c r="C791">
        <v>2603</v>
      </c>
      <c r="D791" s="300" t="s">
        <v>650</v>
      </c>
      <c r="E791" t="s">
        <v>114</v>
      </c>
      <c r="F791" t="s">
        <v>17</v>
      </c>
      <c r="G791" t="s">
        <v>651</v>
      </c>
      <c r="H791" t="s">
        <v>14</v>
      </c>
      <c r="I791" t="s">
        <v>310</v>
      </c>
      <c r="K791" t="str">
        <f t="shared" si="16"/>
        <v>ED2603-25-TO-KB-March - Republished-JA Batch-2</v>
      </c>
    </row>
    <row r="792" spans="1:11">
      <c r="A792">
        <v>791</v>
      </c>
      <c r="B792" t="s">
        <v>16</v>
      </c>
      <c r="C792">
        <v>2604</v>
      </c>
      <c r="D792" s="300" t="s">
        <v>5180</v>
      </c>
      <c r="E792" t="s">
        <v>114</v>
      </c>
      <c r="F792" t="s">
        <v>247</v>
      </c>
      <c r="G792" t="s">
        <v>5179</v>
      </c>
      <c r="H792" t="s">
        <v>14</v>
      </c>
      <c r="K792" t="str">
        <f t="shared" si="16"/>
        <v>ED2604-07-TO-KB-Support-Adding a Microsoft Sharepoint Online Rest OAuth Config-JA</v>
      </c>
    </row>
    <row r="793" spans="1:11">
      <c r="A793">
        <v>792</v>
      </c>
      <c r="B793" t="s">
        <v>16</v>
      </c>
      <c r="C793">
        <v>2604</v>
      </c>
      <c r="D793" s="300" t="s">
        <v>5182</v>
      </c>
      <c r="E793" t="s">
        <v>114</v>
      </c>
      <c r="F793" t="s">
        <v>534</v>
      </c>
      <c r="G793" s="306" t="s">
        <v>4086</v>
      </c>
      <c r="H793" t="s">
        <v>14</v>
      </c>
      <c r="K793" t="str">
        <f t="shared" si="16"/>
        <v>ED2604-09-TO-KB-asana-Use AI Chat-JA</v>
      </c>
    </row>
    <row r="794" spans="1:11">
      <c r="A794">
        <v>793</v>
      </c>
      <c r="B794" t="s">
        <v>16</v>
      </c>
      <c r="C794">
        <v>2604</v>
      </c>
      <c r="D794" s="300" t="s">
        <v>5193</v>
      </c>
      <c r="E794" t="s">
        <v>114</v>
      </c>
      <c r="F794" t="s">
        <v>534</v>
      </c>
      <c r="G794" t="s">
        <v>5192</v>
      </c>
      <c r="H794" t="s">
        <v>14</v>
      </c>
      <c r="K794" t="str">
        <f t="shared" si="16"/>
        <v>ED2604-10-TO-KB-asana-Certify Cards and DataSets-JA</v>
      </c>
    </row>
    <row r="795" spans="1:11">
      <c r="A795">
        <v>794</v>
      </c>
      <c r="B795" t="s">
        <v>16</v>
      </c>
      <c r="C795">
        <v>2604</v>
      </c>
      <c r="D795" s="300" t="s">
        <v>581</v>
      </c>
      <c r="E795" t="s">
        <v>152</v>
      </c>
      <c r="F795" t="s">
        <v>17</v>
      </c>
      <c r="G795" s="306" t="s">
        <v>4086</v>
      </c>
      <c r="H795" t="s">
        <v>14</v>
      </c>
      <c r="K795" t="str">
        <f t="shared" si="16"/>
        <v>ED2604-10-MH-KB-Use AI Chat-JA</v>
      </c>
    </row>
    <row r="796" spans="1:11">
      <c r="A796">
        <v>795</v>
      </c>
      <c r="B796" t="s">
        <v>16</v>
      </c>
      <c r="C796">
        <v>2604</v>
      </c>
      <c r="D796" s="300" t="s">
        <v>581</v>
      </c>
      <c r="E796" t="s">
        <v>152</v>
      </c>
      <c r="F796" t="s">
        <v>17</v>
      </c>
      <c r="G796" s="306" t="s">
        <v>4086</v>
      </c>
      <c r="H796" t="s">
        <v>14</v>
      </c>
      <c r="I796" t="s">
        <v>278</v>
      </c>
      <c r="K796" t="str">
        <f t="shared" si="16"/>
        <v>ED2604-10-MH-KB-Use AI Chat-JA Update</v>
      </c>
    </row>
    <row r="797" spans="1:11">
      <c r="A797">
        <v>796</v>
      </c>
      <c r="B797" t="s">
        <v>16</v>
      </c>
      <c r="C797">
        <v>2604</v>
      </c>
      <c r="D797" s="300" t="s">
        <v>5193</v>
      </c>
      <c r="E797" t="s">
        <v>114</v>
      </c>
      <c r="F797" t="s">
        <v>534</v>
      </c>
      <c r="G797" s="306" t="s">
        <v>5198</v>
      </c>
      <c r="H797" t="s">
        <v>14</v>
      </c>
      <c r="K797" t="str">
        <f t="shared" si="16"/>
        <v>ED2604-10-TO-KB-asana-Use Instance Templates-JA</v>
      </c>
    </row>
    <row r="798" spans="1:11">
      <c r="A798">
        <v>797</v>
      </c>
      <c r="B798" t="s">
        <v>16</v>
      </c>
      <c r="C798">
        <v>2604</v>
      </c>
      <c r="D798" s="300" t="s">
        <v>5204</v>
      </c>
      <c r="E798" t="s">
        <v>152</v>
      </c>
      <c r="F798" t="s">
        <v>17</v>
      </c>
      <c r="G798" s="306" t="s">
        <v>4338</v>
      </c>
      <c r="H798" t="s">
        <v>14</v>
      </c>
      <c r="I798" t="s">
        <v>305</v>
      </c>
      <c r="K798" t="str">
        <f t="shared" si="16"/>
        <v>ED2604-15-MH-KB-White Papers-JA Bugfix</v>
      </c>
    </row>
    <row r="799" spans="1:11">
      <c r="A799">
        <v>798</v>
      </c>
      <c r="B799" t="s">
        <v>16</v>
      </c>
      <c r="C799">
        <v>2604</v>
      </c>
      <c r="D799" s="300" t="s">
        <v>5207</v>
      </c>
      <c r="E799" t="s">
        <v>114</v>
      </c>
      <c r="F799" t="s">
        <v>50</v>
      </c>
      <c r="G799" s="306" t="s">
        <v>5206</v>
      </c>
      <c r="H799" t="s">
        <v>14</v>
      </c>
      <c r="K799" t="str">
        <f t="shared" si="16"/>
        <v>ED2604-16-TO-Movie-Domo training 2025 April-JA</v>
      </c>
    </row>
    <row r="800" spans="1:11">
      <c r="A800">
        <v>799</v>
      </c>
      <c r="B800" t="s">
        <v>16</v>
      </c>
      <c r="C800">
        <v>2604</v>
      </c>
      <c r="D800" s="300" t="s">
        <v>552</v>
      </c>
      <c r="E800" t="s">
        <v>114</v>
      </c>
      <c r="F800" t="s">
        <v>17</v>
      </c>
      <c r="G800" s="306" t="s">
        <v>5210</v>
      </c>
      <c r="H800" t="s">
        <v>14</v>
      </c>
      <c r="I800" t="s">
        <v>5211</v>
      </c>
      <c r="K800" t="str">
        <f t="shared" si="16"/>
        <v>ED2604-17-TO-KB-April-JA Batch-1</v>
      </c>
    </row>
    <row r="801" spans="1:11">
      <c r="A801">
        <v>800</v>
      </c>
      <c r="B801" t="s">
        <v>16</v>
      </c>
      <c r="C801">
        <v>2604</v>
      </c>
      <c r="D801" s="300" t="s">
        <v>552</v>
      </c>
      <c r="E801" t="s">
        <v>114</v>
      </c>
      <c r="F801" t="s">
        <v>534</v>
      </c>
      <c r="G801" s="306" t="s">
        <v>5210</v>
      </c>
      <c r="H801" t="s">
        <v>14</v>
      </c>
      <c r="I801" t="s">
        <v>5211</v>
      </c>
      <c r="K801" t="str">
        <f t="shared" si="16"/>
        <v>ED2604-17-TO-KB-asana-April-JA Batch-1</v>
      </c>
    </row>
    <row r="802" spans="1:11">
      <c r="A802">
        <v>801</v>
      </c>
      <c r="B802" t="s">
        <v>16</v>
      </c>
      <c r="C802">
        <v>2604</v>
      </c>
      <c r="D802" s="300" t="s">
        <v>552</v>
      </c>
      <c r="E802" t="s">
        <v>114</v>
      </c>
      <c r="F802" t="s">
        <v>17</v>
      </c>
      <c r="G802" s="306" t="s">
        <v>5210</v>
      </c>
      <c r="H802" t="s">
        <v>14</v>
      </c>
      <c r="I802" t="s">
        <v>5216</v>
      </c>
      <c r="K802" t="str">
        <f t="shared" si="16"/>
        <v>ED2604-17-TO-KB-April-JA Batch-2</v>
      </c>
    </row>
    <row r="803" spans="1:11">
      <c r="A803">
        <v>802</v>
      </c>
      <c r="B803" t="s">
        <v>16</v>
      </c>
      <c r="C803">
        <v>2604</v>
      </c>
      <c r="D803" s="300" t="s">
        <v>552</v>
      </c>
      <c r="E803" t="s">
        <v>114</v>
      </c>
      <c r="F803" t="s">
        <v>17</v>
      </c>
      <c r="G803" s="306" t="s">
        <v>5210</v>
      </c>
      <c r="H803" t="s">
        <v>14</v>
      </c>
      <c r="I803" t="s">
        <v>332</v>
      </c>
      <c r="K803" t="str">
        <f t="shared" si="16"/>
        <v>ED2604-17-TO-KB-April-JA Batch-3</v>
      </c>
    </row>
    <row r="804" spans="1:11" ht="36">
      <c r="A804">
        <v>803</v>
      </c>
      <c r="B804" t="s">
        <v>16</v>
      </c>
      <c r="C804">
        <v>2604</v>
      </c>
      <c r="D804" s="300" t="s">
        <v>552</v>
      </c>
      <c r="E804" t="s">
        <v>114</v>
      </c>
      <c r="F804" t="s">
        <v>17</v>
      </c>
      <c r="G804" s="306" t="s">
        <v>4155</v>
      </c>
      <c r="H804" t="s">
        <v>14</v>
      </c>
      <c r="I804" t="s">
        <v>305</v>
      </c>
      <c r="K804" t="str">
        <f t="shared" si="16"/>
        <v>ED2604-17-TO-KB-Adding a Microsoft Sharepoint Online Rest OAuth Config-JA Bugfix</v>
      </c>
    </row>
    <row r="805" spans="1:11">
      <c r="A805">
        <v>804</v>
      </c>
      <c r="B805" t="s">
        <v>16</v>
      </c>
      <c r="C805">
        <v>2604</v>
      </c>
      <c r="D805" s="300" t="s">
        <v>552</v>
      </c>
      <c r="E805" t="s">
        <v>114</v>
      </c>
      <c r="F805" t="s">
        <v>17</v>
      </c>
      <c r="G805" s="306" t="s">
        <v>5210</v>
      </c>
      <c r="H805" t="s">
        <v>14</v>
      </c>
      <c r="I805" t="s">
        <v>5230</v>
      </c>
      <c r="K805" t="str">
        <f t="shared" si="16"/>
        <v>ED2604-17-TO-KB-April-JA Batch-4</v>
      </c>
    </row>
    <row r="806" spans="1:11">
      <c r="A806">
        <v>805</v>
      </c>
      <c r="B806" t="s">
        <v>16</v>
      </c>
      <c r="C806">
        <v>2604</v>
      </c>
      <c r="D806" s="300" t="s">
        <v>552</v>
      </c>
      <c r="E806" t="s">
        <v>114</v>
      </c>
      <c r="F806" t="s">
        <v>17</v>
      </c>
      <c r="G806" s="306" t="s">
        <v>5210</v>
      </c>
      <c r="H806" t="s">
        <v>14</v>
      </c>
      <c r="I806" t="s">
        <v>336</v>
      </c>
      <c r="K806" t="str">
        <f t="shared" si="16"/>
        <v>ED2604-17-TO-KB-April-JA Batch-5</v>
      </c>
    </row>
    <row r="807" spans="1:11">
      <c r="A807">
        <v>806</v>
      </c>
      <c r="B807" t="s">
        <v>16</v>
      </c>
      <c r="C807">
        <v>2604</v>
      </c>
      <c r="D807" s="300" t="s">
        <v>552</v>
      </c>
      <c r="E807" t="s">
        <v>114</v>
      </c>
      <c r="F807" t="s">
        <v>17</v>
      </c>
      <c r="G807" s="306" t="s">
        <v>5210</v>
      </c>
      <c r="H807" t="s">
        <v>14</v>
      </c>
      <c r="I807" t="s">
        <v>404</v>
      </c>
      <c r="K807" t="str">
        <f t="shared" si="16"/>
        <v>ED2604-17-TO-KB-April-JA Batch-6</v>
      </c>
    </row>
    <row r="808" spans="1:11">
      <c r="A808">
        <v>807</v>
      </c>
      <c r="B808" t="s">
        <v>16</v>
      </c>
      <c r="C808">
        <v>2604</v>
      </c>
      <c r="D808" s="300" t="s">
        <v>552</v>
      </c>
      <c r="E808" t="s">
        <v>114</v>
      </c>
      <c r="F808" t="s">
        <v>17</v>
      </c>
      <c r="G808" s="306" t="s">
        <v>5210</v>
      </c>
      <c r="H808" t="s">
        <v>14</v>
      </c>
      <c r="I808" t="s">
        <v>341</v>
      </c>
      <c r="K808" t="str">
        <f t="shared" si="16"/>
        <v>ED2604-17-TO-KB-April-JA Batch-7</v>
      </c>
    </row>
    <row r="809" spans="1:11">
      <c r="A809">
        <v>808</v>
      </c>
      <c r="B809" t="s">
        <v>16</v>
      </c>
      <c r="C809">
        <v>2604</v>
      </c>
      <c r="D809" s="300" t="s">
        <v>611</v>
      </c>
      <c r="E809" t="s">
        <v>114</v>
      </c>
      <c r="F809" t="s">
        <v>534</v>
      </c>
      <c r="G809" s="306" t="s">
        <v>495</v>
      </c>
      <c r="H809" t="s">
        <v>14</v>
      </c>
      <c r="I809" t="s">
        <v>310</v>
      </c>
      <c r="K809" t="str">
        <f t="shared" si="16"/>
        <v>ED2604-21-TO-KB-asana-April-JA Batch-2</v>
      </c>
    </row>
    <row r="810" spans="1:11">
      <c r="A810">
        <v>809</v>
      </c>
      <c r="B810" t="s">
        <v>16</v>
      </c>
      <c r="C810">
        <v>2604</v>
      </c>
      <c r="D810" s="300" t="s">
        <v>585</v>
      </c>
      <c r="E810" t="s">
        <v>114</v>
      </c>
      <c r="F810" t="s">
        <v>247</v>
      </c>
      <c r="G810" t="s">
        <v>5278</v>
      </c>
      <c r="H810" t="s">
        <v>14</v>
      </c>
      <c r="K810" t="str">
        <f t="shared" si="16"/>
        <v>ED2604-22-TO-KB-Support-Routing, Creation, and Mapping-JA</v>
      </c>
    </row>
    <row r="811" spans="1:11">
      <c r="A811">
        <v>810</v>
      </c>
      <c r="B811" t="s">
        <v>16</v>
      </c>
      <c r="C811">
        <v>2604</v>
      </c>
      <c r="D811" s="300" t="s">
        <v>585</v>
      </c>
      <c r="E811" t="s">
        <v>114</v>
      </c>
      <c r="F811" t="s">
        <v>534</v>
      </c>
      <c r="G811" s="306" t="s">
        <v>495</v>
      </c>
      <c r="H811" t="s">
        <v>14</v>
      </c>
      <c r="I811" t="s">
        <v>489</v>
      </c>
      <c r="K811" t="str">
        <f t="shared" si="16"/>
        <v>ED2604-22-TO-KB-asana-April-JA Batch-3</v>
      </c>
    </row>
    <row r="812" spans="1:11">
      <c r="A812">
        <v>811</v>
      </c>
      <c r="B812" t="s">
        <v>16</v>
      </c>
      <c r="C812">
        <v>2604</v>
      </c>
      <c r="D812" s="300" t="s">
        <v>587</v>
      </c>
      <c r="E812" t="s">
        <v>114</v>
      </c>
      <c r="F812" t="s">
        <v>247</v>
      </c>
      <c r="G812" t="s">
        <v>317</v>
      </c>
      <c r="H812" t="s">
        <v>14</v>
      </c>
      <c r="K812" t="str">
        <f t="shared" si="16"/>
        <v>ED2604-23-TO-KB-Support-Custom Charts-JA</v>
      </c>
    </row>
    <row r="813" spans="1:11">
      <c r="A813">
        <v>812</v>
      </c>
      <c r="B813" t="s">
        <v>16</v>
      </c>
      <c r="C813">
        <v>2604</v>
      </c>
      <c r="D813" s="300" t="s">
        <v>587</v>
      </c>
      <c r="E813" t="s">
        <v>114</v>
      </c>
      <c r="F813" t="s">
        <v>534</v>
      </c>
      <c r="G813" t="s">
        <v>5292</v>
      </c>
      <c r="H813" t="s">
        <v>14</v>
      </c>
      <c r="K813" t="str">
        <f t="shared" si="16"/>
        <v>ED2604-23-TO-KB-asana-AI-JA</v>
      </c>
    </row>
    <row r="814" spans="1:11">
      <c r="A814">
        <v>813</v>
      </c>
      <c r="B814" t="s">
        <v>16</v>
      </c>
      <c r="C814">
        <v>2604</v>
      </c>
      <c r="D814" s="300" t="s">
        <v>587</v>
      </c>
      <c r="E814" t="s">
        <v>114</v>
      </c>
      <c r="F814" t="s">
        <v>534</v>
      </c>
      <c r="G814" s="306" t="s">
        <v>614</v>
      </c>
      <c r="H814" t="s">
        <v>14</v>
      </c>
      <c r="K814" t="str">
        <f t="shared" si="16"/>
        <v>ED2604-23-TO-KB-asana-Scheduled Reports Overview-JA</v>
      </c>
    </row>
    <row r="815" spans="1:11">
      <c r="A815">
        <v>814</v>
      </c>
      <c r="B815" t="s">
        <v>16</v>
      </c>
      <c r="C815">
        <v>2604</v>
      </c>
      <c r="D815" s="300" t="s">
        <v>587</v>
      </c>
      <c r="E815" t="s">
        <v>114</v>
      </c>
      <c r="F815" t="s">
        <v>534</v>
      </c>
      <c r="G815" t="s">
        <v>5301</v>
      </c>
      <c r="H815" t="s">
        <v>14</v>
      </c>
      <c r="K815" t="str">
        <f t="shared" si="16"/>
        <v>ED2604-23-TO-KB-asana-Snowflake Key Pair Authentication Connector-JA</v>
      </c>
    </row>
    <row r="816" spans="1:11">
      <c r="A816">
        <v>815</v>
      </c>
      <c r="B816" t="s">
        <v>16</v>
      </c>
      <c r="C816">
        <v>2605</v>
      </c>
      <c r="D816" s="300" t="s">
        <v>601</v>
      </c>
      <c r="E816" t="s">
        <v>114</v>
      </c>
      <c r="F816" t="s">
        <v>17</v>
      </c>
      <c r="G816" t="s">
        <v>5337</v>
      </c>
      <c r="H816" t="s">
        <v>14</v>
      </c>
      <c r="I816" t="s">
        <v>5338</v>
      </c>
      <c r="K816" t="str">
        <f t="shared" si="16"/>
        <v>ED2605-20-TO-KB-May-JA Batch-1</v>
      </c>
    </row>
    <row r="817" spans="1:11">
      <c r="A817">
        <v>816</v>
      </c>
      <c r="B817" t="s">
        <v>16</v>
      </c>
      <c r="C817">
        <v>2605</v>
      </c>
      <c r="D817" s="300" t="s">
        <v>601</v>
      </c>
      <c r="E817" t="s">
        <v>114</v>
      </c>
      <c r="F817" t="s">
        <v>17</v>
      </c>
      <c r="G817" t="s">
        <v>499</v>
      </c>
      <c r="H817" t="s">
        <v>14</v>
      </c>
      <c r="I817" t="s">
        <v>363</v>
      </c>
      <c r="K817" t="str">
        <f t="shared" si="16"/>
        <v>ED2605-20-TO-KB-May-JA Batch-2</v>
      </c>
    </row>
    <row r="818" spans="1:11">
      <c r="A818">
        <v>817</v>
      </c>
      <c r="B818" t="s">
        <v>16</v>
      </c>
      <c r="C818">
        <v>2605</v>
      </c>
      <c r="D818" s="300" t="s">
        <v>601</v>
      </c>
      <c r="E818" t="s">
        <v>114</v>
      </c>
      <c r="F818" t="s">
        <v>17</v>
      </c>
      <c r="G818" t="s">
        <v>499</v>
      </c>
      <c r="H818" t="s">
        <v>14</v>
      </c>
      <c r="I818" t="s">
        <v>332</v>
      </c>
      <c r="K818" t="str">
        <f t="shared" si="16"/>
        <v>ED2605-20-TO-KB-May-JA Batch-3</v>
      </c>
    </row>
    <row r="819" spans="1:11">
      <c r="A819">
        <v>818</v>
      </c>
      <c r="B819" t="s">
        <v>16</v>
      </c>
      <c r="C819">
        <v>2605</v>
      </c>
      <c r="D819" s="300" t="s">
        <v>601</v>
      </c>
      <c r="E819" t="s">
        <v>114</v>
      </c>
      <c r="F819" t="s">
        <v>17</v>
      </c>
      <c r="G819" t="s">
        <v>499</v>
      </c>
      <c r="H819" t="s">
        <v>14</v>
      </c>
      <c r="I819" t="s">
        <v>364</v>
      </c>
      <c r="K819" t="str">
        <f t="shared" si="16"/>
        <v>ED2605-20-TO-KB-May-JA Batch-4</v>
      </c>
    </row>
    <row r="820" spans="1:11">
      <c r="A820">
        <v>819</v>
      </c>
      <c r="B820" t="s">
        <v>16</v>
      </c>
      <c r="C820">
        <v>2605</v>
      </c>
      <c r="D820" s="300" t="s">
        <v>601</v>
      </c>
      <c r="E820" t="s">
        <v>114</v>
      </c>
      <c r="F820" t="s">
        <v>17</v>
      </c>
      <c r="G820" t="s">
        <v>499</v>
      </c>
      <c r="H820" t="s">
        <v>14</v>
      </c>
      <c r="I820" t="s">
        <v>336</v>
      </c>
      <c r="K820" t="str">
        <f t="shared" si="16"/>
        <v>ED2605-20-TO-KB-May-JA Batch-5</v>
      </c>
    </row>
    <row r="821" spans="1:11">
      <c r="A821">
        <v>820</v>
      </c>
      <c r="B821" t="s">
        <v>16</v>
      </c>
      <c r="C821">
        <v>2605</v>
      </c>
      <c r="D821" s="300" t="s">
        <v>601</v>
      </c>
      <c r="E821" t="s">
        <v>114</v>
      </c>
      <c r="F821" t="s">
        <v>17</v>
      </c>
      <c r="G821" t="s">
        <v>499</v>
      </c>
      <c r="H821" t="s">
        <v>14</v>
      </c>
      <c r="I821" t="s">
        <v>404</v>
      </c>
      <c r="K821" t="str">
        <f t="shared" si="16"/>
        <v>ED2605-20-TO-KB-May-JA Batch-6</v>
      </c>
    </row>
    <row r="822" spans="1:11">
      <c r="A822">
        <v>821</v>
      </c>
      <c r="B822" t="s">
        <v>16</v>
      </c>
      <c r="C822">
        <v>2605</v>
      </c>
      <c r="D822" s="300" t="s">
        <v>601</v>
      </c>
      <c r="E822" t="s">
        <v>114</v>
      </c>
      <c r="F822" t="s">
        <v>17</v>
      </c>
      <c r="G822" t="s">
        <v>499</v>
      </c>
      <c r="H822" t="s">
        <v>14</v>
      </c>
      <c r="I822" t="s">
        <v>341</v>
      </c>
      <c r="K822" t="str">
        <f t="shared" si="16"/>
        <v>ED2605-20-TO-KB-May-JA Batch-7</v>
      </c>
    </row>
    <row r="823" spans="1:11">
      <c r="A823">
        <v>822</v>
      </c>
      <c r="B823" t="s">
        <v>16</v>
      </c>
      <c r="C823">
        <v>2605</v>
      </c>
      <c r="D823" s="300" t="s">
        <v>611</v>
      </c>
      <c r="E823" t="s">
        <v>114</v>
      </c>
      <c r="F823" t="s">
        <v>17</v>
      </c>
      <c r="G823" t="s">
        <v>499</v>
      </c>
      <c r="H823" t="s">
        <v>14</v>
      </c>
      <c r="I823" t="s">
        <v>405</v>
      </c>
      <c r="K823" t="str">
        <f t="shared" si="16"/>
        <v>ED2605-21-TO-KB-May-JA Batch-8</v>
      </c>
    </row>
    <row r="824" spans="1:11">
      <c r="A824">
        <v>823</v>
      </c>
      <c r="B824" t="s">
        <v>16</v>
      </c>
      <c r="C824">
        <v>2605</v>
      </c>
      <c r="D824" s="300" t="s">
        <v>611</v>
      </c>
      <c r="E824" t="s">
        <v>114</v>
      </c>
      <c r="F824" t="s">
        <v>17</v>
      </c>
      <c r="G824" t="s">
        <v>499</v>
      </c>
      <c r="H824" t="s">
        <v>14</v>
      </c>
      <c r="I824" t="s">
        <v>406</v>
      </c>
      <c r="K824" t="str">
        <f t="shared" si="16"/>
        <v>ED2605-21-TO-KB-May-JA Batch-9</v>
      </c>
    </row>
    <row r="825" spans="1:11">
      <c r="A825">
        <v>824</v>
      </c>
      <c r="B825" t="s">
        <v>16</v>
      </c>
      <c r="C825">
        <v>2605</v>
      </c>
      <c r="D825" s="300" t="s">
        <v>636</v>
      </c>
      <c r="E825" t="s">
        <v>114</v>
      </c>
      <c r="F825" t="s">
        <v>17</v>
      </c>
      <c r="G825" t="s">
        <v>499</v>
      </c>
      <c r="H825" t="s">
        <v>14</v>
      </c>
      <c r="I825" t="s">
        <v>5375</v>
      </c>
      <c r="K825" t="str">
        <f t="shared" ref="K825:K887" si="17">B825&amp;C825&amp;"-"&amp;D825&amp;"-"&amp;E825&amp;"-"&amp;F825&amp;"-"&amp;G825&amp;"-"&amp;H825&amp;I825</f>
        <v>ED2605-27-TO-KB-May-JA Batch-10</v>
      </c>
    </row>
    <row r="826" spans="1:11">
      <c r="A826">
        <v>825</v>
      </c>
      <c r="B826" t="s">
        <v>16</v>
      </c>
      <c r="C826">
        <v>2605</v>
      </c>
      <c r="D826" s="300" t="s">
        <v>636</v>
      </c>
      <c r="E826" t="s">
        <v>114</v>
      </c>
      <c r="F826" t="s">
        <v>632</v>
      </c>
      <c r="G826" t="s">
        <v>5381</v>
      </c>
      <c r="H826" t="s">
        <v>14</v>
      </c>
      <c r="I826" t="s">
        <v>312</v>
      </c>
      <c r="K826" t="str">
        <f t="shared" si="17"/>
        <v>ED2605-27-TO-KB-Release-May-JA Batch-1</v>
      </c>
    </row>
    <row r="827" spans="1:11">
      <c r="A827">
        <v>826</v>
      </c>
      <c r="B827" t="s">
        <v>16</v>
      </c>
      <c r="C827">
        <v>2605</v>
      </c>
      <c r="D827" s="300" t="s">
        <v>592</v>
      </c>
      <c r="E827" t="s">
        <v>114</v>
      </c>
      <c r="F827" t="s">
        <v>17</v>
      </c>
      <c r="G827" t="s">
        <v>2891</v>
      </c>
      <c r="H827" t="s">
        <v>14</v>
      </c>
      <c r="K827" t="str">
        <f t="shared" si="17"/>
        <v>ED2605-24-TO-KB-System Requirements-JA</v>
      </c>
    </row>
    <row r="828" spans="1:11">
      <c r="A828">
        <v>827</v>
      </c>
      <c r="B828" t="s">
        <v>16</v>
      </c>
      <c r="C828">
        <v>2605</v>
      </c>
      <c r="D828" s="300" t="s">
        <v>636</v>
      </c>
      <c r="E828" t="s">
        <v>114</v>
      </c>
      <c r="F828" t="s">
        <v>632</v>
      </c>
      <c r="G828" t="s">
        <v>499</v>
      </c>
      <c r="H828" t="s">
        <v>14</v>
      </c>
      <c r="I828" t="s">
        <v>363</v>
      </c>
      <c r="K828" t="str">
        <f t="shared" si="17"/>
        <v>ED2605-27-TO-KB-Release-May-JA Batch-2</v>
      </c>
    </row>
    <row r="829" spans="1:11">
      <c r="A829">
        <v>828</v>
      </c>
      <c r="B829" t="s">
        <v>16</v>
      </c>
      <c r="C829">
        <v>2605</v>
      </c>
      <c r="D829" s="300" t="s">
        <v>636</v>
      </c>
      <c r="E829" t="s">
        <v>114</v>
      </c>
      <c r="F829" t="s">
        <v>632</v>
      </c>
      <c r="G829" t="s">
        <v>499</v>
      </c>
      <c r="H829" t="s">
        <v>14</v>
      </c>
      <c r="I829" t="s">
        <v>332</v>
      </c>
      <c r="K829" t="str">
        <f t="shared" si="17"/>
        <v>ED2605-27-TO-KB-Release-May-JA Batch-3</v>
      </c>
    </row>
    <row r="830" spans="1:11">
      <c r="A830">
        <v>829</v>
      </c>
      <c r="B830" t="s">
        <v>16</v>
      </c>
      <c r="C830">
        <v>2606</v>
      </c>
      <c r="D830" s="300" t="s">
        <v>5400</v>
      </c>
      <c r="E830" t="s">
        <v>114</v>
      </c>
      <c r="F830" t="s">
        <v>40</v>
      </c>
      <c r="G830" t="s">
        <v>5401</v>
      </c>
      <c r="H830" t="s">
        <v>14</v>
      </c>
      <c r="K830" t="str">
        <f t="shared" si="17"/>
        <v>ED2606-02-TO-App-June-JA</v>
      </c>
    </row>
    <row r="831" spans="1:11">
      <c r="A831">
        <v>830</v>
      </c>
      <c r="B831" t="s">
        <v>16</v>
      </c>
      <c r="C831">
        <v>2606</v>
      </c>
      <c r="D831" s="300" t="s">
        <v>5400</v>
      </c>
      <c r="E831" t="s">
        <v>114</v>
      </c>
      <c r="F831" t="s">
        <v>534</v>
      </c>
      <c r="G831" t="s">
        <v>5401</v>
      </c>
      <c r="H831" t="s">
        <v>14</v>
      </c>
      <c r="I831" t="s">
        <v>5411</v>
      </c>
      <c r="K831" t="str">
        <f t="shared" si="17"/>
        <v>ED2606-02-TO-KB-asana-June-JA Batch-1</v>
      </c>
    </row>
    <row r="832" spans="1:11">
      <c r="A832">
        <v>831</v>
      </c>
      <c r="B832" t="s">
        <v>16</v>
      </c>
      <c r="C832">
        <v>2606</v>
      </c>
      <c r="D832" s="300" t="s">
        <v>610</v>
      </c>
      <c r="E832" t="s">
        <v>114</v>
      </c>
      <c r="F832" t="s">
        <v>534</v>
      </c>
      <c r="G832" t="s">
        <v>517</v>
      </c>
      <c r="H832" t="s">
        <v>14</v>
      </c>
      <c r="I832" t="s">
        <v>363</v>
      </c>
      <c r="K832" t="str">
        <f t="shared" si="17"/>
        <v>ED2606-11-TO-KB-asana-June-JA Batch-2</v>
      </c>
    </row>
    <row r="833" spans="1:11">
      <c r="A833">
        <v>832</v>
      </c>
      <c r="B833" t="s">
        <v>16</v>
      </c>
      <c r="C833">
        <v>2606</v>
      </c>
      <c r="D833" s="300" t="s">
        <v>610</v>
      </c>
      <c r="E833" t="s">
        <v>114</v>
      </c>
      <c r="F833" t="s">
        <v>17</v>
      </c>
      <c r="G833" t="s">
        <v>517</v>
      </c>
      <c r="H833" t="s">
        <v>14</v>
      </c>
      <c r="I833" t="s">
        <v>312</v>
      </c>
      <c r="K833" t="str">
        <f t="shared" si="17"/>
        <v>ED2606-11-TO-KB-June-JA Batch-1</v>
      </c>
    </row>
    <row r="834" spans="1:11">
      <c r="A834">
        <v>833</v>
      </c>
      <c r="B834" t="s">
        <v>16</v>
      </c>
      <c r="C834">
        <v>2606</v>
      </c>
      <c r="D834" s="300" t="s">
        <v>610</v>
      </c>
      <c r="E834" t="s">
        <v>114</v>
      </c>
      <c r="F834" t="s">
        <v>17</v>
      </c>
      <c r="G834" t="s">
        <v>517</v>
      </c>
      <c r="H834" t="s">
        <v>14</v>
      </c>
      <c r="I834" t="s">
        <v>363</v>
      </c>
      <c r="K834" t="str">
        <f t="shared" si="17"/>
        <v>ED2606-11-TO-KB-June-JA Batch-2</v>
      </c>
    </row>
    <row r="835" spans="1:11">
      <c r="A835">
        <v>834</v>
      </c>
      <c r="B835" t="s">
        <v>16</v>
      </c>
      <c r="C835">
        <v>2606</v>
      </c>
      <c r="D835" s="300" t="s">
        <v>610</v>
      </c>
      <c r="E835" t="s">
        <v>114</v>
      </c>
      <c r="F835" t="s">
        <v>17</v>
      </c>
      <c r="G835" t="s">
        <v>517</v>
      </c>
      <c r="H835" t="s">
        <v>14</v>
      </c>
      <c r="I835" t="s">
        <v>332</v>
      </c>
      <c r="K835" t="str">
        <f t="shared" si="17"/>
        <v>ED2606-11-TO-KB-June-JA Batch-3</v>
      </c>
    </row>
    <row r="836" spans="1:11">
      <c r="A836">
        <v>835</v>
      </c>
      <c r="B836" t="s">
        <v>16</v>
      </c>
      <c r="C836">
        <v>2606</v>
      </c>
      <c r="D836" s="300" t="s">
        <v>610</v>
      </c>
      <c r="E836" t="s">
        <v>114</v>
      </c>
      <c r="F836" t="s">
        <v>17</v>
      </c>
      <c r="G836" t="s">
        <v>517</v>
      </c>
      <c r="H836" t="s">
        <v>14</v>
      </c>
      <c r="I836" t="s">
        <v>364</v>
      </c>
      <c r="K836" t="str">
        <f t="shared" si="17"/>
        <v>ED2606-11-TO-KB-June-JA Batch-4</v>
      </c>
    </row>
    <row r="837" spans="1:11">
      <c r="A837">
        <v>836</v>
      </c>
      <c r="B837" t="s">
        <v>16</v>
      </c>
      <c r="C837">
        <v>2605</v>
      </c>
      <c r="D837" s="300" t="s">
        <v>636</v>
      </c>
      <c r="E837" t="s">
        <v>114</v>
      </c>
      <c r="F837" t="s">
        <v>17</v>
      </c>
      <c r="G837" t="s">
        <v>499</v>
      </c>
      <c r="H837" t="s">
        <v>14</v>
      </c>
      <c r="I837" t="s">
        <v>5571</v>
      </c>
      <c r="K837" t="str">
        <f t="shared" si="17"/>
        <v>ED2605-27-TO-KB-May-JA Batch-11</v>
      </c>
    </row>
    <row r="838" spans="1:11">
      <c r="A838">
        <v>837</v>
      </c>
      <c r="B838" t="s">
        <v>16</v>
      </c>
      <c r="C838">
        <v>2606</v>
      </c>
      <c r="D838" s="300" t="s">
        <v>610</v>
      </c>
      <c r="E838" t="s">
        <v>114</v>
      </c>
      <c r="F838" t="s">
        <v>17</v>
      </c>
      <c r="G838" t="s">
        <v>517</v>
      </c>
      <c r="H838" t="s">
        <v>14</v>
      </c>
      <c r="I838" t="s">
        <v>5590</v>
      </c>
      <c r="K838" t="str">
        <f t="shared" si="17"/>
        <v>ED2606-11-TO-KB-June-JA Batch-5</v>
      </c>
    </row>
    <row r="839" spans="1:11">
      <c r="A839">
        <v>838</v>
      </c>
      <c r="B839" t="s">
        <v>16</v>
      </c>
      <c r="C839">
        <v>2606</v>
      </c>
      <c r="D839" s="300" t="s">
        <v>5207</v>
      </c>
      <c r="E839" t="s">
        <v>114</v>
      </c>
      <c r="F839" t="s">
        <v>17</v>
      </c>
      <c r="G839" t="s">
        <v>517</v>
      </c>
      <c r="H839" t="s">
        <v>14</v>
      </c>
      <c r="I839" t="s">
        <v>404</v>
      </c>
      <c r="K839" t="str">
        <f t="shared" si="17"/>
        <v>ED2606-16-TO-KB-June-JA Batch-6</v>
      </c>
    </row>
    <row r="840" spans="1:11">
      <c r="A840">
        <v>839</v>
      </c>
      <c r="B840" t="s">
        <v>16</v>
      </c>
      <c r="C840">
        <v>2606</v>
      </c>
      <c r="D840" s="300" t="s">
        <v>5207</v>
      </c>
      <c r="E840" t="s">
        <v>114</v>
      </c>
      <c r="F840" t="s">
        <v>17</v>
      </c>
      <c r="G840" t="s">
        <v>517</v>
      </c>
      <c r="H840" t="s">
        <v>14</v>
      </c>
      <c r="I840" t="s">
        <v>341</v>
      </c>
      <c r="K840" t="str">
        <f t="shared" si="17"/>
        <v>ED2606-16-TO-KB-June-JA Batch-7</v>
      </c>
    </row>
    <row r="841" spans="1:11">
      <c r="A841">
        <v>840</v>
      </c>
      <c r="B841" t="s">
        <v>16</v>
      </c>
      <c r="C841">
        <v>2606</v>
      </c>
      <c r="D841" s="300" t="s">
        <v>5207</v>
      </c>
      <c r="E841" t="s">
        <v>114</v>
      </c>
      <c r="F841" t="s">
        <v>17</v>
      </c>
      <c r="G841" t="s">
        <v>517</v>
      </c>
      <c r="H841" t="s">
        <v>14</v>
      </c>
      <c r="I841" t="s">
        <v>405</v>
      </c>
      <c r="K841" t="str">
        <f t="shared" si="17"/>
        <v>ED2606-16-TO-KB-June-JA Batch-8</v>
      </c>
    </row>
    <row r="842" spans="1:11">
      <c r="A842">
        <v>841</v>
      </c>
      <c r="B842" t="s">
        <v>16</v>
      </c>
      <c r="C842">
        <v>2606</v>
      </c>
      <c r="D842" s="300" t="s">
        <v>5207</v>
      </c>
      <c r="E842" t="s">
        <v>114</v>
      </c>
      <c r="F842" t="s">
        <v>17</v>
      </c>
      <c r="G842" t="s">
        <v>5595</v>
      </c>
      <c r="H842" t="s">
        <v>14</v>
      </c>
      <c r="I842" t="s">
        <v>5596</v>
      </c>
      <c r="K842" t="str">
        <f t="shared" si="17"/>
        <v>ED2606-16-TO-KB-App-JA Batch-1</v>
      </c>
    </row>
    <row r="843" spans="1:11">
      <c r="A843">
        <v>842</v>
      </c>
      <c r="B843" t="s">
        <v>16</v>
      </c>
      <c r="C843">
        <v>2606</v>
      </c>
      <c r="D843" s="300" t="s">
        <v>5207</v>
      </c>
      <c r="E843" t="s">
        <v>114</v>
      </c>
      <c r="F843" t="s">
        <v>17</v>
      </c>
      <c r="G843" t="s">
        <v>605</v>
      </c>
      <c r="H843" t="s">
        <v>14</v>
      </c>
      <c r="I843" t="s">
        <v>363</v>
      </c>
      <c r="K843" t="str">
        <f t="shared" si="17"/>
        <v>ED2606-16-TO-KB-App-JA Batch-2</v>
      </c>
    </row>
    <row r="844" spans="1:11">
      <c r="A844">
        <v>843</v>
      </c>
      <c r="B844" t="s">
        <v>16</v>
      </c>
      <c r="C844">
        <v>2606</v>
      </c>
      <c r="D844" s="300" t="s">
        <v>560</v>
      </c>
      <c r="E844" t="s">
        <v>114</v>
      </c>
      <c r="F844" t="s">
        <v>247</v>
      </c>
      <c r="G844" s="306" t="s">
        <v>5600</v>
      </c>
      <c r="H844" t="s">
        <v>14</v>
      </c>
      <c r="K844" t="str">
        <f t="shared" si="17"/>
        <v>ED2606-19-TO-KB-Support-Restrict Access to a SQL DataFlow-JA</v>
      </c>
    </row>
    <row r="845" spans="1:11">
      <c r="A845">
        <v>844</v>
      </c>
      <c r="B845" t="s">
        <v>16</v>
      </c>
      <c r="C845">
        <v>2606</v>
      </c>
      <c r="D845" s="300" t="s">
        <v>5639</v>
      </c>
      <c r="E845" t="s">
        <v>114</v>
      </c>
      <c r="F845" t="s">
        <v>247</v>
      </c>
      <c r="G845" t="s">
        <v>5640</v>
      </c>
      <c r="H845" t="s">
        <v>14</v>
      </c>
      <c r="K845" t="str">
        <f t="shared" si="17"/>
        <v>ED2606-27-TO-KB-Support-Snowflake Connectors-JA</v>
      </c>
    </row>
    <row r="846" spans="1:11">
      <c r="A846">
        <v>845</v>
      </c>
      <c r="B846" t="s">
        <v>16</v>
      </c>
      <c r="C846">
        <v>2607</v>
      </c>
      <c r="D846" s="300" t="s">
        <v>5670</v>
      </c>
      <c r="E846" t="s">
        <v>114</v>
      </c>
      <c r="F846" t="s">
        <v>17</v>
      </c>
      <c r="G846" t="s">
        <v>5669</v>
      </c>
      <c r="H846" t="s">
        <v>14</v>
      </c>
      <c r="I846" t="s">
        <v>5671</v>
      </c>
      <c r="K846" t="str">
        <f t="shared" si="17"/>
        <v>ED2607-01-TO-KB-Snowflake update-JA Batch-1</v>
      </c>
    </row>
    <row r="847" spans="1:11">
      <c r="A847">
        <v>846</v>
      </c>
      <c r="B847" t="s">
        <v>16</v>
      </c>
      <c r="C847">
        <v>2607</v>
      </c>
      <c r="D847" s="300" t="s">
        <v>5670</v>
      </c>
      <c r="E847" t="s">
        <v>114</v>
      </c>
      <c r="F847" t="s">
        <v>17</v>
      </c>
      <c r="G847" t="s">
        <v>5669</v>
      </c>
      <c r="H847" t="s">
        <v>14</v>
      </c>
      <c r="I847" t="s">
        <v>363</v>
      </c>
      <c r="K847" t="str">
        <f t="shared" ref="K847" si="18">B847&amp;C847&amp;"-"&amp;D847&amp;"-"&amp;E847&amp;"-"&amp;F847&amp;"-"&amp;G847&amp;"-"&amp;H847&amp;I847</f>
        <v>ED2607-01-TO-KB-Snowflake update-JA Batch-2</v>
      </c>
    </row>
    <row r="848" spans="1:11">
      <c r="A848">
        <v>847</v>
      </c>
      <c r="B848" t="s">
        <v>16</v>
      </c>
      <c r="C848">
        <v>2607</v>
      </c>
      <c r="D848" s="300" t="s">
        <v>5670</v>
      </c>
      <c r="E848" t="s">
        <v>114</v>
      </c>
      <c r="F848" t="s">
        <v>17</v>
      </c>
      <c r="G848" t="s">
        <v>5669</v>
      </c>
      <c r="H848" t="s">
        <v>14</v>
      </c>
      <c r="I848" t="s">
        <v>332</v>
      </c>
      <c r="K848" t="str">
        <f t="shared" ref="K848" si="19">B848&amp;C848&amp;"-"&amp;D848&amp;"-"&amp;E848&amp;"-"&amp;F848&amp;"-"&amp;G848&amp;"-"&amp;H848&amp;I848</f>
        <v>ED2607-01-TO-KB-Snowflake update-JA Batch-3</v>
      </c>
    </row>
    <row r="849" spans="1:11">
      <c r="A849">
        <v>848</v>
      </c>
      <c r="B849" t="s">
        <v>16</v>
      </c>
      <c r="C849">
        <v>2607</v>
      </c>
      <c r="D849" s="300" t="s">
        <v>5670</v>
      </c>
      <c r="E849" t="s">
        <v>114</v>
      </c>
      <c r="F849" t="s">
        <v>17</v>
      </c>
      <c r="G849" t="s">
        <v>5669</v>
      </c>
      <c r="H849" t="s">
        <v>14</v>
      </c>
      <c r="I849" t="s">
        <v>364</v>
      </c>
      <c r="K849" t="str">
        <f t="shared" ref="K849" si="20">B849&amp;C849&amp;"-"&amp;D849&amp;"-"&amp;E849&amp;"-"&amp;F849&amp;"-"&amp;G849&amp;"-"&amp;H849&amp;I849</f>
        <v>ED2607-01-TO-KB-Snowflake update-JA Batch-4</v>
      </c>
    </row>
    <row r="850" spans="1:11">
      <c r="A850">
        <v>849</v>
      </c>
      <c r="B850" t="s">
        <v>16</v>
      </c>
      <c r="C850">
        <v>2607</v>
      </c>
      <c r="D850" s="300" t="s">
        <v>5670</v>
      </c>
      <c r="E850" t="s">
        <v>114</v>
      </c>
      <c r="F850" t="s">
        <v>17</v>
      </c>
      <c r="G850" t="s">
        <v>5669</v>
      </c>
      <c r="H850" t="s">
        <v>14</v>
      </c>
      <c r="I850" t="s">
        <v>336</v>
      </c>
      <c r="K850" t="str">
        <f t="shared" ref="K850" si="21">B850&amp;C850&amp;"-"&amp;D850&amp;"-"&amp;E850&amp;"-"&amp;F850&amp;"-"&amp;G850&amp;"-"&amp;H850&amp;I850</f>
        <v>ED2607-01-TO-KB-Snowflake update-JA Batch-5</v>
      </c>
    </row>
    <row r="851" spans="1:11">
      <c r="A851">
        <v>850</v>
      </c>
      <c r="B851" t="s">
        <v>16</v>
      </c>
      <c r="C851">
        <v>2607</v>
      </c>
      <c r="D851" s="300" t="s">
        <v>5670</v>
      </c>
      <c r="E851" t="s">
        <v>152</v>
      </c>
      <c r="F851" t="s">
        <v>17</v>
      </c>
      <c r="G851" t="s">
        <v>5689</v>
      </c>
      <c r="H851" t="s">
        <v>14</v>
      </c>
      <c r="K851" t="str">
        <f t="shared" si="17"/>
        <v>ED2607-01-MH-KB-Updates-JA</v>
      </c>
    </row>
    <row r="852" spans="1:11">
      <c r="A852">
        <v>851</v>
      </c>
      <c r="B852" t="s">
        <v>16</v>
      </c>
      <c r="C852">
        <v>2607</v>
      </c>
      <c r="D852" s="300" t="s">
        <v>5180</v>
      </c>
      <c r="E852" t="s">
        <v>114</v>
      </c>
      <c r="F852" t="s">
        <v>534</v>
      </c>
      <c r="G852" t="s">
        <v>5712</v>
      </c>
      <c r="H852" t="s">
        <v>14</v>
      </c>
      <c r="I852" t="s">
        <v>5700</v>
      </c>
      <c r="K852" t="str">
        <f t="shared" si="17"/>
        <v>ED2607-07-TO-KB-asana-Janualy-JA Batch-1</v>
      </c>
    </row>
    <row r="853" spans="1:11">
      <c r="A853">
        <v>852</v>
      </c>
      <c r="B853" t="s">
        <v>16</v>
      </c>
      <c r="C853">
        <v>2607</v>
      </c>
      <c r="D853" s="300" t="s">
        <v>5180</v>
      </c>
      <c r="E853" t="s">
        <v>114</v>
      </c>
      <c r="F853" t="s">
        <v>17</v>
      </c>
      <c r="G853" t="s">
        <v>5705</v>
      </c>
      <c r="H853" t="s">
        <v>14</v>
      </c>
      <c r="I853" t="s">
        <v>5700</v>
      </c>
      <c r="K853" t="str">
        <f t="shared" si="17"/>
        <v>ED2607-07-TO-KB-July-JA Batch-1</v>
      </c>
    </row>
    <row r="854" spans="1:11">
      <c r="A854">
        <v>853</v>
      </c>
      <c r="B854" t="s">
        <v>16</v>
      </c>
      <c r="C854">
        <v>2607</v>
      </c>
      <c r="D854" s="300" t="s">
        <v>5180</v>
      </c>
      <c r="E854" t="s">
        <v>114</v>
      </c>
      <c r="F854" t="s">
        <v>17</v>
      </c>
      <c r="G854" t="s">
        <v>5705</v>
      </c>
      <c r="H854" t="s">
        <v>14</v>
      </c>
      <c r="I854" t="s">
        <v>363</v>
      </c>
      <c r="K854" t="str">
        <f t="shared" si="17"/>
        <v>ED2607-07-TO-KB-July-JA Batch-2</v>
      </c>
    </row>
    <row r="855" spans="1:11">
      <c r="A855">
        <v>854</v>
      </c>
      <c r="B855" t="s">
        <v>16</v>
      </c>
      <c r="C855">
        <v>2607</v>
      </c>
      <c r="D855" s="300" t="s">
        <v>5180</v>
      </c>
      <c r="E855" t="s">
        <v>114</v>
      </c>
      <c r="F855" t="s">
        <v>17</v>
      </c>
      <c r="G855" t="s">
        <v>5705</v>
      </c>
      <c r="H855" t="s">
        <v>14</v>
      </c>
      <c r="I855" t="s">
        <v>332</v>
      </c>
      <c r="K855" t="str">
        <f t="shared" si="17"/>
        <v>ED2607-07-TO-KB-July-JA Batch-3</v>
      </c>
    </row>
    <row r="856" spans="1:11">
      <c r="A856">
        <v>855</v>
      </c>
      <c r="B856" t="s">
        <v>16</v>
      </c>
      <c r="C856">
        <v>2607</v>
      </c>
      <c r="D856" s="300" t="s">
        <v>5182</v>
      </c>
      <c r="E856" t="s">
        <v>152</v>
      </c>
      <c r="F856" t="s">
        <v>17</v>
      </c>
      <c r="G856" t="s">
        <v>1576</v>
      </c>
      <c r="H856" t="s">
        <v>14</v>
      </c>
      <c r="I856" t="s">
        <v>278</v>
      </c>
      <c r="K856" t="str">
        <f t="shared" si="17"/>
        <v>ED2607-09-MH-KB-Snowflake Connector-JA Update</v>
      </c>
    </row>
    <row r="857" spans="1:11">
      <c r="A857">
        <v>856</v>
      </c>
      <c r="B857" t="s">
        <v>16</v>
      </c>
      <c r="C857">
        <v>2607</v>
      </c>
      <c r="D857" s="300" t="s">
        <v>5182</v>
      </c>
      <c r="E857" t="s">
        <v>114</v>
      </c>
      <c r="F857" t="s">
        <v>534</v>
      </c>
      <c r="G857" t="s">
        <v>4726</v>
      </c>
      <c r="H857" t="s">
        <v>14</v>
      </c>
      <c r="K857" t="str">
        <f t="shared" si="17"/>
        <v>ED2607-09-TO-KB-asana-Manage AI Models and Projects-JA</v>
      </c>
    </row>
    <row r="858" spans="1:11">
      <c r="A858">
        <v>857</v>
      </c>
      <c r="B858" t="s">
        <v>16</v>
      </c>
      <c r="C858">
        <v>2607</v>
      </c>
      <c r="D858" s="300" t="s">
        <v>5182</v>
      </c>
      <c r="E858" t="s">
        <v>114</v>
      </c>
      <c r="F858" t="s">
        <v>247</v>
      </c>
      <c r="G858" t="s">
        <v>5723</v>
      </c>
      <c r="H858" t="s">
        <v>14</v>
      </c>
      <c r="K858" t="str">
        <f t="shared" si="17"/>
        <v>ED2607-09-TO-KB-Support-User Management-JA</v>
      </c>
    </row>
    <row r="859" spans="1:11">
      <c r="A859">
        <v>858</v>
      </c>
      <c r="B859" t="s">
        <v>16</v>
      </c>
      <c r="C859">
        <v>2607</v>
      </c>
      <c r="D859" s="300" t="s">
        <v>5193</v>
      </c>
      <c r="E859" t="s">
        <v>114</v>
      </c>
      <c r="F859" t="s">
        <v>17</v>
      </c>
      <c r="G859" t="s">
        <v>5728</v>
      </c>
      <c r="H859" t="s">
        <v>14</v>
      </c>
      <c r="K859" t="str">
        <f t="shared" si="17"/>
        <v>ED2607-10-TO-KB-SCIM (System for Cross-domain Identity Management) in Domo-JA</v>
      </c>
    </row>
    <row r="860" spans="1:11">
      <c r="A860">
        <v>859</v>
      </c>
      <c r="B860" t="s">
        <v>16</v>
      </c>
      <c r="C860">
        <v>2607</v>
      </c>
      <c r="D860" s="300" t="s">
        <v>5736</v>
      </c>
      <c r="E860" t="s">
        <v>114</v>
      </c>
      <c r="F860" t="s">
        <v>17</v>
      </c>
      <c r="G860" s="306" t="s">
        <v>5684</v>
      </c>
      <c r="H860" t="s">
        <v>14</v>
      </c>
      <c r="K860" t="str">
        <f t="shared" si="17"/>
        <v>ED2607-16-TO-KB-Data.ai Connector-JA</v>
      </c>
    </row>
    <row r="861" spans="1:11">
      <c r="A861">
        <v>860</v>
      </c>
      <c r="B861" t="s">
        <v>16</v>
      </c>
      <c r="C861">
        <v>2607</v>
      </c>
      <c r="D861" s="300" t="s">
        <v>5207</v>
      </c>
      <c r="E861" t="s">
        <v>114</v>
      </c>
      <c r="F861" t="s">
        <v>534</v>
      </c>
      <c r="G861" s="306" t="s">
        <v>5523</v>
      </c>
      <c r="H861" t="s">
        <v>14</v>
      </c>
      <c r="K861" t="str">
        <f t="shared" si="17"/>
        <v>ED2607-16-TO-KB-asana-Workbench Enterprise | Implementation Guide-JA</v>
      </c>
    </row>
    <row r="862" spans="1:11">
      <c r="A862">
        <v>861</v>
      </c>
      <c r="B862" t="s">
        <v>16</v>
      </c>
      <c r="C862">
        <v>2607</v>
      </c>
      <c r="D862" s="300" t="s">
        <v>5739</v>
      </c>
      <c r="E862" t="s">
        <v>114</v>
      </c>
      <c r="F862" t="s">
        <v>17</v>
      </c>
      <c r="G862" s="306" t="s">
        <v>5684</v>
      </c>
      <c r="H862" t="s">
        <v>14</v>
      </c>
      <c r="K862" t="str">
        <f t="shared" si="17"/>
        <v>ED2607-17-TO-KB-Data.ai Connector-JA</v>
      </c>
    </row>
    <row r="863" spans="1:11">
      <c r="A863">
        <v>862</v>
      </c>
      <c r="B863" t="s">
        <v>16</v>
      </c>
      <c r="C863">
        <v>2607</v>
      </c>
      <c r="D863" s="300" t="s">
        <v>5741</v>
      </c>
      <c r="E863" t="s">
        <v>114</v>
      </c>
      <c r="F863" t="s">
        <v>17</v>
      </c>
      <c r="G863" s="306" t="s">
        <v>5684</v>
      </c>
      <c r="H863" t="s">
        <v>14</v>
      </c>
      <c r="I863" t="s">
        <v>278</v>
      </c>
      <c r="K863" t="str">
        <f t="shared" si="17"/>
        <v>ED2607-22-TO-KB-Data.ai Connector-JA Update</v>
      </c>
    </row>
    <row r="864" spans="1:11">
      <c r="A864">
        <v>863</v>
      </c>
      <c r="B864" t="s">
        <v>16</v>
      </c>
      <c r="C864">
        <v>2607</v>
      </c>
      <c r="D864" s="300" t="s">
        <v>613</v>
      </c>
      <c r="E864" t="s">
        <v>114</v>
      </c>
      <c r="F864" t="s">
        <v>17</v>
      </c>
      <c r="G864" s="306" t="s">
        <v>5684</v>
      </c>
      <c r="H864" t="s">
        <v>14</v>
      </c>
      <c r="I864" t="s">
        <v>5743</v>
      </c>
      <c r="K864" t="str">
        <f t="shared" si="17"/>
        <v>ED2607-23-TO-KB-Data.ai Connector-JATest</v>
      </c>
    </row>
    <row r="865" spans="1:11">
      <c r="A865">
        <v>864</v>
      </c>
      <c r="B865" t="s">
        <v>16</v>
      </c>
      <c r="C865">
        <v>2607</v>
      </c>
      <c r="D865" s="300" t="s">
        <v>5747</v>
      </c>
      <c r="E865" t="s">
        <v>152</v>
      </c>
      <c r="F865" t="s">
        <v>17</v>
      </c>
      <c r="G865" s="306" t="s">
        <v>5749</v>
      </c>
      <c r="H865" t="s">
        <v>14</v>
      </c>
      <c r="I865" t="s">
        <v>278</v>
      </c>
      <c r="K865" t="str">
        <f t="shared" si="17"/>
        <v>ED2607-24-MH-KB-TO-KB-June-JA Batch-4-JA Update</v>
      </c>
    </row>
    <row r="866" spans="1:11">
      <c r="A866">
        <v>865</v>
      </c>
      <c r="B866" t="s">
        <v>16</v>
      </c>
      <c r="C866">
        <v>2607</v>
      </c>
      <c r="D866" s="300" t="s">
        <v>5747</v>
      </c>
      <c r="E866" t="s">
        <v>152</v>
      </c>
      <c r="F866" t="s">
        <v>17</v>
      </c>
      <c r="G866" s="306" t="s">
        <v>5753</v>
      </c>
      <c r="H866" t="s">
        <v>14</v>
      </c>
      <c r="I866" t="s">
        <v>278</v>
      </c>
      <c r="K866" t="str">
        <f t="shared" si="17"/>
        <v>ED2607-24-MH-KB-TO-KB-June-JA Batch-2-JA Update</v>
      </c>
    </row>
    <row r="867" spans="1:11">
      <c r="A867">
        <v>866</v>
      </c>
      <c r="B867" t="s">
        <v>16</v>
      </c>
      <c r="C867">
        <v>2607</v>
      </c>
      <c r="D867" s="300" t="s">
        <v>5747</v>
      </c>
      <c r="E867" t="s">
        <v>152</v>
      </c>
      <c r="F867" t="s">
        <v>17</v>
      </c>
      <c r="G867" s="306" t="s">
        <v>5754</v>
      </c>
      <c r="H867" t="s">
        <v>14</v>
      </c>
      <c r="I867" t="s">
        <v>278</v>
      </c>
      <c r="K867" t="str">
        <f t="shared" si="17"/>
        <v>ED2607-24-MH-KB-TO-KB-July-JA Batch-2-JA Update</v>
      </c>
    </row>
    <row r="868" spans="1:11">
      <c r="A868">
        <v>867</v>
      </c>
      <c r="B868" t="s">
        <v>16</v>
      </c>
      <c r="C868">
        <v>2607</v>
      </c>
      <c r="D868" s="300" t="s">
        <v>5747</v>
      </c>
      <c r="E868" t="s">
        <v>152</v>
      </c>
      <c r="F868" t="s">
        <v>17</v>
      </c>
      <c r="G868" s="306" t="s">
        <v>5757</v>
      </c>
      <c r="H868" t="s">
        <v>14</v>
      </c>
      <c r="I868" t="s">
        <v>278</v>
      </c>
      <c r="K868" t="str">
        <f t="shared" si="17"/>
        <v>ED2607-24-MH-KB-TO-KB-June-JA Batch-7-JA Update</v>
      </c>
    </row>
    <row r="869" spans="1:11">
      <c r="A869">
        <v>868</v>
      </c>
      <c r="B869" t="s">
        <v>16</v>
      </c>
      <c r="C869">
        <v>2607</v>
      </c>
      <c r="D869" s="300" t="s">
        <v>5747</v>
      </c>
      <c r="E869" t="s">
        <v>152</v>
      </c>
      <c r="F869" t="s">
        <v>17</v>
      </c>
      <c r="G869" t="s">
        <v>5759</v>
      </c>
      <c r="H869" t="s">
        <v>14</v>
      </c>
      <c r="I869" t="s">
        <v>278</v>
      </c>
      <c r="K869" t="str">
        <f t="shared" si="17"/>
        <v>ED2607-24-MH-KB-TO-KB-June-JA Batch-3-JA Update</v>
      </c>
    </row>
    <row r="870" spans="1:11">
      <c r="A870">
        <v>869</v>
      </c>
      <c r="B870" t="s">
        <v>16</v>
      </c>
      <c r="C870">
        <v>2607</v>
      </c>
      <c r="D870" s="300" t="s">
        <v>5767</v>
      </c>
      <c r="E870" t="s">
        <v>114</v>
      </c>
      <c r="F870" t="s">
        <v>534</v>
      </c>
      <c r="G870" s="306" t="s">
        <v>5768</v>
      </c>
      <c r="H870" t="s">
        <v>14</v>
      </c>
      <c r="K870" t="str">
        <f t="shared" si="17"/>
        <v>ED2607-30-TO-KB-asana-August urgent-JA</v>
      </c>
    </row>
    <row r="871" spans="1:11">
      <c r="A871">
        <v>870</v>
      </c>
      <c r="B871" t="s">
        <v>16</v>
      </c>
      <c r="C871">
        <v>2608</v>
      </c>
      <c r="D871" s="300" t="s">
        <v>5807</v>
      </c>
      <c r="E871" t="s">
        <v>152</v>
      </c>
      <c r="F871" t="s">
        <v>247</v>
      </c>
      <c r="G871" s="306" t="s">
        <v>5806</v>
      </c>
      <c r="H871" t="s">
        <v>14</v>
      </c>
      <c r="I871" t="s">
        <v>278</v>
      </c>
      <c r="K871" t="str">
        <f t="shared" si="17"/>
        <v>ED2608-19-MH-KB-Support-Admin Settings-JA Update</v>
      </c>
    </row>
    <row r="872" spans="1:11">
      <c r="A872">
        <v>871</v>
      </c>
      <c r="B872" t="s">
        <v>16</v>
      </c>
      <c r="C872">
        <v>2608</v>
      </c>
      <c r="D872" s="300" t="s">
        <v>5807</v>
      </c>
      <c r="E872" t="s">
        <v>114</v>
      </c>
      <c r="F872" t="s">
        <v>40</v>
      </c>
      <c r="G872" t="s">
        <v>5819</v>
      </c>
      <c r="H872" t="s">
        <v>14</v>
      </c>
      <c r="K872" t="str">
        <f t="shared" si="17"/>
        <v>ED2608-19-TO-App-July 2025 Release Update-JA</v>
      </c>
    </row>
    <row r="873" spans="1:11">
      <c r="A873">
        <v>872</v>
      </c>
      <c r="B873" t="s">
        <v>16</v>
      </c>
      <c r="C873">
        <v>2608</v>
      </c>
      <c r="D873" s="300" t="s">
        <v>636</v>
      </c>
      <c r="E873" t="s">
        <v>152</v>
      </c>
      <c r="F873" t="s">
        <v>247</v>
      </c>
      <c r="G873" s="306" t="s">
        <v>5806</v>
      </c>
      <c r="H873" t="s">
        <v>14</v>
      </c>
      <c r="I873" t="s">
        <v>278</v>
      </c>
      <c r="K873" t="str">
        <f t="shared" si="17"/>
        <v>ED2608-27-MH-KB-Support-Admin Settings-JA Update</v>
      </c>
    </row>
    <row r="874" spans="1:11">
      <c r="A874">
        <v>873</v>
      </c>
      <c r="B874" t="s">
        <v>16</v>
      </c>
      <c r="C874">
        <v>2609</v>
      </c>
      <c r="D874" s="300" t="s">
        <v>5835</v>
      </c>
      <c r="E874" t="s">
        <v>114</v>
      </c>
      <c r="F874" t="s">
        <v>247</v>
      </c>
      <c r="G874" t="s">
        <v>5836</v>
      </c>
      <c r="H874" t="s">
        <v>14</v>
      </c>
      <c r="K874" t="str">
        <f t="shared" si="17"/>
        <v>ED2609-01-TO-KB-Support-September-JA</v>
      </c>
    </row>
    <row r="875" spans="1:11">
      <c r="A875">
        <v>874</v>
      </c>
      <c r="B875" t="s">
        <v>16</v>
      </c>
      <c r="C875">
        <v>2609</v>
      </c>
      <c r="D875" s="300" t="s">
        <v>5835</v>
      </c>
      <c r="E875" t="s">
        <v>114</v>
      </c>
      <c r="F875" t="s">
        <v>534</v>
      </c>
      <c r="G875" t="s">
        <v>5836</v>
      </c>
      <c r="H875" t="s">
        <v>14</v>
      </c>
      <c r="K875" t="str">
        <f t="shared" si="17"/>
        <v>ED2609-01-TO-KB-asana-September-JA</v>
      </c>
    </row>
    <row r="876" spans="1:11">
      <c r="A876">
        <v>875</v>
      </c>
      <c r="B876" t="s">
        <v>16</v>
      </c>
      <c r="C876">
        <v>2609</v>
      </c>
      <c r="D876" s="300" t="s">
        <v>5835</v>
      </c>
      <c r="E876" t="s">
        <v>114</v>
      </c>
      <c r="F876" t="s">
        <v>17</v>
      </c>
      <c r="G876" t="s">
        <v>5836</v>
      </c>
      <c r="H876" t="s">
        <v>14</v>
      </c>
      <c r="I876" t="s">
        <v>5837</v>
      </c>
      <c r="K876" t="str">
        <f t="shared" si="17"/>
        <v>ED2609-01-TO-KB-September-JA Batch-1</v>
      </c>
    </row>
    <row r="877" spans="1:11">
      <c r="A877">
        <v>876</v>
      </c>
      <c r="B877" t="s">
        <v>16</v>
      </c>
      <c r="C877">
        <v>2609</v>
      </c>
      <c r="D877" s="300" t="s">
        <v>5835</v>
      </c>
      <c r="E877" t="s">
        <v>114</v>
      </c>
      <c r="F877" t="s">
        <v>17</v>
      </c>
      <c r="G877" t="s">
        <v>5836</v>
      </c>
      <c r="H877" t="s">
        <v>14</v>
      </c>
      <c r="I877" t="s">
        <v>363</v>
      </c>
      <c r="K877" t="str">
        <f t="shared" si="17"/>
        <v>ED2609-01-TO-KB-September-JA Batch-2</v>
      </c>
    </row>
    <row r="878" spans="1:11">
      <c r="A878">
        <v>877</v>
      </c>
      <c r="B878" t="s">
        <v>16</v>
      </c>
      <c r="C878">
        <v>2609</v>
      </c>
      <c r="D878" s="300" t="s">
        <v>5835</v>
      </c>
      <c r="E878" t="s">
        <v>114</v>
      </c>
      <c r="F878" t="s">
        <v>17</v>
      </c>
      <c r="G878" t="s">
        <v>5836</v>
      </c>
      <c r="H878" t="s">
        <v>14</v>
      </c>
      <c r="I878" t="s">
        <v>332</v>
      </c>
      <c r="K878" t="str">
        <f t="shared" si="17"/>
        <v>ED2609-01-TO-KB-September-JA Batch-3</v>
      </c>
    </row>
    <row r="879" spans="1:11">
      <c r="A879">
        <v>878</v>
      </c>
      <c r="B879" t="s">
        <v>16</v>
      </c>
      <c r="C879">
        <v>2609</v>
      </c>
      <c r="D879" s="300" t="s">
        <v>5835</v>
      </c>
      <c r="E879" t="s">
        <v>114</v>
      </c>
      <c r="F879" t="s">
        <v>17</v>
      </c>
      <c r="G879" t="s">
        <v>5836</v>
      </c>
      <c r="H879" t="s">
        <v>14</v>
      </c>
      <c r="I879" t="s">
        <v>364</v>
      </c>
      <c r="K879" t="str">
        <f t="shared" si="17"/>
        <v>ED2609-01-TO-KB-September-JA Batch-4</v>
      </c>
    </row>
    <row r="880" spans="1:11">
      <c r="A880">
        <v>879</v>
      </c>
      <c r="B880" t="s">
        <v>16</v>
      </c>
      <c r="C880">
        <v>2609</v>
      </c>
      <c r="D880" s="300" t="s">
        <v>553</v>
      </c>
      <c r="E880" t="s">
        <v>114</v>
      </c>
      <c r="F880" t="s">
        <v>632</v>
      </c>
      <c r="G880" t="s">
        <v>5850</v>
      </c>
      <c r="H880" t="s">
        <v>14</v>
      </c>
      <c r="K880" t="str">
        <f t="shared" si="17"/>
        <v>ED2609-18-TO-KB-Release-September 2025 Release Notes - JA-JA</v>
      </c>
    </row>
    <row r="881" spans="1:11">
      <c r="A881">
        <v>880</v>
      </c>
      <c r="B881" t="s">
        <v>16</v>
      </c>
      <c r="C881">
        <v>2609</v>
      </c>
      <c r="D881" s="300" t="s">
        <v>560</v>
      </c>
      <c r="E881" t="s">
        <v>114</v>
      </c>
      <c r="F881" t="s">
        <v>17</v>
      </c>
      <c r="G881" t="s">
        <v>435</v>
      </c>
      <c r="H881" t="s">
        <v>14</v>
      </c>
      <c r="I881" t="s">
        <v>5856</v>
      </c>
      <c r="K881" t="str">
        <f t="shared" si="17"/>
        <v>ED2609-19-TO-KB-September-JA Batch-5</v>
      </c>
    </row>
    <row r="882" spans="1:11">
      <c r="A882">
        <v>881</v>
      </c>
      <c r="B882" t="s">
        <v>16</v>
      </c>
      <c r="C882">
        <v>2609</v>
      </c>
      <c r="D882" s="300" t="s">
        <v>560</v>
      </c>
      <c r="E882" t="s">
        <v>114</v>
      </c>
      <c r="F882" t="s">
        <v>17</v>
      </c>
      <c r="G882" t="s">
        <v>435</v>
      </c>
      <c r="H882" t="s">
        <v>14</v>
      </c>
      <c r="I882" t="s">
        <v>404</v>
      </c>
      <c r="K882" t="str">
        <f t="shared" si="17"/>
        <v>ED2609-19-TO-KB-September-JA Batch-6</v>
      </c>
    </row>
    <row r="883" spans="1:11">
      <c r="A883">
        <v>882</v>
      </c>
      <c r="B883" t="s">
        <v>16</v>
      </c>
      <c r="C883">
        <v>2609</v>
      </c>
      <c r="D883" s="300" t="s">
        <v>5859</v>
      </c>
      <c r="E883" t="s">
        <v>114</v>
      </c>
      <c r="F883" t="s">
        <v>40</v>
      </c>
      <c r="G883" t="s">
        <v>5860</v>
      </c>
      <c r="H883" t="s">
        <v>14</v>
      </c>
      <c r="K883" t="str">
        <f t="shared" si="17"/>
        <v>ED2609-25-TO-App-September 2025 Release Update-JA</v>
      </c>
    </row>
    <row r="884" spans="1:11">
      <c r="A884">
        <v>883</v>
      </c>
      <c r="B884" t="s">
        <v>16</v>
      </c>
      <c r="C884">
        <v>2610</v>
      </c>
      <c r="D884" s="300" t="s">
        <v>5991</v>
      </c>
      <c r="E884" t="s">
        <v>114</v>
      </c>
      <c r="F884" t="s">
        <v>17</v>
      </c>
      <c r="G884" t="s">
        <v>5990</v>
      </c>
      <c r="H884" t="s">
        <v>14</v>
      </c>
      <c r="K884" t="str">
        <f t="shared" si="17"/>
        <v>ED2610-02-TO-KB-Visualize Data in Domo-JA</v>
      </c>
    </row>
    <row r="885" spans="1:11">
      <c r="A885">
        <v>884</v>
      </c>
      <c r="B885" t="s">
        <v>16</v>
      </c>
      <c r="C885">
        <v>2610</v>
      </c>
      <c r="D885" s="300" t="s">
        <v>596</v>
      </c>
      <c r="E885" t="s">
        <v>114</v>
      </c>
      <c r="F885" t="s">
        <v>17</v>
      </c>
      <c r="G885" t="s">
        <v>5997</v>
      </c>
      <c r="H885" t="s">
        <v>14</v>
      </c>
      <c r="I885" t="s">
        <v>5998</v>
      </c>
      <c r="K885" t="str">
        <f t="shared" si="17"/>
        <v>ED2610-06-TO-KB-October-JA Batch-1</v>
      </c>
    </row>
    <row r="886" spans="1:11">
      <c r="A886">
        <v>885</v>
      </c>
      <c r="B886" t="s">
        <v>16</v>
      </c>
      <c r="C886">
        <v>2610</v>
      </c>
      <c r="D886" s="300" t="s">
        <v>596</v>
      </c>
      <c r="E886" t="s">
        <v>114</v>
      </c>
      <c r="F886" t="s">
        <v>17</v>
      </c>
      <c r="G886" t="s">
        <v>5997</v>
      </c>
      <c r="H886" t="s">
        <v>14</v>
      </c>
      <c r="I886" t="s">
        <v>363</v>
      </c>
      <c r="K886" t="str">
        <f t="shared" si="17"/>
        <v>ED2610-06-TO-KB-October-JA Batch-2</v>
      </c>
    </row>
    <row r="887" spans="1:11">
      <c r="A887">
        <v>886</v>
      </c>
      <c r="B887" t="s">
        <v>16</v>
      </c>
      <c r="C887">
        <v>2610</v>
      </c>
      <c r="D887" s="300" t="s">
        <v>596</v>
      </c>
      <c r="E887" t="s">
        <v>114</v>
      </c>
      <c r="F887" t="s">
        <v>17</v>
      </c>
      <c r="G887" t="s">
        <v>5997</v>
      </c>
      <c r="H887" t="s">
        <v>14</v>
      </c>
      <c r="I887" t="s">
        <v>332</v>
      </c>
      <c r="K887" t="str">
        <f t="shared" si="17"/>
        <v>ED2610-06-TO-KB-October-JA Batch-3</v>
      </c>
    </row>
    <row r="888" spans="1:11">
      <c r="A888">
        <v>887</v>
      </c>
      <c r="B888" t="s">
        <v>16</v>
      </c>
      <c r="C888">
        <v>2610</v>
      </c>
      <c r="D888" s="300" t="s">
        <v>596</v>
      </c>
      <c r="E888" t="s">
        <v>114</v>
      </c>
      <c r="F888" t="s">
        <v>17</v>
      </c>
      <c r="G888" t="s">
        <v>5997</v>
      </c>
      <c r="H888" t="s">
        <v>14</v>
      </c>
      <c r="I888" t="s">
        <v>364</v>
      </c>
      <c r="K888" t="str">
        <f t="shared" ref="K888:K954" si="22">B888&amp;C888&amp;"-"&amp;D888&amp;"-"&amp;E888&amp;"-"&amp;F888&amp;"-"&amp;G888&amp;"-"&amp;H888&amp;I888</f>
        <v>ED2610-06-TO-KB-October-JA Batch-4</v>
      </c>
    </row>
    <row r="889" spans="1:11">
      <c r="A889">
        <v>888</v>
      </c>
      <c r="B889" t="s">
        <v>16</v>
      </c>
      <c r="C889">
        <v>2610</v>
      </c>
      <c r="D889" s="300" t="s">
        <v>596</v>
      </c>
      <c r="E889" t="s">
        <v>114</v>
      </c>
      <c r="F889" t="s">
        <v>17</v>
      </c>
      <c r="G889" t="s">
        <v>5997</v>
      </c>
      <c r="H889" t="s">
        <v>14</v>
      </c>
      <c r="I889" t="s">
        <v>336</v>
      </c>
      <c r="K889" t="str">
        <f t="shared" si="22"/>
        <v>ED2610-06-TO-KB-October-JA Batch-5</v>
      </c>
    </row>
    <row r="890" spans="1:11">
      <c r="A890">
        <v>889</v>
      </c>
      <c r="B890" t="s">
        <v>16</v>
      </c>
      <c r="C890">
        <v>2610</v>
      </c>
      <c r="D890" s="300" t="s">
        <v>596</v>
      </c>
      <c r="E890" t="s">
        <v>114</v>
      </c>
      <c r="F890" t="s">
        <v>17</v>
      </c>
      <c r="G890" t="s">
        <v>5997</v>
      </c>
      <c r="H890" t="s">
        <v>14</v>
      </c>
      <c r="I890" t="s">
        <v>404</v>
      </c>
      <c r="K890" t="str">
        <f t="shared" si="22"/>
        <v>ED2610-06-TO-KB-October-JA Batch-6</v>
      </c>
    </row>
    <row r="891" spans="1:11">
      <c r="A891">
        <v>890</v>
      </c>
      <c r="B891" t="s">
        <v>16</v>
      </c>
      <c r="C891">
        <v>2610</v>
      </c>
      <c r="D891" s="300" t="s">
        <v>5180</v>
      </c>
      <c r="E891" t="s">
        <v>114</v>
      </c>
      <c r="F891" t="s">
        <v>17</v>
      </c>
      <c r="G891" t="s">
        <v>578</v>
      </c>
      <c r="H891" t="s">
        <v>14</v>
      </c>
      <c r="I891" t="s">
        <v>341</v>
      </c>
      <c r="K891" t="str">
        <f t="shared" si="22"/>
        <v>ED2610-07-TO-KB-October-JA Batch-7</v>
      </c>
    </row>
    <row r="892" spans="1:11">
      <c r="A892">
        <v>891</v>
      </c>
      <c r="B892" t="s">
        <v>16</v>
      </c>
      <c r="C892">
        <v>2610</v>
      </c>
      <c r="D892" s="300" t="s">
        <v>579</v>
      </c>
      <c r="E892" t="s">
        <v>114</v>
      </c>
      <c r="F892" t="s">
        <v>453</v>
      </c>
      <c r="G892" t="s">
        <v>6009</v>
      </c>
      <c r="H892" t="s">
        <v>6008</v>
      </c>
      <c r="K892" t="str">
        <f t="shared" si="22"/>
        <v>ED2610-08-TO-Document-Domoガイドブック-zh-CN</v>
      </c>
    </row>
    <row r="893" spans="1:11">
      <c r="A893">
        <v>892</v>
      </c>
      <c r="B893" t="s">
        <v>16</v>
      </c>
      <c r="C893">
        <v>2610</v>
      </c>
      <c r="D893" s="300" t="s">
        <v>5182</v>
      </c>
      <c r="E893" t="s">
        <v>114</v>
      </c>
      <c r="F893" t="s">
        <v>17</v>
      </c>
      <c r="G893" t="s">
        <v>578</v>
      </c>
      <c r="H893" t="s">
        <v>14</v>
      </c>
      <c r="I893" t="s">
        <v>6012</v>
      </c>
      <c r="K893" t="str">
        <f t="shared" si="22"/>
        <v>ED2610-09-TO-KB-October-JA Batch-8</v>
      </c>
    </row>
    <row r="894" spans="1:11">
      <c r="A894">
        <v>893</v>
      </c>
      <c r="B894" t="s">
        <v>16</v>
      </c>
      <c r="C894">
        <v>2610</v>
      </c>
      <c r="D894" s="300" t="s">
        <v>5182</v>
      </c>
      <c r="E894" t="s">
        <v>114</v>
      </c>
      <c r="F894" t="s">
        <v>17</v>
      </c>
      <c r="G894" t="s">
        <v>578</v>
      </c>
      <c r="H894" t="s">
        <v>14</v>
      </c>
      <c r="I894" t="s">
        <v>406</v>
      </c>
      <c r="K894" t="str">
        <f t="shared" si="22"/>
        <v>ED2610-09-TO-KB-October-JA Batch-9</v>
      </c>
    </row>
    <row r="895" spans="1:11">
      <c r="A895">
        <v>894</v>
      </c>
      <c r="B895" t="s">
        <v>16</v>
      </c>
      <c r="C895">
        <v>2610</v>
      </c>
      <c r="D895" s="300" t="s">
        <v>5182</v>
      </c>
      <c r="E895" t="s">
        <v>114</v>
      </c>
      <c r="F895" t="s">
        <v>17</v>
      </c>
      <c r="G895" t="s">
        <v>578</v>
      </c>
      <c r="H895" t="s">
        <v>14</v>
      </c>
      <c r="I895" t="s">
        <v>5375</v>
      </c>
      <c r="K895" t="str">
        <f t="shared" si="22"/>
        <v>ED2610-09-TO-KB-October-JA Batch-10</v>
      </c>
    </row>
    <row r="896" spans="1:11">
      <c r="A896">
        <v>895</v>
      </c>
      <c r="B896" t="s">
        <v>16</v>
      </c>
      <c r="C896">
        <v>2610</v>
      </c>
      <c r="D896" s="300" t="s">
        <v>5182</v>
      </c>
      <c r="E896" t="s">
        <v>114</v>
      </c>
      <c r="F896" t="s">
        <v>17</v>
      </c>
      <c r="G896" t="s">
        <v>578</v>
      </c>
      <c r="H896" t="s">
        <v>14</v>
      </c>
      <c r="I896" t="s">
        <v>6018</v>
      </c>
      <c r="K896" t="str">
        <f t="shared" si="22"/>
        <v>ED2610-09-TO-KB-October-JA Batch-11</v>
      </c>
    </row>
    <row r="897" spans="1:11">
      <c r="A897">
        <v>896</v>
      </c>
      <c r="B897" t="s">
        <v>16</v>
      </c>
      <c r="C897">
        <v>2610</v>
      </c>
      <c r="D897" s="300" t="s">
        <v>5182</v>
      </c>
      <c r="E897" t="s">
        <v>114</v>
      </c>
      <c r="F897" t="s">
        <v>17</v>
      </c>
      <c r="G897" t="s">
        <v>578</v>
      </c>
      <c r="H897" t="s">
        <v>14</v>
      </c>
      <c r="I897" t="s">
        <v>6019</v>
      </c>
      <c r="K897" t="str">
        <f t="shared" si="22"/>
        <v>ED2610-09-TO-KB-October-JA Batch-12</v>
      </c>
    </row>
    <row r="898" spans="1:11">
      <c r="A898">
        <v>897</v>
      </c>
      <c r="B898" t="s">
        <v>16</v>
      </c>
      <c r="C898">
        <v>2610</v>
      </c>
      <c r="D898" s="300" t="s">
        <v>5207</v>
      </c>
      <c r="E898" t="s">
        <v>114</v>
      </c>
      <c r="F898" t="s">
        <v>17</v>
      </c>
      <c r="G898" t="s">
        <v>578</v>
      </c>
      <c r="H898" t="s">
        <v>14</v>
      </c>
      <c r="I898" t="s">
        <v>6036</v>
      </c>
      <c r="K898" t="str">
        <f t="shared" si="22"/>
        <v>ED2610-16-TO-KB-October-JA Batch-13</v>
      </c>
    </row>
    <row r="899" spans="1:11">
      <c r="A899">
        <v>898</v>
      </c>
      <c r="B899" t="s">
        <v>16</v>
      </c>
      <c r="C899">
        <v>2610</v>
      </c>
      <c r="D899" s="300" t="s">
        <v>5207</v>
      </c>
      <c r="E899" t="s">
        <v>114</v>
      </c>
      <c r="F899" t="s">
        <v>17</v>
      </c>
      <c r="G899" t="s">
        <v>578</v>
      </c>
      <c r="H899" t="s">
        <v>14</v>
      </c>
      <c r="I899" t="s">
        <v>6039</v>
      </c>
      <c r="K899" t="str">
        <f t="shared" si="22"/>
        <v>ED2610-16-TO-KB-October-JA Batch-14</v>
      </c>
    </row>
    <row r="900" spans="1:11">
      <c r="A900">
        <v>899</v>
      </c>
      <c r="B900" t="s">
        <v>16</v>
      </c>
      <c r="C900">
        <v>2610</v>
      </c>
      <c r="D900" s="300" t="s">
        <v>6926</v>
      </c>
      <c r="E900" t="s">
        <v>114</v>
      </c>
      <c r="F900" t="s">
        <v>17</v>
      </c>
      <c r="G900" t="s">
        <v>6927</v>
      </c>
      <c r="H900" t="s">
        <v>14</v>
      </c>
      <c r="K900" t="str">
        <f t="shared" si="22"/>
        <v>ED2610-21-TO-KB-Category titles-JA</v>
      </c>
    </row>
    <row r="901" spans="1:11">
      <c r="A901">
        <v>900</v>
      </c>
      <c r="B901" t="s">
        <v>16</v>
      </c>
      <c r="C901">
        <v>2610</v>
      </c>
      <c r="D901" s="300" t="s">
        <v>585</v>
      </c>
      <c r="E901" t="s">
        <v>114</v>
      </c>
      <c r="F901" t="s">
        <v>17</v>
      </c>
      <c r="G901" t="s">
        <v>578</v>
      </c>
      <c r="H901" t="s">
        <v>14</v>
      </c>
      <c r="I901" t="s">
        <v>6932</v>
      </c>
      <c r="K901" t="str">
        <f t="shared" si="22"/>
        <v>ED2610-22-TO-KB-October-JA Batch-15</v>
      </c>
    </row>
    <row r="902" spans="1:11">
      <c r="A902">
        <v>901</v>
      </c>
      <c r="B902" t="s">
        <v>16</v>
      </c>
      <c r="C902">
        <v>2610</v>
      </c>
      <c r="D902" s="300" t="s">
        <v>616</v>
      </c>
      <c r="E902" t="s">
        <v>114</v>
      </c>
      <c r="F902" t="s">
        <v>17</v>
      </c>
      <c r="G902" t="s">
        <v>578</v>
      </c>
      <c r="H902" t="s">
        <v>14</v>
      </c>
      <c r="I902" t="s">
        <v>6938</v>
      </c>
      <c r="K902" t="str">
        <f t="shared" si="22"/>
        <v>ED2610-28-TO-KB-October-JA Batch-16</v>
      </c>
    </row>
    <row r="903" spans="1:11">
      <c r="A903">
        <v>902</v>
      </c>
      <c r="B903" t="s">
        <v>16</v>
      </c>
      <c r="C903">
        <v>2610</v>
      </c>
      <c r="D903" s="300" t="s">
        <v>616</v>
      </c>
      <c r="E903" t="s">
        <v>114</v>
      </c>
      <c r="F903" t="s">
        <v>17</v>
      </c>
      <c r="G903" t="s">
        <v>578</v>
      </c>
      <c r="H903" t="s">
        <v>14</v>
      </c>
      <c r="I903" t="s">
        <v>6939</v>
      </c>
      <c r="K903" t="str">
        <f t="shared" si="22"/>
        <v>ED2610-28-TO-KB-October-JA Batch-17</v>
      </c>
    </row>
    <row r="904" spans="1:11">
      <c r="A904">
        <v>903</v>
      </c>
      <c r="B904" t="s">
        <v>16</v>
      </c>
      <c r="C904">
        <v>2610</v>
      </c>
      <c r="D904" s="300" t="s">
        <v>616</v>
      </c>
      <c r="E904" t="s">
        <v>114</v>
      </c>
      <c r="F904" t="s">
        <v>17</v>
      </c>
      <c r="G904" t="s">
        <v>578</v>
      </c>
      <c r="H904" t="s">
        <v>14</v>
      </c>
      <c r="I904" t="s">
        <v>6944</v>
      </c>
      <c r="K904" t="str">
        <f t="shared" si="22"/>
        <v>ED2610-28-TO-KB-October-JA Batch-18</v>
      </c>
    </row>
    <row r="905" spans="1:11">
      <c r="A905">
        <v>904</v>
      </c>
      <c r="B905" t="s">
        <v>16</v>
      </c>
      <c r="C905">
        <v>2610</v>
      </c>
      <c r="D905" s="300" t="s">
        <v>616</v>
      </c>
      <c r="E905" t="s">
        <v>114</v>
      </c>
      <c r="F905" t="s">
        <v>17</v>
      </c>
      <c r="G905" t="s">
        <v>578</v>
      </c>
      <c r="H905" t="s">
        <v>14</v>
      </c>
      <c r="I905" t="s">
        <v>6945</v>
      </c>
      <c r="K905" t="str">
        <f t="shared" si="22"/>
        <v>ED2610-28-TO-KB-October-JA Batch-19</v>
      </c>
    </row>
    <row r="906" spans="1:11">
      <c r="A906">
        <v>905</v>
      </c>
      <c r="B906" t="s">
        <v>16</v>
      </c>
      <c r="C906">
        <v>2610</v>
      </c>
      <c r="D906" s="300" t="s">
        <v>616</v>
      </c>
      <c r="E906" t="s">
        <v>114</v>
      </c>
      <c r="F906" t="s">
        <v>17</v>
      </c>
      <c r="G906" t="s">
        <v>578</v>
      </c>
      <c r="H906" t="s">
        <v>14</v>
      </c>
      <c r="I906" t="s">
        <v>6946</v>
      </c>
      <c r="K906" t="str">
        <f t="shared" si="22"/>
        <v>ED2610-28-TO-KB-October-JA Batch-20</v>
      </c>
    </row>
    <row r="907" spans="1:11">
      <c r="A907">
        <v>906</v>
      </c>
      <c r="B907" t="s">
        <v>16</v>
      </c>
      <c r="C907">
        <v>2611</v>
      </c>
      <c r="D907" s="300" t="s">
        <v>6958</v>
      </c>
      <c r="E907" t="s">
        <v>114</v>
      </c>
      <c r="F907" t="s">
        <v>247</v>
      </c>
      <c r="G907" s="306" t="s">
        <v>6960</v>
      </c>
      <c r="H907" t="s">
        <v>14</v>
      </c>
      <c r="K907" t="str">
        <f t="shared" si="22"/>
        <v>ED2611-04-TO-KB-Support-Workflows Overview-JA</v>
      </c>
    </row>
    <row r="908" spans="1:11">
      <c r="A908">
        <v>907</v>
      </c>
      <c r="B908" t="s">
        <v>16</v>
      </c>
      <c r="C908">
        <v>2611</v>
      </c>
      <c r="D908" s="300" t="s">
        <v>545</v>
      </c>
      <c r="E908" t="s">
        <v>114</v>
      </c>
      <c r="F908" t="s">
        <v>247</v>
      </c>
      <c r="G908" t="s">
        <v>6962</v>
      </c>
      <c r="H908" t="s">
        <v>14</v>
      </c>
      <c r="K908" t="str">
        <f t="shared" si="22"/>
        <v>ED2611-05-TO-KB-Support-ServiceNow Enterprise OAuth Configuration Connector-JA</v>
      </c>
    </row>
    <row r="909" spans="1:11">
      <c r="A909">
        <v>908</v>
      </c>
      <c r="B909" t="s">
        <v>16</v>
      </c>
      <c r="C909">
        <v>2611</v>
      </c>
      <c r="D909" s="300" t="s">
        <v>545</v>
      </c>
      <c r="E909" t="s">
        <v>114</v>
      </c>
      <c r="F909" t="s">
        <v>17</v>
      </c>
      <c r="G909" t="s">
        <v>6976</v>
      </c>
      <c r="H909" t="s">
        <v>14</v>
      </c>
      <c r="K909" t="str">
        <f t="shared" si="22"/>
        <v>ED2611-05-TO-KB-ServiceNow-JA</v>
      </c>
    </row>
    <row r="910" spans="1:11">
      <c r="A910">
        <v>909</v>
      </c>
      <c r="B910" t="s">
        <v>16</v>
      </c>
      <c r="C910">
        <v>2611</v>
      </c>
      <c r="D910" s="300" t="s">
        <v>545</v>
      </c>
      <c r="E910" t="s">
        <v>114</v>
      </c>
      <c r="F910" t="s">
        <v>17</v>
      </c>
      <c r="G910" t="s">
        <v>6980</v>
      </c>
      <c r="H910" t="s">
        <v>14</v>
      </c>
      <c r="I910" t="s">
        <v>6981</v>
      </c>
      <c r="K910" t="str">
        <f t="shared" si="22"/>
        <v>ED2611-05-TO-KB-Google Connectors-JA Batch-1</v>
      </c>
    </row>
    <row r="911" spans="1:11">
      <c r="A911">
        <v>910</v>
      </c>
      <c r="B911" t="s">
        <v>16</v>
      </c>
      <c r="C911">
        <v>2611</v>
      </c>
      <c r="D911" s="300" t="s">
        <v>545</v>
      </c>
      <c r="E911" t="s">
        <v>114</v>
      </c>
      <c r="F911" t="s">
        <v>17</v>
      </c>
      <c r="G911" t="s">
        <v>6980</v>
      </c>
      <c r="H911" t="s">
        <v>14</v>
      </c>
      <c r="I911" t="s">
        <v>6985</v>
      </c>
      <c r="K911" t="str">
        <f t="shared" si="22"/>
        <v>ED2611-05-TO-KB-Google Connectors-JA Batch-2</v>
      </c>
    </row>
    <row r="912" spans="1:11">
      <c r="A912">
        <v>911</v>
      </c>
      <c r="B912" t="s">
        <v>16</v>
      </c>
      <c r="C912">
        <v>2611</v>
      </c>
      <c r="D912" s="300" t="s">
        <v>545</v>
      </c>
      <c r="E912" t="s">
        <v>114</v>
      </c>
      <c r="F912" t="s">
        <v>17</v>
      </c>
      <c r="G912" t="s">
        <v>6980</v>
      </c>
      <c r="H912" t="s">
        <v>14</v>
      </c>
      <c r="I912" t="s">
        <v>332</v>
      </c>
      <c r="K912" t="str">
        <f t="shared" si="22"/>
        <v>ED2611-05-TO-KB-Google Connectors-JA Batch-3</v>
      </c>
    </row>
    <row r="913" spans="1:11">
      <c r="A913">
        <v>912</v>
      </c>
      <c r="B913" t="s">
        <v>16</v>
      </c>
      <c r="C913">
        <v>2611</v>
      </c>
      <c r="D913" s="300" t="s">
        <v>545</v>
      </c>
      <c r="E913" t="s">
        <v>114</v>
      </c>
      <c r="F913" t="s">
        <v>17</v>
      </c>
      <c r="G913" t="s">
        <v>6999</v>
      </c>
      <c r="H913" t="s">
        <v>14</v>
      </c>
      <c r="K913" t="str">
        <f t="shared" si="22"/>
        <v>ED2611-05-TO-KB-New Relic Connectors-JA</v>
      </c>
    </row>
    <row r="914" spans="1:11">
      <c r="A914">
        <v>913</v>
      </c>
      <c r="B914" t="s">
        <v>16</v>
      </c>
      <c r="C914">
        <v>2611</v>
      </c>
      <c r="D914" s="300" t="s">
        <v>641</v>
      </c>
      <c r="E914" t="s">
        <v>114</v>
      </c>
      <c r="F914" t="s">
        <v>17</v>
      </c>
      <c r="G914" t="s">
        <v>7003</v>
      </c>
      <c r="H914" t="s">
        <v>14</v>
      </c>
      <c r="I914" t="s">
        <v>6981</v>
      </c>
      <c r="K914" t="str">
        <f t="shared" si="22"/>
        <v>ED2611-06-TO-KB-November-JA Batch-1</v>
      </c>
    </row>
    <row r="915" spans="1:11">
      <c r="A915">
        <v>914</v>
      </c>
      <c r="B915" t="s">
        <v>16</v>
      </c>
      <c r="C915">
        <v>2611</v>
      </c>
      <c r="D915" s="300" t="s">
        <v>7012</v>
      </c>
      <c r="E915" t="s">
        <v>114</v>
      </c>
      <c r="F915" t="s">
        <v>17</v>
      </c>
      <c r="G915" t="s">
        <v>7011</v>
      </c>
      <c r="H915" t="s">
        <v>14</v>
      </c>
      <c r="K915" t="str">
        <f t="shared" si="22"/>
        <v>ED2611-10-TO-KB-November 2025 Release Notes - JA-JA</v>
      </c>
    </row>
    <row r="916" spans="1:11">
      <c r="A916">
        <v>915</v>
      </c>
      <c r="B916" t="s">
        <v>16</v>
      </c>
      <c r="C916">
        <v>2611</v>
      </c>
      <c r="D916" s="300" t="s">
        <v>7012</v>
      </c>
      <c r="E916" t="s">
        <v>114</v>
      </c>
      <c r="F916" t="s">
        <v>17</v>
      </c>
      <c r="G916" t="s">
        <v>7014</v>
      </c>
      <c r="H916" t="s">
        <v>14</v>
      </c>
      <c r="K916" t="str">
        <f t="shared" si="22"/>
        <v>ED2611-10-TO-KB-freee Enterprise Connector-JA</v>
      </c>
    </row>
    <row r="917" spans="1:11">
      <c r="A917">
        <v>916</v>
      </c>
      <c r="B917" t="s">
        <v>16</v>
      </c>
      <c r="C917">
        <v>2611</v>
      </c>
      <c r="D917" s="300" t="s">
        <v>7012</v>
      </c>
      <c r="E917" t="s">
        <v>114</v>
      </c>
      <c r="F917" t="s">
        <v>17</v>
      </c>
      <c r="G917" t="s">
        <v>458</v>
      </c>
      <c r="H917" t="s">
        <v>14</v>
      </c>
      <c r="I917" t="s">
        <v>310</v>
      </c>
      <c r="K917" t="str">
        <f t="shared" si="22"/>
        <v>ED2611-10-TO-KB-November-JA Batch-2</v>
      </c>
    </row>
    <row r="918" spans="1:11">
      <c r="A918">
        <v>917</v>
      </c>
      <c r="B918" t="s">
        <v>16</v>
      </c>
      <c r="C918">
        <v>2611</v>
      </c>
      <c r="D918" s="300" t="s">
        <v>7029</v>
      </c>
      <c r="E918" t="s">
        <v>114</v>
      </c>
      <c r="F918" t="s">
        <v>17</v>
      </c>
      <c r="G918" t="s">
        <v>7028</v>
      </c>
      <c r="H918" t="s">
        <v>14</v>
      </c>
      <c r="K918" t="str">
        <f t="shared" si="22"/>
        <v>ED2611-11-TO-KB-Relocalize-JA</v>
      </c>
    </row>
    <row r="919" spans="1:11">
      <c r="A919">
        <v>918</v>
      </c>
      <c r="B919" t="s">
        <v>16</v>
      </c>
      <c r="C919">
        <v>2611</v>
      </c>
      <c r="D919" s="300" t="s">
        <v>548</v>
      </c>
      <c r="E919" t="s">
        <v>114</v>
      </c>
      <c r="F919" t="s">
        <v>17</v>
      </c>
      <c r="G919" s="4" t="s">
        <v>7034</v>
      </c>
      <c r="H919" t="s">
        <v>14</v>
      </c>
      <c r="K919" t="str">
        <f t="shared" si="22"/>
        <v>ED2611-12-TO-KB-Updated November 2025 Release Notes - JA-JA</v>
      </c>
    </row>
    <row r="920" spans="1:11">
      <c r="A920">
        <v>919</v>
      </c>
      <c r="B920" t="s">
        <v>16</v>
      </c>
      <c r="C920">
        <v>2611</v>
      </c>
      <c r="D920" s="300" t="s">
        <v>597</v>
      </c>
      <c r="E920" t="s">
        <v>114</v>
      </c>
      <c r="F920" t="s">
        <v>17</v>
      </c>
      <c r="G920" t="s">
        <v>458</v>
      </c>
      <c r="H920" t="s">
        <v>14</v>
      </c>
      <c r="I920" t="s">
        <v>489</v>
      </c>
      <c r="K920" t="str">
        <f t="shared" si="22"/>
        <v>ED2611-13-TO-KB-November-JA Batch-3</v>
      </c>
    </row>
    <row r="921" spans="1:11">
      <c r="A921">
        <v>920</v>
      </c>
      <c r="B921" t="s">
        <v>16</v>
      </c>
      <c r="C921">
        <v>2611</v>
      </c>
      <c r="D921" s="300" t="s">
        <v>597</v>
      </c>
      <c r="E921" t="s">
        <v>114</v>
      </c>
      <c r="F921" t="s">
        <v>17</v>
      </c>
      <c r="G921" t="s">
        <v>458</v>
      </c>
      <c r="H921" t="s">
        <v>14</v>
      </c>
      <c r="I921" t="s">
        <v>364</v>
      </c>
      <c r="K921" t="str">
        <f t="shared" si="22"/>
        <v>ED2611-13-TO-KB-November-JA Batch-4</v>
      </c>
    </row>
    <row r="922" spans="1:11">
      <c r="A922">
        <v>921</v>
      </c>
      <c r="B922" t="s">
        <v>16</v>
      </c>
      <c r="C922">
        <v>2611</v>
      </c>
      <c r="D922" s="300" t="s">
        <v>597</v>
      </c>
      <c r="E922" t="s">
        <v>114</v>
      </c>
      <c r="F922" t="s">
        <v>17</v>
      </c>
      <c r="G922" t="s">
        <v>458</v>
      </c>
      <c r="H922" t="s">
        <v>14</v>
      </c>
      <c r="I922" t="s">
        <v>336</v>
      </c>
      <c r="K922" t="str">
        <f t="shared" si="22"/>
        <v>ED2611-13-TO-KB-November-JA Batch-5</v>
      </c>
    </row>
    <row r="923" spans="1:11">
      <c r="A923">
        <v>922</v>
      </c>
      <c r="B923" t="s">
        <v>16</v>
      </c>
      <c r="C923">
        <v>2611</v>
      </c>
      <c r="D923" s="300" t="s">
        <v>597</v>
      </c>
      <c r="E923" t="s">
        <v>114</v>
      </c>
      <c r="F923" t="s">
        <v>17</v>
      </c>
      <c r="G923" t="s">
        <v>458</v>
      </c>
      <c r="H923" t="s">
        <v>14</v>
      </c>
      <c r="I923" t="s">
        <v>404</v>
      </c>
      <c r="K923" t="str">
        <f t="shared" si="22"/>
        <v>ED2611-13-TO-KB-November-JA Batch-6</v>
      </c>
    </row>
    <row r="924" spans="1:11">
      <c r="A924">
        <v>923</v>
      </c>
      <c r="B924" t="s">
        <v>16</v>
      </c>
      <c r="C924">
        <v>2611</v>
      </c>
      <c r="D924" s="300" t="s">
        <v>597</v>
      </c>
      <c r="E924" t="s">
        <v>114</v>
      </c>
      <c r="F924" t="s">
        <v>17</v>
      </c>
      <c r="G924" t="s">
        <v>458</v>
      </c>
      <c r="H924" t="s">
        <v>14</v>
      </c>
      <c r="I924" t="s">
        <v>341</v>
      </c>
      <c r="K924" t="str">
        <f t="shared" si="22"/>
        <v>ED2611-13-TO-KB-November-JA Batch-7</v>
      </c>
    </row>
    <row r="925" spans="1:11">
      <c r="A925">
        <v>924</v>
      </c>
      <c r="B925" t="s">
        <v>16</v>
      </c>
      <c r="C925">
        <v>2611</v>
      </c>
      <c r="D925" s="300" t="s">
        <v>597</v>
      </c>
      <c r="E925" t="s">
        <v>114</v>
      </c>
      <c r="F925" t="s">
        <v>17</v>
      </c>
      <c r="G925" t="s">
        <v>458</v>
      </c>
      <c r="H925" t="s">
        <v>14</v>
      </c>
      <c r="I925" t="s">
        <v>405</v>
      </c>
      <c r="K925" t="str">
        <f t="shared" si="22"/>
        <v>ED2611-13-TO-KB-November-JA Batch-8</v>
      </c>
    </row>
    <row r="926" spans="1:11">
      <c r="A926">
        <v>925</v>
      </c>
      <c r="B926" t="s">
        <v>16</v>
      </c>
      <c r="C926">
        <v>2611</v>
      </c>
      <c r="D926" s="300" t="s">
        <v>597</v>
      </c>
      <c r="E926" t="s">
        <v>114</v>
      </c>
      <c r="F926" t="s">
        <v>17</v>
      </c>
      <c r="G926" t="s">
        <v>458</v>
      </c>
      <c r="H926" t="s">
        <v>14</v>
      </c>
      <c r="I926" t="s">
        <v>406</v>
      </c>
      <c r="K926" t="str">
        <f t="shared" si="22"/>
        <v>ED2611-13-TO-KB-November-JA Batch-9</v>
      </c>
    </row>
    <row r="927" spans="1:11">
      <c r="A927">
        <v>926</v>
      </c>
      <c r="B927" t="s">
        <v>16</v>
      </c>
      <c r="C927">
        <v>2611</v>
      </c>
      <c r="D927" s="300" t="s">
        <v>597</v>
      </c>
      <c r="E927" t="s">
        <v>114</v>
      </c>
      <c r="F927" t="s">
        <v>17</v>
      </c>
      <c r="G927" t="s">
        <v>458</v>
      </c>
      <c r="H927" t="s">
        <v>14</v>
      </c>
      <c r="I927" t="s">
        <v>5375</v>
      </c>
      <c r="K927" t="str">
        <f t="shared" si="22"/>
        <v>ED2611-13-TO-KB-November-JA Batch-10</v>
      </c>
    </row>
    <row r="928" spans="1:11">
      <c r="A928">
        <v>927</v>
      </c>
      <c r="B928" t="s">
        <v>16</v>
      </c>
      <c r="C928">
        <v>2611</v>
      </c>
      <c r="D928" s="300" t="s">
        <v>560</v>
      </c>
      <c r="E928" t="s">
        <v>114</v>
      </c>
      <c r="F928" t="s">
        <v>17</v>
      </c>
      <c r="G928" t="s">
        <v>7048</v>
      </c>
      <c r="H928" t="s">
        <v>14</v>
      </c>
      <c r="I928" t="s">
        <v>7079</v>
      </c>
      <c r="K928" t="str">
        <f t="shared" si="22"/>
        <v>ED2611-19-TO-KB-KB Updates for November 2025 GA Release-JA Batch-1</v>
      </c>
    </row>
    <row r="929" spans="1:11">
      <c r="A929">
        <v>928</v>
      </c>
      <c r="B929" t="s">
        <v>16</v>
      </c>
      <c r="C929">
        <v>2611</v>
      </c>
      <c r="D929" s="300" t="s">
        <v>560</v>
      </c>
      <c r="E929" t="s">
        <v>114</v>
      </c>
      <c r="F929" t="s">
        <v>17</v>
      </c>
      <c r="G929" t="s">
        <v>7048</v>
      </c>
      <c r="H929" t="s">
        <v>14</v>
      </c>
      <c r="I929" t="s">
        <v>363</v>
      </c>
      <c r="K929" t="str">
        <f t="shared" ref="K929" si="23">B929&amp;C929&amp;"-"&amp;D929&amp;"-"&amp;E929&amp;"-"&amp;F929&amp;"-"&amp;G929&amp;"-"&amp;H929&amp;I929</f>
        <v>ED2611-19-TO-KB-KB Updates for November 2025 GA Release-JA Batch-2</v>
      </c>
    </row>
    <row r="930" spans="1:11">
      <c r="A930">
        <v>929</v>
      </c>
      <c r="B930" t="s">
        <v>16</v>
      </c>
      <c r="C930">
        <v>2611</v>
      </c>
      <c r="D930" s="300" t="s">
        <v>560</v>
      </c>
      <c r="E930" t="s">
        <v>114</v>
      </c>
      <c r="F930" t="s">
        <v>17</v>
      </c>
      <c r="G930" t="s">
        <v>7048</v>
      </c>
      <c r="H930" t="s">
        <v>14</v>
      </c>
      <c r="I930" t="s">
        <v>332</v>
      </c>
      <c r="K930" t="str">
        <f t="shared" si="22"/>
        <v>ED2611-19-TO-KB-KB Updates for November 2025 GA Release-JA Batch-3</v>
      </c>
    </row>
    <row r="931" spans="1:11">
      <c r="A931">
        <v>930</v>
      </c>
      <c r="B931" t="s">
        <v>42</v>
      </c>
      <c r="C931">
        <v>2612</v>
      </c>
      <c r="D931" s="300" t="s">
        <v>7067</v>
      </c>
      <c r="E931" t="s">
        <v>114</v>
      </c>
      <c r="F931" t="s">
        <v>453</v>
      </c>
      <c r="G931" t="s">
        <v>7066</v>
      </c>
      <c r="H931" t="s">
        <v>14</v>
      </c>
      <c r="K931" t="str">
        <f t="shared" si="22"/>
        <v>CS2612-03-TO-Document-Domo.AI Security and Privacy-JA</v>
      </c>
    </row>
    <row r="932" spans="1:11">
      <c r="A932">
        <v>931</v>
      </c>
      <c r="B932" t="s">
        <v>16</v>
      </c>
      <c r="C932">
        <v>2612</v>
      </c>
      <c r="D932" s="300" t="s">
        <v>7071</v>
      </c>
      <c r="E932" t="s">
        <v>114</v>
      </c>
      <c r="F932" t="s">
        <v>17</v>
      </c>
      <c r="G932" t="s">
        <v>7070</v>
      </c>
      <c r="H932" t="s">
        <v>14</v>
      </c>
      <c r="K932" t="str">
        <f t="shared" si="22"/>
        <v>ED2612-10-TO-KB-Cloud Integrations (Cloud Amplifier) Troubleshooting-JA</v>
      </c>
    </row>
    <row r="933" spans="1:11">
      <c r="A933">
        <v>932</v>
      </c>
      <c r="B933" t="s">
        <v>16</v>
      </c>
      <c r="C933">
        <v>2612</v>
      </c>
      <c r="D933" s="300" t="s">
        <v>7073</v>
      </c>
      <c r="E933" t="s">
        <v>114</v>
      </c>
      <c r="F933" t="s">
        <v>17</v>
      </c>
      <c r="G933" t="s">
        <v>7074</v>
      </c>
      <c r="H933" t="s">
        <v>14</v>
      </c>
      <c r="I933" t="s">
        <v>7075</v>
      </c>
      <c r="K933" t="str">
        <f t="shared" si="22"/>
        <v>ED2612-11-TO-KB-December-JA Batch-1</v>
      </c>
    </row>
    <row r="934" spans="1:11">
      <c r="A934">
        <v>933</v>
      </c>
      <c r="B934" t="s">
        <v>16</v>
      </c>
      <c r="C934">
        <v>2612</v>
      </c>
      <c r="D934" s="300" t="s">
        <v>583</v>
      </c>
      <c r="E934" t="s">
        <v>114</v>
      </c>
      <c r="F934" t="s">
        <v>17</v>
      </c>
      <c r="G934" t="s">
        <v>472</v>
      </c>
      <c r="H934" t="s">
        <v>14</v>
      </c>
      <c r="I934" t="s">
        <v>363</v>
      </c>
      <c r="K934" t="str">
        <f t="shared" si="22"/>
        <v>ED2612-15-TO-KB-December-JA Batch-2</v>
      </c>
    </row>
    <row r="935" spans="1:11">
      <c r="A935">
        <v>934</v>
      </c>
      <c r="B935" t="s">
        <v>16</v>
      </c>
      <c r="C935">
        <v>2612</v>
      </c>
      <c r="D935" s="300" t="s">
        <v>583</v>
      </c>
      <c r="E935" t="s">
        <v>114</v>
      </c>
      <c r="F935" t="s">
        <v>17</v>
      </c>
      <c r="G935" t="s">
        <v>472</v>
      </c>
      <c r="H935" t="s">
        <v>14</v>
      </c>
      <c r="I935" t="s">
        <v>332</v>
      </c>
      <c r="K935" t="str">
        <f t="shared" si="22"/>
        <v>ED2612-15-TO-KB-December-JA Batch-3</v>
      </c>
    </row>
    <row r="936" spans="1:11">
      <c r="A936">
        <v>935</v>
      </c>
      <c r="B936" t="s">
        <v>16</v>
      </c>
      <c r="C936">
        <v>2612</v>
      </c>
      <c r="D936" s="300" t="s">
        <v>583</v>
      </c>
      <c r="E936" t="s">
        <v>114</v>
      </c>
      <c r="F936" t="s">
        <v>17</v>
      </c>
      <c r="G936" t="s">
        <v>472</v>
      </c>
      <c r="H936" t="s">
        <v>14</v>
      </c>
      <c r="I936" t="s">
        <v>364</v>
      </c>
      <c r="K936" t="str">
        <f t="shared" si="22"/>
        <v>ED2612-15-TO-KB-December-JA Batch-4</v>
      </c>
    </row>
    <row r="937" spans="1:11">
      <c r="A937">
        <v>936</v>
      </c>
      <c r="B937" t="s">
        <v>16</v>
      </c>
      <c r="C937">
        <v>2612</v>
      </c>
      <c r="D937" s="300" t="s">
        <v>583</v>
      </c>
      <c r="E937" t="s">
        <v>114</v>
      </c>
      <c r="F937" t="s">
        <v>17</v>
      </c>
      <c r="G937" t="s">
        <v>472</v>
      </c>
      <c r="H937" t="s">
        <v>14</v>
      </c>
      <c r="I937" t="s">
        <v>336</v>
      </c>
      <c r="K937" t="str">
        <f t="shared" si="22"/>
        <v>ED2612-15-TO-KB-December-JA Batch-5</v>
      </c>
    </row>
    <row r="938" spans="1:11">
      <c r="A938">
        <v>937</v>
      </c>
      <c r="B938" t="s">
        <v>16</v>
      </c>
      <c r="C938">
        <v>2612</v>
      </c>
      <c r="D938" s="300" t="s">
        <v>583</v>
      </c>
      <c r="E938" t="s">
        <v>114</v>
      </c>
      <c r="F938" t="s">
        <v>17</v>
      </c>
      <c r="G938" t="s">
        <v>472</v>
      </c>
      <c r="H938" t="s">
        <v>14</v>
      </c>
      <c r="I938" t="s">
        <v>404</v>
      </c>
      <c r="K938" t="str">
        <f t="shared" si="22"/>
        <v>ED2612-15-TO-KB-December-JA Batch-6</v>
      </c>
    </row>
    <row r="939" spans="1:11">
      <c r="A939">
        <v>938</v>
      </c>
      <c r="B939" t="s">
        <v>16</v>
      </c>
      <c r="C939">
        <v>2612</v>
      </c>
      <c r="D939" s="300" t="s">
        <v>583</v>
      </c>
      <c r="E939" t="s">
        <v>114</v>
      </c>
      <c r="F939" t="s">
        <v>17</v>
      </c>
      <c r="G939" t="s">
        <v>472</v>
      </c>
      <c r="H939" t="s">
        <v>14</v>
      </c>
      <c r="I939" t="s">
        <v>341</v>
      </c>
      <c r="K939" t="str">
        <f t="shared" si="22"/>
        <v>ED2612-15-TO-KB-December-JA Batch-7</v>
      </c>
    </row>
    <row r="940" spans="1:11">
      <c r="A940">
        <v>939</v>
      </c>
      <c r="B940" t="s">
        <v>16</v>
      </c>
      <c r="C940">
        <v>2612</v>
      </c>
      <c r="D940" s="300" t="s">
        <v>583</v>
      </c>
      <c r="E940" t="s">
        <v>114</v>
      </c>
      <c r="F940" t="s">
        <v>17</v>
      </c>
      <c r="G940" t="s">
        <v>472</v>
      </c>
      <c r="H940" t="s">
        <v>14</v>
      </c>
      <c r="I940" t="s">
        <v>405</v>
      </c>
      <c r="K940" t="str">
        <f t="shared" si="22"/>
        <v>ED2612-15-TO-KB-December-JA Batch-8</v>
      </c>
    </row>
    <row r="941" spans="1:11">
      <c r="A941">
        <v>940</v>
      </c>
      <c r="B941" t="s">
        <v>16</v>
      </c>
      <c r="C941">
        <v>2612</v>
      </c>
      <c r="D941" s="300" t="s">
        <v>552</v>
      </c>
      <c r="E941" t="s">
        <v>114</v>
      </c>
      <c r="F941" t="s">
        <v>17</v>
      </c>
      <c r="G941" t="s">
        <v>7139</v>
      </c>
      <c r="H941" t="s">
        <v>14</v>
      </c>
      <c r="K941" t="str">
        <f t="shared" si="22"/>
        <v>ED2612-17-TO-KB-Article titles-JA</v>
      </c>
    </row>
    <row r="942" spans="1:11">
      <c r="A942">
        <v>941</v>
      </c>
      <c r="B942" t="s">
        <v>16</v>
      </c>
      <c r="C942">
        <v>2601</v>
      </c>
      <c r="D942" s="300" t="s">
        <v>7159</v>
      </c>
      <c r="E942" t="s">
        <v>114</v>
      </c>
      <c r="F942" t="s">
        <v>17</v>
      </c>
      <c r="G942" t="s">
        <v>7162</v>
      </c>
      <c r="H942" t="s">
        <v>14</v>
      </c>
      <c r="K942" t="str">
        <f t="shared" si="22"/>
        <v>ED2601-15-TO-KB-January 2026 Release Notes-JA</v>
      </c>
    </row>
    <row r="943" spans="1:11">
      <c r="A943">
        <v>942</v>
      </c>
      <c r="B943" t="s">
        <v>16</v>
      </c>
      <c r="C943">
        <v>2601</v>
      </c>
      <c r="D943" s="300" t="s">
        <v>7159</v>
      </c>
      <c r="E943" t="s">
        <v>114</v>
      </c>
      <c r="F943" t="s">
        <v>17</v>
      </c>
      <c r="G943" t="s">
        <v>7163</v>
      </c>
      <c r="H943" t="s">
        <v>14</v>
      </c>
      <c r="I943" t="s">
        <v>7164</v>
      </c>
      <c r="K943" t="str">
        <f t="shared" ref="K943" si="24">B943&amp;C943&amp;"-"&amp;D943&amp;"-"&amp;E943&amp;"-"&amp;F943&amp;"-"&amp;G943&amp;"-"&amp;H943&amp;I943</f>
        <v>ED2601-15-TO-KB-January-JA Batch-1</v>
      </c>
    </row>
    <row r="944" spans="1:11">
      <c r="A944">
        <v>943</v>
      </c>
      <c r="B944" t="s">
        <v>16</v>
      </c>
      <c r="C944">
        <v>2601</v>
      </c>
      <c r="D944" s="300" t="s">
        <v>7159</v>
      </c>
      <c r="E944" t="s">
        <v>114</v>
      </c>
      <c r="F944" t="s">
        <v>17</v>
      </c>
      <c r="G944" t="s">
        <v>7163</v>
      </c>
      <c r="H944" t="s">
        <v>14</v>
      </c>
      <c r="I944" t="s">
        <v>363</v>
      </c>
      <c r="K944" t="str">
        <f t="shared" si="22"/>
        <v>ED2601-15-TO-KB-January-JA Batch-2</v>
      </c>
    </row>
    <row r="945" spans="1:11">
      <c r="A945">
        <v>944</v>
      </c>
      <c r="B945" t="s">
        <v>16</v>
      </c>
      <c r="C945">
        <v>2601</v>
      </c>
      <c r="D945" s="300" t="s">
        <v>7159</v>
      </c>
      <c r="E945" t="s">
        <v>114</v>
      </c>
      <c r="F945" t="s">
        <v>17</v>
      </c>
      <c r="G945" t="s">
        <v>7163</v>
      </c>
      <c r="H945" t="s">
        <v>14</v>
      </c>
      <c r="I945" t="s">
        <v>332</v>
      </c>
      <c r="K945" t="str">
        <f t="shared" si="22"/>
        <v>ED2601-15-TO-KB-January-JA Batch-3</v>
      </c>
    </row>
    <row r="946" spans="1:11">
      <c r="A946">
        <v>945</v>
      </c>
      <c r="B946" t="s">
        <v>16</v>
      </c>
      <c r="C946">
        <v>2601</v>
      </c>
      <c r="D946" s="300" t="s">
        <v>636</v>
      </c>
      <c r="E946" t="s">
        <v>114</v>
      </c>
      <c r="F946" t="s">
        <v>17</v>
      </c>
      <c r="G946" t="s">
        <v>480</v>
      </c>
      <c r="H946" t="s">
        <v>14</v>
      </c>
      <c r="I946" t="s">
        <v>7175</v>
      </c>
      <c r="K946" t="str">
        <f t="shared" si="22"/>
        <v>ED2601-27-TO-KB-January-JA Batch-4</v>
      </c>
    </row>
    <row r="947" spans="1:11">
      <c r="A947">
        <v>946</v>
      </c>
      <c r="B947" t="s">
        <v>16</v>
      </c>
      <c r="C947">
        <v>2601</v>
      </c>
      <c r="D947" s="300" t="s">
        <v>583</v>
      </c>
      <c r="E947" t="s">
        <v>114</v>
      </c>
      <c r="F947" t="s">
        <v>17</v>
      </c>
      <c r="G947" t="s">
        <v>7161</v>
      </c>
      <c r="H947" t="s">
        <v>14</v>
      </c>
      <c r="I947" t="s">
        <v>278</v>
      </c>
      <c r="K947" t="str">
        <f t="shared" si="22"/>
        <v>ED2601-15-TO-KB-January 2026 Release Notes-JA Update</v>
      </c>
    </row>
    <row r="948" spans="1:11">
      <c r="A948">
        <v>947</v>
      </c>
      <c r="B948" t="s">
        <v>16</v>
      </c>
      <c r="C948">
        <v>2601</v>
      </c>
      <c r="D948" s="300" t="s">
        <v>611</v>
      </c>
      <c r="E948" t="s">
        <v>114</v>
      </c>
      <c r="F948" t="s">
        <v>17</v>
      </c>
      <c r="G948" t="s">
        <v>7274</v>
      </c>
      <c r="H948" t="s">
        <v>14</v>
      </c>
      <c r="I948" t="s">
        <v>7275</v>
      </c>
      <c r="K948" t="str">
        <f t="shared" si="22"/>
        <v>ED2601-21-TO-KB-January New Updates-JA Batch-1</v>
      </c>
    </row>
    <row r="949" spans="1:11">
      <c r="A949">
        <v>948</v>
      </c>
      <c r="B949" t="s">
        <v>16</v>
      </c>
      <c r="C949">
        <v>2601</v>
      </c>
      <c r="D949" s="300" t="s">
        <v>611</v>
      </c>
      <c r="E949" t="s">
        <v>114</v>
      </c>
      <c r="F949" t="s">
        <v>17</v>
      </c>
      <c r="G949" t="s">
        <v>7274</v>
      </c>
      <c r="H949" t="s">
        <v>14</v>
      </c>
      <c r="I949" t="s">
        <v>363</v>
      </c>
      <c r="K949" t="str">
        <f t="shared" si="22"/>
        <v>ED2601-21-TO-KB-January New Updates-JA Batch-2</v>
      </c>
    </row>
    <row r="950" spans="1:11">
      <c r="A950">
        <v>949</v>
      </c>
      <c r="B950" t="s">
        <v>16</v>
      </c>
      <c r="C950">
        <v>2601</v>
      </c>
      <c r="D950" s="300" t="s">
        <v>585</v>
      </c>
      <c r="E950" t="s">
        <v>114</v>
      </c>
      <c r="F950" t="s">
        <v>17</v>
      </c>
      <c r="G950" t="s">
        <v>7161</v>
      </c>
      <c r="H950" t="s">
        <v>14</v>
      </c>
      <c r="I950" t="s">
        <v>7284</v>
      </c>
      <c r="K950" t="str">
        <f t="shared" ref="K950" si="25">B950&amp;C950&amp;"-"&amp;D950&amp;"-"&amp;E950&amp;"-"&amp;F950&amp;"-"&amp;G950&amp;"-"&amp;H950&amp;I950</f>
        <v>ED2601-22-TO-KB-January 2026 Release Notes-JA Update-2</v>
      </c>
    </row>
    <row r="951" spans="1:11">
      <c r="A951">
        <v>950</v>
      </c>
      <c r="B951" t="s">
        <v>16</v>
      </c>
      <c r="C951">
        <v>2601</v>
      </c>
      <c r="D951" s="300" t="s">
        <v>563</v>
      </c>
      <c r="E951" t="s">
        <v>114</v>
      </c>
      <c r="F951" t="s">
        <v>17</v>
      </c>
      <c r="G951" t="s">
        <v>7274</v>
      </c>
      <c r="H951" t="s">
        <v>14</v>
      </c>
      <c r="I951" t="s">
        <v>7286</v>
      </c>
      <c r="K951" t="str">
        <f t="shared" si="22"/>
        <v>ED2601-26-TO-KB-January New Updates-JA Batch-3</v>
      </c>
    </row>
    <row r="952" spans="1:11">
      <c r="A952">
        <v>951</v>
      </c>
      <c r="B952" t="s">
        <v>16</v>
      </c>
      <c r="C952">
        <v>2601</v>
      </c>
      <c r="D952" s="300" t="s">
        <v>563</v>
      </c>
      <c r="E952" t="s">
        <v>114</v>
      </c>
      <c r="F952" t="s">
        <v>17</v>
      </c>
      <c r="G952" t="s">
        <v>7274</v>
      </c>
      <c r="H952" t="s">
        <v>14</v>
      </c>
      <c r="I952" t="s">
        <v>364</v>
      </c>
      <c r="K952" t="str">
        <f t="shared" si="22"/>
        <v>ED2601-26-TO-KB-January New Updates-JA Batch-4</v>
      </c>
    </row>
    <row r="953" spans="1:11">
      <c r="A953">
        <v>952</v>
      </c>
      <c r="B953" t="s">
        <v>16</v>
      </c>
      <c r="C953">
        <v>2601</v>
      </c>
      <c r="D953" s="300" t="s">
        <v>563</v>
      </c>
      <c r="E953" t="s">
        <v>114</v>
      </c>
      <c r="F953" t="s">
        <v>17</v>
      </c>
      <c r="G953" t="s">
        <v>7274</v>
      </c>
      <c r="H953" t="s">
        <v>14</v>
      </c>
      <c r="I953" t="s">
        <v>336</v>
      </c>
      <c r="K953" t="str">
        <f t="shared" si="22"/>
        <v>ED2601-26-TO-KB-January New Updates-JA Batch-5</v>
      </c>
    </row>
    <row r="954" spans="1:11">
      <c r="A954">
        <v>953</v>
      </c>
      <c r="B954" t="s">
        <v>16</v>
      </c>
      <c r="C954">
        <v>2601</v>
      </c>
      <c r="D954" s="300" t="s">
        <v>563</v>
      </c>
      <c r="E954" t="s">
        <v>114</v>
      </c>
      <c r="F954" t="s">
        <v>17</v>
      </c>
      <c r="G954" t="s">
        <v>7274</v>
      </c>
      <c r="H954" t="s">
        <v>14</v>
      </c>
      <c r="I954" t="s">
        <v>404</v>
      </c>
      <c r="K954" t="str">
        <f t="shared" si="22"/>
        <v>ED2601-26-TO-KB-January New Updates-JA Batch-6</v>
      </c>
    </row>
    <row r="955" spans="1:11">
      <c r="A955">
        <v>954</v>
      </c>
      <c r="B955" t="s">
        <v>16</v>
      </c>
      <c r="C955">
        <v>2601</v>
      </c>
      <c r="D955" s="300" t="s">
        <v>616</v>
      </c>
      <c r="E955" t="s">
        <v>114</v>
      </c>
      <c r="F955" t="s">
        <v>17</v>
      </c>
      <c r="G955" t="s">
        <v>7300</v>
      </c>
      <c r="H955" t="s">
        <v>14</v>
      </c>
      <c r="K955" t="str">
        <f t="shared" ref="K955:K1018" si="26">B955&amp;C955&amp;"-"&amp;D955&amp;"-"&amp;E955&amp;"-"&amp;F955&amp;"-"&amp;G955&amp;"-"&amp;H955&amp;I955</f>
        <v>ED2601-28-TO-KB-Specify Default Overview Content for Users-JA</v>
      </c>
    </row>
    <row r="956" spans="1:11">
      <c r="A956">
        <v>955</v>
      </c>
      <c r="B956" t="s">
        <v>16</v>
      </c>
      <c r="C956">
        <v>2601</v>
      </c>
      <c r="D956" s="300" t="s">
        <v>7302</v>
      </c>
      <c r="E956" t="s">
        <v>114</v>
      </c>
      <c r="F956" t="s">
        <v>40</v>
      </c>
      <c r="G956" s="300" t="s">
        <v>7307</v>
      </c>
      <c r="H956" t="s">
        <v>14</v>
      </c>
      <c r="K956" t="str">
        <f t="shared" si="26"/>
        <v>ED2601-29-TO-App-November 2025-January 2026-JA</v>
      </c>
    </row>
    <row r="957" spans="1:11">
      <c r="A957">
        <v>956</v>
      </c>
      <c r="B957" t="s">
        <v>16</v>
      </c>
      <c r="C957">
        <v>2601</v>
      </c>
      <c r="D957" s="300" t="s">
        <v>7302</v>
      </c>
      <c r="E957" t="s">
        <v>114</v>
      </c>
      <c r="F957" t="s">
        <v>137</v>
      </c>
      <c r="G957" s="300" t="s">
        <v>7310</v>
      </c>
      <c r="H957" t="s">
        <v>14</v>
      </c>
      <c r="K957" t="str">
        <f t="shared" si="26"/>
        <v>ED2601-29-TO-Education-AVP Palooza Cert Questions &amp; Training Modules-JA</v>
      </c>
    </row>
    <row r="958" spans="1:11">
      <c r="A958">
        <v>957</v>
      </c>
      <c r="B958" t="s">
        <v>16</v>
      </c>
      <c r="C958">
        <v>2601</v>
      </c>
      <c r="D958" s="300" t="s">
        <v>7302</v>
      </c>
      <c r="E958" t="s">
        <v>114</v>
      </c>
      <c r="F958" t="s">
        <v>17</v>
      </c>
      <c r="G958" t="s">
        <v>7274</v>
      </c>
      <c r="H958" t="s">
        <v>14</v>
      </c>
      <c r="I958" t="s">
        <v>7314</v>
      </c>
      <c r="K958" t="str">
        <f t="shared" si="26"/>
        <v>ED2601-29-TO-KB-January New Updates-JA Batch-7</v>
      </c>
    </row>
    <row r="959" spans="1:11">
      <c r="A959">
        <v>958</v>
      </c>
      <c r="B959" s="281" t="s">
        <v>16</v>
      </c>
      <c r="C959" s="282">
        <v>2601</v>
      </c>
      <c r="D959" s="472" t="s">
        <v>7302</v>
      </c>
      <c r="E959" s="282" t="s">
        <v>114</v>
      </c>
      <c r="F959" s="282" t="s">
        <v>17</v>
      </c>
      <c r="G959" s="282" t="s">
        <v>7274</v>
      </c>
      <c r="H959" s="282" t="s">
        <v>14</v>
      </c>
      <c r="I959" s="282" t="s">
        <v>405</v>
      </c>
      <c r="J959" s="282"/>
      <c r="K959" s="282" t="str">
        <f t="shared" si="26"/>
        <v>ED2601-29-TO-KB-January New Updates-JA Batch-8</v>
      </c>
    </row>
    <row r="960" spans="1:11">
      <c r="A960">
        <v>959</v>
      </c>
      <c r="B960" t="s">
        <v>16</v>
      </c>
      <c r="C960">
        <v>2703</v>
      </c>
      <c r="D960" s="300" t="s">
        <v>7382</v>
      </c>
      <c r="E960" t="s">
        <v>114</v>
      </c>
      <c r="F960" t="s">
        <v>17</v>
      </c>
      <c r="G960" t="s">
        <v>7318</v>
      </c>
      <c r="H960" t="s">
        <v>14</v>
      </c>
      <c r="K960" t="str">
        <f t="shared" si="26"/>
        <v>ED2703-05-TO-KB-Jan. 26 GA Release KB Updates-JA</v>
      </c>
    </row>
    <row r="961" spans="1:11">
      <c r="A961">
        <v>960</v>
      </c>
      <c r="B961" t="s">
        <v>16</v>
      </c>
      <c r="C961">
        <v>2702</v>
      </c>
      <c r="D961" s="300" t="s">
        <v>581</v>
      </c>
      <c r="E961" t="s">
        <v>114</v>
      </c>
      <c r="F961" t="s">
        <v>247</v>
      </c>
      <c r="G961" t="s">
        <v>3250</v>
      </c>
      <c r="H961" t="s">
        <v>14</v>
      </c>
      <c r="K961" t="str">
        <f t="shared" ref="K961:K962" si="27">B961&amp;C961&amp;"-"&amp;D961&amp;"-"&amp;E961&amp;"-"&amp;F961&amp;"-"&amp;G961&amp;"-"&amp;H961&amp;I961</f>
        <v>ED2702-10-TO-KB-Support-Properties for Tables-JA</v>
      </c>
    </row>
    <row r="962" spans="1:11">
      <c r="A962">
        <v>961</v>
      </c>
      <c r="B962" t="s">
        <v>16</v>
      </c>
      <c r="C962">
        <v>2602</v>
      </c>
      <c r="D962" s="300" t="s">
        <v>548</v>
      </c>
      <c r="E962" t="s">
        <v>114</v>
      </c>
      <c r="F962" t="s">
        <v>40</v>
      </c>
      <c r="G962" t="s">
        <v>7342</v>
      </c>
      <c r="H962" t="s">
        <v>14</v>
      </c>
      <c r="K962" t="str">
        <f t="shared" si="27"/>
        <v>ED2602-12-TO-App-Upsert in Magic ETL-JA</v>
      </c>
    </row>
    <row r="963" spans="1:11">
      <c r="A963">
        <v>962</v>
      </c>
      <c r="B963" t="s">
        <v>16</v>
      </c>
      <c r="C963">
        <v>2702</v>
      </c>
      <c r="D963" s="300" t="s">
        <v>597</v>
      </c>
      <c r="E963" t="s">
        <v>114</v>
      </c>
      <c r="F963" t="s">
        <v>40</v>
      </c>
      <c r="G963" t="s">
        <v>7347</v>
      </c>
      <c r="H963" t="s">
        <v>14</v>
      </c>
      <c r="K963" t="str">
        <f t="shared" si="26"/>
        <v>ED2702-13-TO-App-AVP Palooza Cert Questions &amp; Training Modules-JA</v>
      </c>
    </row>
    <row r="964" spans="1:11">
      <c r="A964">
        <v>963</v>
      </c>
      <c r="B964" t="s">
        <v>16</v>
      </c>
      <c r="C964">
        <v>2703</v>
      </c>
      <c r="D964" s="300" t="s">
        <v>7365</v>
      </c>
      <c r="E964" t="s">
        <v>114</v>
      </c>
      <c r="F964" t="s">
        <v>17</v>
      </c>
      <c r="G964" t="s">
        <v>7368</v>
      </c>
      <c r="H964" t="s">
        <v>14</v>
      </c>
      <c r="I964" t="s">
        <v>7369</v>
      </c>
      <c r="K964" t="str">
        <f t="shared" ref="K964" si="28">B964&amp;C964&amp;"-"&amp;D964&amp;"-"&amp;E964&amp;"-"&amp;F964&amp;"-"&amp;G964&amp;"-"&amp;H964&amp;I964</f>
        <v>ED2703-03-TO-KB-Pre-GitHub March-JA Batch-1</v>
      </c>
    </row>
    <row r="965" spans="1:11">
      <c r="A965">
        <v>964</v>
      </c>
      <c r="B965" t="s">
        <v>16</v>
      </c>
      <c r="C965">
        <v>2703</v>
      </c>
      <c r="D965" s="300" t="s">
        <v>7365</v>
      </c>
      <c r="E965" t="s">
        <v>114</v>
      </c>
      <c r="F965" t="s">
        <v>17</v>
      </c>
      <c r="G965" t="s">
        <v>7368</v>
      </c>
      <c r="H965" t="s">
        <v>14</v>
      </c>
      <c r="I965" t="s">
        <v>363</v>
      </c>
      <c r="K965" t="str">
        <f t="shared" si="26"/>
        <v>ED2703-03-TO-KB-Pre-GitHub March-JA Batch-2</v>
      </c>
    </row>
    <row r="966" spans="1:11">
      <c r="A966">
        <v>965</v>
      </c>
      <c r="B966" t="s">
        <v>16</v>
      </c>
      <c r="C966">
        <v>2703</v>
      </c>
      <c r="D966" s="300" t="s">
        <v>7365</v>
      </c>
      <c r="E966" t="s">
        <v>114</v>
      </c>
      <c r="F966" t="s">
        <v>17</v>
      </c>
      <c r="G966" t="s">
        <v>7368</v>
      </c>
      <c r="H966" t="s">
        <v>14</v>
      </c>
      <c r="I966" t="s">
        <v>332</v>
      </c>
      <c r="K966" t="str">
        <f t="shared" si="26"/>
        <v>ED2703-03-TO-KB-Pre-GitHub March-JA Batch-3</v>
      </c>
    </row>
    <row r="967" spans="1:11">
      <c r="A967">
        <v>966</v>
      </c>
      <c r="B967" t="s">
        <v>16</v>
      </c>
      <c r="C967">
        <v>2703</v>
      </c>
      <c r="D967" s="300" t="s">
        <v>7377</v>
      </c>
      <c r="E967" t="s">
        <v>114</v>
      </c>
      <c r="F967" t="s">
        <v>137</v>
      </c>
      <c r="G967" t="s">
        <v>7376</v>
      </c>
      <c r="H967" t="s">
        <v>14</v>
      </c>
      <c r="K967" t="str">
        <f t="shared" si="26"/>
        <v>ED2703-04-TO-Education-AVP Certification Questions 2026.xlsx-JA</v>
      </c>
    </row>
    <row r="968" spans="1:11">
      <c r="A968">
        <v>967</v>
      </c>
      <c r="B968" t="s">
        <v>16</v>
      </c>
      <c r="C968">
        <v>2703</v>
      </c>
      <c r="D968" s="300" t="s">
        <v>7386</v>
      </c>
      <c r="E968" t="s">
        <v>114</v>
      </c>
      <c r="F968" t="s">
        <v>17</v>
      </c>
      <c r="G968" t="s">
        <v>7385</v>
      </c>
      <c r="H968" t="s">
        <v>14</v>
      </c>
      <c r="K968" t="str">
        <f t="shared" si="26"/>
        <v>ED2703-09-TO-KB-DANSDBF Data Connector - mdb-JA</v>
      </c>
    </row>
    <row r="969" spans="1:11">
      <c r="A969">
        <v>968</v>
      </c>
      <c r="B969" t="s">
        <v>16</v>
      </c>
      <c r="C969">
        <v>2703</v>
      </c>
      <c r="D969" s="300" t="s">
        <v>5193</v>
      </c>
      <c r="E969" t="s">
        <v>114</v>
      </c>
      <c r="F969" t="s">
        <v>17</v>
      </c>
      <c r="G969" t="s">
        <v>7401</v>
      </c>
      <c r="H969" t="s">
        <v>14</v>
      </c>
      <c r="K969" t="str">
        <f t="shared" si="26"/>
        <v>ED2703-10-TO-KB-PPO Domo Connector-JA</v>
      </c>
    </row>
    <row r="970" spans="1:11">
      <c r="A970">
        <v>969</v>
      </c>
      <c r="B970" t="s">
        <v>16</v>
      </c>
      <c r="C970">
        <v>2703</v>
      </c>
      <c r="D970" s="300" t="s">
        <v>5193</v>
      </c>
      <c r="E970" t="s">
        <v>114</v>
      </c>
      <c r="F970" t="s">
        <v>17</v>
      </c>
      <c r="G970" t="s">
        <v>7392</v>
      </c>
      <c r="H970" t="s">
        <v>14</v>
      </c>
      <c r="K970" t="str">
        <f t="shared" si="26"/>
        <v>ED2703-10-TO-KB-Denodo Connector-JA</v>
      </c>
    </row>
    <row r="971" spans="1:11">
      <c r="A971">
        <v>970</v>
      </c>
      <c r="B971" t="s">
        <v>16</v>
      </c>
      <c r="C971">
        <v>2703</v>
      </c>
      <c r="D971" s="300" t="s">
        <v>7397</v>
      </c>
      <c r="E971" t="s">
        <v>114</v>
      </c>
      <c r="F971" t="s">
        <v>17</v>
      </c>
      <c r="G971" t="s">
        <v>7402</v>
      </c>
      <c r="H971" t="s">
        <v>14</v>
      </c>
      <c r="I971" t="s">
        <v>278</v>
      </c>
      <c r="K971" t="str">
        <f t="shared" si="26"/>
        <v>ED2703-24-TO-KB-Denodo Connector_PPO Domo Connector-JA Update</v>
      </c>
    </row>
    <row r="972" spans="1:11">
      <c r="A972">
        <v>971</v>
      </c>
      <c r="B972" t="s">
        <v>16</v>
      </c>
      <c r="C972">
        <v>2703</v>
      </c>
      <c r="D972" s="300" t="s">
        <v>650</v>
      </c>
      <c r="E972" t="s">
        <v>114</v>
      </c>
      <c r="F972" t="s">
        <v>17</v>
      </c>
      <c r="G972" t="s">
        <v>7437</v>
      </c>
      <c r="H972" t="s">
        <v>14</v>
      </c>
      <c r="I972" t="s">
        <v>7438</v>
      </c>
      <c r="K972" t="str">
        <f t="shared" si="26"/>
        <v>ED2703-25-TO-KB-KB Updates-JA Batch-1</v>
      </c>
    </row>
    <row r="973" spans="1:11">
      <c r="A973">
        <v>972</v>
      </c>
      <c r="B973" t="s">
        <v>16</v>
      </c>
      <c r="C973">
        <v>2703</v>
      </c>
      <c r="D973" s="300" t="s">
        <v>650</v>
      </c>
      <c r="E973" t="s">
        <v>114</v>
      </c>
      <c r="F973" t="s">
        <v>17</v>
      </c>
      <c r="G973" t="s">
        <v>7437</v>
      </c>
      <c r="H973" t="s">
        <v>14</v>
      </c>
      <c r="I973" t="s">
        <v>7440</v>
      </c>
      <c r="K973" t="str">
        <f t="shared" ref="K973" si="29">B973&amp;C973&amp;"-"&amp;D973&amp;"-"&amp;E973&amp;"-"&amp;F973&amp;"-"&amp;G973&amp;"-"&amp;H973&amp;I973</f>
        <v>ED2703-25-TO-KB-KB Updates-JA Batch-2</v>
      </c>
    </row>
    <row r="974" spans="1:11">
      <c r="A974">
        <v>973</v>
      </c>
      <c r="B974" t="s">
        <v>16</v>
      </c>
      <c r="C974">
        <v>2703</v>
      </c>
      <c r="D974" s="300" t="s">
        <v>650</v>
      </c>
      <c r="E974" t="s">
        <v>114</v>
      </c>
      <c r="F974" t="s">
        <v>17</v>
      </c>
      <c r="G974" t="s">
        <v>7437</v>
      </c>
      <c r="H974" t="s">
        <v>14</v>
      </c>
      <c r="I974" t="s">
        <v>332</v>
      </c>
      <c r="K974" t="str">
        <f t="shared" si="26"/>
        <v>ED2703-25-TO-KB-KB Updates-JA Batch-3</v>
      </c>
    </row>
    <row r="975" spans="1:11">
      <c r="A975">
        <v>974</v>
      </c>
      <c r="B975" t="s">
        <v>16</v>
      </c>
      <c r="C975">
        <v>2703</v>
      </c>
      <c r="D975" s="300" t="s">
        <v>650</v>
      </c>
      <c r="E975" t="s">
        <v>114</v>
      </c>
      <c r="F975" t="s">
        <v>17</v>
      </c>
      <c r="G975" t="s">
        <v>7437</v>
      </c>
      <c r="H975" t="s">
        <v>14</v>
      </c>
      <c r="I975" t="s">
        <v>364</v>
      </c>
      <c r="K975" t="str">
        <f t="shared" si="26"/>
        <v>ED2703-25-TO-KB-KB Updates-JA Batch-4</v>
      </c>
    </row>
    <row r="976" spans="1:11">
      <c r="A976">
        <v>975</v>
      </c>
      <c r="B976" t="s">
        <v>16</v>
      </c>
      <c r="C976">
        <v>2703</v>
      </c>
      <c r="D976" s="300" t="s">
        <v>650</v>
      </c>
      <c r="E976" t="s">
        <v>114</v>
      </c>
      <c r="F976" t="s">
        <v>17</v>
      </c>
      <c r="G976" t="s">
        <v>7437</v>
      </c>
      <c r="H976" t="s">
        <v>14</v>
      </c>
      <c r="I976" t="s">
        <v>336</v>
      </c>
      <c r="K976" t="str">
        <f t="shared" si="26"/>
        <v>ED2703-25-TO-KB-KB Updates-JA Batch-5</v>
      </c>
    </row>
    <row r="977" spans="1:11">
      <c r="A977">
        <v>976</v>
      </c>
      <c r="B977" t="s">
        <v>16</v>
      </c>
      <c r="C977">
        <v>2703</v>
      </c>
      <c r="D977" s="300" t="s">
        <v>650</v>
      </c>
      <c r="E977" t="s">
        <v>114</v>
      </c>
      <c r="F977" t="s">
        <v>17</v>
      </c>
      <c r="G977" t="s">
        <v>7437</v>
      </c>
      <c r="H977" t="s">
        <v>14</v>
      </c>
      <c r="I977" t="s">
        <v>404</v>
      </c>
      <c r="K977" t="str">
        <f t="shared" si="26"/>
        <v>ED2703-25-TO-KB-KB Updates-JA Batch-6</v>
      </c>
    </row>
    <row r="978" spans="1:11">
      <c r="A978">
        <v>977</v>
      </c>
      <c r="B978" t="s">
        <v>16</v>
      </c>
      <c r="C978">
        <v>2703</v>
      </c>
      <c r="D978" s="300" t="s">
        <v>650</v>
      </c>
      <c r="E978" t="s">
        <v>114</v>
      </c>
      <c r="F978" t="s">
        <v>17</v>
      </c>
      <c r="G978" t="s">
        <v>7437</v>
      </c>
      <c r="H978" t="s">
        <v>14</v>
      </c>
      <c r="I978" t="s">
        <v>341</v>
      </c>
      <c r="K978" t="str">
        <f t="shared" si="26"/>
        <v>ED2703-25-TO-KB-KB Updates-JA Batch-7</v>
      </c>
    </row>
    <row r="979" spans="1:11">
      <c r="B979" t="s">
        <v>16</v>
      </c>
      <c r="C979">
        <v>2704</v>
      </c>
      <c r="D979" s="300" t="s">
        <v>5180</v>
      </c>
      <c r="E979" t="s">
        <v>114</v>
      </c>
      <c r="F979" t="s">
        <v>40</v>
      </c>
      <c r="G979" t="s">
        <v>7459</v>
      </c>
      <c r="H979" t="s">
        <v>14</v>
      </c>
      <c r="K979" t="str">
        <f t="shared" si="26"/>
        <v>ED2704-07-TO-App-March 2026 Feature Release Update Files-JA</v>
      </c>
    </row>
    <row r="980" spans="1:11">
      <c r="B980" t="s">
        <v>16</v>
      </c>
      <c r="C980">
        <v>2704</v>
      </c>
      <c r="D980" s="300" t="s">
        <v>7460</v>
      </c>
      <c r="E980" t="s">
        <v>114</v>
      </c>
      <c r="F980" t="s">
        <v>17</v>
      </c>
      <c r="G980" t="s">
        <v>7461</v>
      </c>
      <c r="H980" t="s">
        <v>14</v>
      </c>
      <c r="I980" t="s">
        <v>7462</v>
      </c>
      <c r="K980" t="str">
        <f t="shared" si="26"/>
        <v>ED2704-07-TO-KB-Topics-JA Batch-1</v>
      </c>
    </row>
    <row r="981" spans="1:11">
      <c r="B981" t="s">
        <v>16</v>
      </c>
      <c r="C981">
        <v>2704</v>
      </c>
      <c r="D981" s="300" t="s">
        <v>7460</v>
      </c>
      <c r="E981" t="s">
        <v>114</v>
      </c>
      <c r="F981" t="s">
        <v>17</v>
      </c>
      <c r="G981" t="s">
        <v>7461</v>
      </c>
      <c r="H981" t="s">
        <v>14</v>
      </c>
      <c r="I981" t="s">
        <v>363</v>
      </c>
      <c r="K981" t="str">
        <f t="shared" si="26"/>
        <v>ED2704-07-TO-KB-Topics-JA Batch-2</v>
      </c>
    </row>
    <row r="982" spans="1:11">
      <c r="B982" t="s">
        <v>16</v>
      </c>
      <c r="C982">
        <v>2704</v>
      </c>
      <c r="D982" s="300" t="s">
        <v>7460</v>
      </c>
      <c r="E982" t="s">
        <v>114</v>
      </c>
      <c r="F982" t="s">
        <v>17</v>
      </c>
      <c r="G982" t="s">
        <v>7461</v>
      </c>
      <c r="H982" t="s">
        <v>14</v>
      </c>
      <c r="I982" t="s">
        <v>332</v>
      </c>
      <c r="K982" t="str">
        <f t="shared" si="26"/>
        <v>ED2704-07-TO-KB-Topics-JA Batch-3</v>
      </c>
    </row>
    <row r="983" spans="1:11">
      <c r="B983" t="s">
        <v>16</v>
      </c>
      <c r="C983">
        <v>2704</v>
      </c>
      <c r="D983" s="300" t="s">
        <v>7460</v>
      </c>
      <c r="E983" t="s">
        <v>114</v>
      </c>
      <c r="F983" t="s">
        <v>17</v>
      </c>
      <c r="G983" t="s">
        <v>7461</v>
      </c>
      <c r="H983" t="s">
        <v>14</v>
      </c>
      <c r="I983" t="s">
        <v>364</v>
      </c>
      <c r="K983" t="str">
        <f t="shared" si="26"/>
        <v>ED2704-07-TO-KB-Topics-JA Batch-4</v>
      </c>
    </row>
    <row r="984" spans="1:11">
      <c r="B984" t="s">
        <v>16</v>
      </c>
      <c r="C984">
        <v>2704</v>
      </c>
      <c r="D984" s="300" t="s">
        <v>7460</v>
      </c>
      <c r="E984" t="s">
        <v>114</v>
      </c>
      <c r="F984" t="s">
        <v>17</v>
      </c>
      <c r="G984" t="s">
        <v>7461</v>
      </c>
      <c r="H984" t="s">
        <v>14</v>
      </c>
      <c r="I984" t="s">
        <v>336</v>
      </c>
      <c r="K984" t="str">
        <f t="shared" si="26"/>
        <v>ED2704-07-TO-KB-Topics-JA Batch-5</v>
      </c>
    </row>
    <row r="985" spans="1:11">
      <c r="B985" t="s">
        <v>16</v>
      </c>
      <c r="C985">
        <v>2704</v>
      </c>
      <c r="D985" s="300" t="s">
        <v>7460</v>
      </c>
      <c r="E985" t="s">
        <v>114</v>
      </c>
      <c r="F985" t="s">
        <v>17</v>
      </c>
      <c r="G985" s="306" t="s">
        <v>7384</v>
      </c>
      <c r="H985" t="s">
        <v>14</v>
      </c>
      <c r="I985" t="s">
        <v>305</v>
      </c>
      <c r="K985" t="str">
        <f t="shared" si="26"/>
        <v>ED2704-07-TO-KB-DANSDBF Data Connector-JA Bugfix</v>
      </c>
    </row>
    <row r="986" spans="1:11">
      <c r="B986" t="s">
        <v>16</v>
      </c>
      <c r="C986">
        <v>2704</v>
      </c>
      <c r="D986" s="300" t="s">
        <v>7465</v>
      </c>
      <c r="E986" t="s">
        <v>114</v>
      </c>
      <c r="F986" t="s">
        <v>17</v>
      </c>
      <c r="G986" t="s">
        <v>7467</v>
      </c>
      <c r="H986" t="s">
        <v>14</v>
      </c>
      <c r="K986" t="str">
        <f t="shared" si="26"/>
        <v>ED2704-08-TO-KB-docs.json - Without URLs-JA</v>
      </c>
    </row>
    <row r="987" spans="1:11">
      <c r="B987" t="s">
        <v>16</v>
      </c>
      <c r="C987">
        <v>2704</v>
      </c>
      <c r="D987" s="300" t="s">
        <v>7470</v>
      </c>
      <c r="E987" t="s">
        <v>114</v>
      </c>
      <c r="F987" t="s">
        <v>247</v>
      </c>
      <c r="G987" t="s">
        <v>7469</v>
      </c>
      <c r="H987" t="s">
        <v>14</v>
      </c>
      <c r="K987" t="str">
        <f t="shared" si="26"/>
        <v>ED2704-09-TO-KB-Support-Writeback-JA</v>
      </c>
    </row>
    <row r="988" spans="1:11">
      <c r="B988" t="s">
        <v>16</v>
      </c>
      <c r="C988">
        <v>2704</v>
      </c>
      <c r="D988" s="300" t="s">
        <v>7481</v>
      </c>
      <c r="E988" t="s">
        <v>114</v>
      </c>
      <c r="F988" t="s">
        <v>17</v>
      </c>
      <c r="G988" t="s">
        <v>7480</v>
      </c>
      <c r="H988" t="s">
        <v>14</v>
      </c>
      <c r="I988" t="s">
        <v>305</v>
      </c>
      <c r="K988" t="str">
        <f t="shared" si="26"/>
        <v>ED2704-16-TO-KB-KB April-JA Bugfix</v>
      </c>
    </row>
    <row r="989" spans="1:11">
      <c r="B989" t="s">
        <v>16</v>
      </c>
      <c r="C989">
        <v>2704</v>
      </c>
      <c r="D989" s="300" t="s">
        <v>7485</v>
      </c>
      <c r="E989" t="s">
        <v>114</v>
      </c>
      <c r="F989" t="s">
        <v>17</v>
      </c>
      <c r="G989" t="s">
        <v>7484</v>
      </c>
      <c r="H989" t="s">
        <v>14</v>
      </c>
      <c r="I989" t="s">
        <v>278</v>
      </c>
      <c r="K989" t="str">
        <f t="shared" si="26"/>
        <v>ED2704-22-TO-KB-docs.json-JA Update</v>
      </c>
    </row>
    <row r="990" spans="1:11">
      <c r="B990" t="s">
        <v>16</v>
      </c>
      <c r="C990">
        <v>2704</v>
      </c>
      <c r="D990" s="300" t="s">
        <v>7487</v>
      </c>
      <c r="E990" t="s">
        <v>152</v>
      </c>
      <c r="F990" t="s">
        <v>17</v>
      </c>
      <c r="G990" t="s">
        <v>7484</v>
      </c>
      <c r="H990" t="s">
        <v>14</v>
      </c>
      <c r="I990" t="s">
        <v>7488</v>
      </c>
      <c r="K990" t="str">
        <f t="shared" si="26"/>
        <v>ED2704-25-MH-KB-docs.json-JA Update-2</v>
      </c>
    </row>
    <row r="991" spans="1:11">
      <c r="B991" t="s">
        <v>16</v>
      </c>
      <c r="C991">
        <v>2704</v>
      </c>
      <c r="D991" s="300" t="s">
        <v>636</v>
      </c>
      <c r="E991" t="s">
        <v>114</v>
      </c>
      <c r="F991" t="s">
        <v>17</v>
      </c>
      <c r="G991" t="s">
        <v>7538</v>
      </c>
      <c r="H991" t="s">
        <v>14</v>
      </c>
      <c r="I991" t="s">
        <v>7539</v>
      </c>
      <c r="K991" t="str">
        <f t="shared" si="26"/>
        <v>ED2704-27-TO-KB-April-JA Batch-1</v>
      </c>
    </row>
    <row r="992" spans="1:11">
      <c r="B992" t="s">
        <v>16</v>
      </c>
      <c r="C992">
        <v>2704</v>
      </c>
      <c r="D992" s="300" t="s">
        <v>636</v>
      </c>
      <c r="E992" t="s">
        <v>114</v>
      </c>
      <c r="F992" t="s">
        <v>17</v>
      </c>
      <c r="G992" t="s">
        <v>7538</v>
      </c>
      <c r="H992" t="s">
        <v>14</v>
      </c>
      <c r="I992" t="s">
        <v>7543</v>
      </c>
      <c r="K992" t="str">
        <f t="shared" si="26"/>
        <v>ED2704-27-TO-KB-April-JA Batch-2</v>
      </c>
    </row>
    <row r="993" spans="2:11">
      <c r="B993" t="s">
        <v>16</v>
      </c>
      <c r="C993">
        <v>2704</v>
      </c>
      <c r="D993" s="300" t="s">
        <v>636</v>
      </c>
      <c r="E993" t="s">
        <v>114</v>
      </c>
      <c r="F993" t="s">
        <v>17</v>
      </c>
      <c r="G993" t="s">
        <v>7538</v>
      </c>
      <c r="H993" t="s">
        <v>14</v>
      </c>
      <c r="I993" t="s">
        <v>332</v>
      </c>
      <c r="K993" t="str">
        <f t="shared" si="26"/>
        <v>ED2704-27-TO-KB-April-JA Batch-3</v>
      </c>
    </row>
    <row r="994" spans="2:11">
      <c r="B994" t="s">
        <v>16</v>
      </c>
      <c r="C994">
        <v>2704</v>
      </c>
      <c r="D994" s="300" t="s">
        <v>636</v>
      </c>
      <c r="E994" t="s">
        <v>114</v>
      </c>
      <c r="F994" t="s">
        <v>17</v>
      </c>
      <c r="G994" t="s">
        <v>7538</v>
      </c>
      <c r="H994" t="s">
        <v>14</v>
      </c>
      <c r="I994" t="s">
        <v>364</v>
      </c>
      <c r="K994" t="str">
        <f t="shared" si="26"/>
        <v>ED2704-27-TO-KB-April-JA Batch-4</v>
      </c>
    </row>
    <row r="995" spans="2:11">
      <c r="B995" t="s">
        <v>16</v>
      </c>
      <c r="C995">
        <v>2704</v>
      </c>
      <c r="D995" s="300" t="s">
        <v>636</v>
      </c>
      <c r="E995" t="s">
        <v>114</v>
      </c>
      <c r="F995" t="s">
        <v>17</v>
      </c>
      <c r="G995" t="s">
        <v>7538</v>
      </c>
      <c r="H995" t="s">
        <v>14</v>
      </c>
      <c r="I995" t="s">
        <v>336</v>
      </c>
      <c r="K995" t="str">
        <f t="shared" si="26"/>
        <v>ED2704-27-TO-KB-April-JA Batch-5</v>
      </c>
    </row>
    <row r="996" spans="2:11">
      <c r="B996" t="s">
        <v>16</v>
      </c>
      <c r="C996">
        <v>2704</v>
      </c>
      <c r="D996" s="300" t="s">
        <v>636</v>
      </c>
      <c r="E996" t="s">
        <v>114</v>
      </c>
      <c r="F996" t="s">
        <v>17</v>
      </c>
      <c r="G996" t="s">
        <v>7538</v>
      </c>
      <c r="H996" t="s">
        <v>14</v>
      </c>
      <c r="I996" t="s">
        <v>404</v>
      </c>
      <c r="K996" t="str">
        <f t="shared" si="26"/>
        <v>ED2704-27-TO-KB-April-JA Batch-6</v>
      </c>
    </row>
    <row r="997" spans="2:11">
      <c r="B997" t="s">
        <v>16</v>
      </c>
      <c r="C997">
        <v>2704</v>
      </c>
      <c r="D997" s="300" t="s">
        <v>7553</v>
      </c>
      <c r="E997" t="s">
        <v>114</v>
      </c>
      <c r="F997" t="s">
        <v>17</v>
      </c>
      <c r="G997" t="s">
        <v>7552</v>
      </c>
      <c r="H997" t="s">
        <v>14</v>
      </c>
      <c r="K997" t="str">
        <f t="shared" si="26"/>
        <v>ED2704-28-TO-KB-GH-Connector test-JA</v>
      </c>
    </row>
    <row r="998" spans="2:11">
      <c r="B998" t="s">
        <v>16</v>
      </c>
      <c r="C998">
        <v>2705</v>
      </c>
      <c r="D998" s="300" t="s">
        <v>7583</v>
      </c>
      <c r="E998" t="s">
        <v>114</v>
      </c>
      <c r="F998" t="s">
        <v>17</v>
      </c>
      <c r="G998" t="s">
        <v>7582</v>
      </c>
      <c r="H998" t="s">
        <v>14</v>
      </c>
      <c r="K998" t="str">
        <f t="shared" si="26"/>
        <v>ED2705-14-TO-KB-New Magic ETL-JA</v>
      </c>
    </row>
    <row r="999" spans="2:11">
      <c r="B999" t="s">
        <v>16</v>
      </c>
      <c r="C999">
        <v>2705</v>
      </c>
      <c r="D999" s="300" t="s">
        <v>553</v>
      </c>
      <c r="E999" t="s">
        <v>114</v>
      </c>
      <c r="F999" t="s">
        <v>17</v>
      </c>
      <c r="G999" t="s">
        <v>7586</v>
      </c>
      <c r="H999" t="s">
        <v>14</v>
      </c>
      <c r="K999" t="str">
        <f t="shared" si="26"/>
        <v>ED2705-18-TO-KB-What Are Consumption Credits and How Do They Work-JA</v>
      </c>
    </row>
    <row r="1000" spans="2:11">
      <c r="B1000" t="s">
        <v>16</v>
      </c>
      <c r="C1000">
        <v>2705</v>
      </c>
      <c r="D1000" s="300" t="s">
        <v>601</v>
      </c>
      <c r="E1000" t="s">
        <v>114</v>
      </c>
      <c r="F1000" t="s">
        <v>17</v>
      </c>
      <c r="G1000" t="s">
        <v>7590</v>
      </c>
      <c r="H1000" t="s">
        <v>14</v>
      </c>
      <c r="K1000" t="str">
        <f t="shared" si="26"/>
        <v>ED2705-20-TO-KB-Consumption-JA</v>
      </c>
    </row>
    <row r="1001" spans="2:11">
      <c r="B1001" t="s">
        <v>16</v>
      </c>
      <c r="C1001">
        <v>2705</v>
      </c>
      <c r="D1001" s="300" t="s">
        <v>650</v>
      </c>
      <c r="E1001" t="s">
        <v>114</v>
      </c>
      <c r="F1001" t="s">
        <v>17</v>
      </c>
      <c r="G1001" t="s">
        <v>7597</v>
      </c>
      <c r="H1001" t="s">
        <v>14</v>
      </c>
      <c r="I1001" t="s">
        <v>7622</v>
      </c>
      <c r="K1001" t="str">
        <f t="shared" si="26"/>
        <v>ED2705-25-TO-KB-DataSet-JA Batch-1-1</v>
      </c>
    </row>
    <row r="1002" spans="2:11">
      <c r="B1002" t="s">
        <v>16</v>
      </c>
      <c r="C1002">
        <v>2705</v>
      </c>
      <c r="D1002" s="300" t="s">
        <v>650</v>
      </c>
      <c r="E1002" t="s">
        <v>114</v>
      </c>
      <c r="F1002" t="s">
        <v>17</v>
      </c>
      <c r="G1002" t="s">
        <v>7597</v>
      </c>
      <c r="H1002" t="s">
        <v>14</v>
      </c>
      <c r="I1002" t="s">
        <v>7627</v>
      </c>
      <c r="K1002" t="str">
        <f t="shared" si="26"/>
        <v>ED2705-25-TO-KB-DataSet-JA Batch-1-2</v>
      </c>
    </row>
    <row r="1003" spans="2:11">
      <c r="B1003" t="s">
        <v>16</v>
      </c>
      <c r="C1003">
        <v>2705</v>
      </c>
      <c r="D1003" s="300" t="s">
        <v>594</v>
      </c>
      <c r="E1003" t="s">
        <v>114</v>
      </c>
      <c r="F1003" t="s">
        <v>17</v>
      </c>
      <c r="G1003" t="s">
        <v>7597</v>
      </c>
      <c r="H1003" t="s">
        <v>14</v>
      </c>
      <c r="I1003" t="s">
        <v>7628</v>
      </c>
      <c r="K1003" t="str">
        <f t="shared" si="26"/>
        <v>ED2705-25-TO-KB-DataSet-JA Batch-1-3</v>
      </c>
    </row>
    <row r="1004" spans="2:11">
      <c r="B1004" t="s">
        <v>16</v>
      </c>
      <c r="C1004">
        <v>2706</v>
      </c>
      <c r="D1004" s="300" t="s">
        <v>579</v>
      </c>
      <c r="E1004" t="s">
        <v>114</v>
      </c>
      <c r="F1004" t="s">
        <v>40</v>
      </c>
      <c r="G1004" t="s">
        <v>7631</v>
      </c>
      <c r="H1004" t="s">
        <v>14</v>
      </c>
      <c r="K1004" t="str">
        <f t="shared" si="26"/>
        <v>ED2706-08-TO-App-May 2026 Release Update Files-JA</v>
      </c>
    </row>
    <row r="1005" spans="2:11">
      <c r="B1005" t="s">
        <v>16</v>
      </c>
      <c r="C1005">
        <v>2706</v>
      </c>
      <c r="D1005" s="300" t="s">
        <v>607</v>
      </c>
      <c r="E1005" t="s">
        <v>114</v>
      </c>
      <c r="F1005" t="s">
        <v>17</v>
      </c>
      <c r="G1005" t="s">
        <v>7657</v>
      </c>
      <c r="H1005" t="s">
        <v>14</v>
      </c>
      <c r="I1005" t="s">
        <v>7658</v>
      </c>
      <c r="K1005" t="str">
        <f t="shared" si="26"/>
        <v>ED2706-03-TO-KB-GitHub-XTM projects-JA Batch-1</v>
      </c>
    </row>
    <row r="1006" spans="2:11">
      <c r="B1006" t="s">
        <v>16</v>
      </c>
      <c r="C1006">
        <v>2706</v>
      </c>
      <c r="D1006" s="300" t="s">
        <v>5182</v>
      </c>
      <c r="E1006" t="s">
        <v>114</v>
      </c>
      <c r="F1006" t="s">
        <v>402</v>
      </c>
      <c r="G1006" t="s">
        <v>7667</v>
      </c>
      <c r="H1006" t="s">
        <v>14</v>
      </c>
      <c r="K1006" t="str">
        <f t="shared" si="26"/>
        <v>ED2706-09-TO-KB-Request-Data Specialist v2.0 Practical Test Instructions-JA</v>
      </c>
    </row>
    <row r="1007" spans="2:11">
      <c r="B1007" t="s">
        <v>16</v>
      </c>
      <c r="C1007">
        <v>2706</v>
      </c>
      <c r="D1007" s="300" t="s">
        <v>560</v>
      </c>
      <c r="E1007" t="s">
        <v>114</v>
      </c>
      <c r="F1007" t="s">
        <v>7696</v>
      </c>
      <c r="G1007" t="s">
        <v>7698</v>
      </c>
      <c r="H1007" t="s">
        <v>14</v>
      </c>
      <c r="K1007" t="str">
        <f t="shared" si="26"/>
        <v>ED2706-19-TO-KB-mdx-June priority-1-JA</v>
      </c>
    </row>
    <row r="1008" spans="2:11">
      <c r="B1008" t="s">
        <v>16</v>
      </c>
      <c r="C1008">
        <v>2706</v>
      </c>
      <c r="D1008" s="300" t="s">
        <v>560</v>
      </c>
      <c r="E1008" t="s">
        <v>114</v>
      </c>
      <c r="F1008" t="s">
        <v>7696</v>
      </c>
      <c r="G1008" t="s">
        <v>7699</v>
      </c>
      <c r="H1008" t="s">
        <v>14</v>
      </c>
      <c r="I1008" t="s">
        <v>7700</v>
      </c>
      <c r="K1008" t="str">
        <f t="shared" si="26"/>
        <v>ED2706-19-TO-KB-mdx-June priority-2-JA Batch-1</v>
      </c>
    </row>
    <row r="1009" spans="2:11">
      <c r="B1009" t="s">
        <v>16</v>
      </c>
      <c r="C1009">
        <v>2706</v>
      </c>
      <c r="D1009" s="300" t="s">
        <v>560</v>
      </c>
      <c r="E1009" t="s">
        <v>114</v>
      </c>
      <c r="F1009" t="s">
        <v>7696</v>
      </c>
      <c r="G1009" t="s">
        <v>7699</v>
      </c>
      <c r="H1009" t="s">
        <v>14</v>
      </c>
      <c r="I1009" t="s">
        <v>363</v>
      </c>
      <c r="K1009" t="str">
        <f t="shared" si="26"/>
        <v>ED2706-19-TO-KB-mdx-June priority-2-JA Batch-2</v>
      </c>
    </row>
    <row r="1010" spans="2:11">
      <c r="B1010" t="s">
        <v>16</v>
      </c>
      <c r="C1010">
        <v>2706</v>
      </c>
      <c r="D1010" s="300" t="s">
        <v>560</v>
      </c>
      <c r="E1010" t="s">
        <v>114</v>
      </c>
      <c r="F1010" t="s">
        <v>7696</v>
      </c>
      <c r="G1010" t="s">
        <v>7699</v>
      </c>
      <c r="H1010" t="s">
        <v>14</v>
      </c>
      <c r="I1010" t="s">
        <v>332</v>
      </c>
      <c r="K1010" t="str">
        <f t="shared" si="26"/>
        <v>ED2706-19-TO-KB-mdx-June priority-2-JA Batch-3</v>
      </c>
    </row>
    <row r="1011" spans="2:11">
      <c r="B1011" t="s">
        <v>16</v>
      </c>
      <c r="C1011">
        <v>2706</v>
      </c>
      <c r="D1011" s="300" t="s">
        <v>560</v>
      </c>
      <c r="E1011" t="s">
        <v>114</v>
      </c>
      <c r="F1011" t="s">
        <v>7696</v>
      </c>
      <c r="G1011" t="s">
        <v>7699</v>
      </c>
      <c r="H1011" t="s">
        <v>14</v>
      </c>
      <c r="I1011" t="s">
        <v>364</v>
      </c>
      <c r="K1011" t="str">
        <f t="shared" si="26"/>
        <v>ED2706-19-TO-KB-mdx-June priority-2-JA Batch-4</v>
      </c>
    </row>
    <row r="1012" spans="2:11">
      <c r="B1012" t="s">
        <v>16</v>
      </c>
      <c r="C1012">
        <v>2706</v>
      </c>
      <c r="D1012" s="300" t="s">
        <v>560</v>
      </c>
      <c r="E1012" t="s">
        <v>114</v>
      </c>
      <c r="F1012" t="s">
        <v>7696</v>
      </c>
      <c r="G1012" t="s">
        <v>7699</v>
      </c>
      <c r="H1012" t="s">
        <v>14</v>
      </c>
      <c r="I1012" t="s">
        <v>336</v>
      </c>
      <c r="K1012" t="str">
        <f t="shared" si="26"/>
        <v>ED2706-19-TO-KB-mdx-June priority-2-JA Batch-5</v>
      </c>
    </row>
    <row r="1013" spans="2:11">
      <c r="B1013" t="s">
        <v>16</v>
      </c>
      <c r="C1013">
        <v>2706</v>
      </c>
      <c r="D1013" s="300" t="s">
        <v>560</v>
      </c>
      <c r="E1013" t="s">
        <v>114</v>
      </c>
      <c r="F1013" t="s">
        <v>7696</v>
      </c>
      <c r="G1013" t="s">
        <v>7699</v>
      </c>
      <c r="H1013" t="s">
        <v>14</v>
      </c>
      <c r="I1013" t="s">
        <v>404</v>
      </c>
      <c r="K1013" t="str">
        <f t="shared" si="26"/>
        <v>ED2706-19-TO-KB-mdx-June priority-2-JA Batch-6</v>
      </c>
    </row>
    <row r="1014" spans="2:11">
      <c r="B1014" t="s">
        <v>16</v>
      </c>
      <c r="C1014">
        <v>2707</v>
      </c>
      <c r="D1014" s="300" t="s">
        <v>7785</v>
      </c>
      <c r="E1014" t="s">
        <v>152</v>
      </c>
      <c r="F1014" t="s">
        <v>7696</v>
      </c>
      <c r="G1014" t="s">
        <v>7787</v>
      </c>
      <c r="H1014" t="s">
        <v>14</v>
      </c>
      <c r="K1014" t="str">
        <f t="shared" si="26"/>
        <v>ED2707-21-MH-KB-mdx-Magic ETL Tiles-JA</v>
      </c>
    </row>
    <row r="1015" spans="2:11">
      <c r="B1015" t="s">
        <v>16</v>
      </c>
      <c r="C1015">
        <v>2707</v>
      </c>
      <c r="D1015" s="300" t="s">
        <v>585</v>
      </c>
      <c r="E1015" t="s">
        <v>152</v>
      </c>
      <c r="F1015" t="s">
        <v>7696</v>
      </c>
      <c r="G1015" t="s">
        <v>7788</v>
      </c>
      <c r="H1015" t="s">
        <v>14</v>
      </c>
      <c r="K1015" t="str">
        <f t="shared" si="26"/>
        <v>ED2707-22-MH-KB-mdx-Claude-Test_Tools-vs-Skills.md - Evaluation-JA</v>
      </c>
    </row>
    <row r="1016" spans="2:11">
      <c r="B1016" t="s">
        <v>16</v>
      </c>
      <c r="C1016">
        <v>2707</v>
      </c>
      <c r="D1016" s="300" t="s">
        <v>611</v>
      </c>
      <c r="E1016" t="s">
        <v>152</v>
      </c>
      <c r="F1016" t="s">
        <v>7696</v>
      </c>
      <c r="G1016" t="s">
        <v>482</v>
      </c>
      <c r="H1016" t="s">
        <v>14</v>
      </c>
      <c r="I1016" t="s">
        <v>7792</v>
      </c>
      <c r="K1016" t="str">
        <f t="shared" si="26"/>
        <v>ED2707-21-MH-KB-mdx-Magic ETL Tiles-JA Batch-2</v>
      </c>
    </row>
    <row r="1017" spans="2:11">
      <c r="B1017" t="s">
        <v>16</v>
      </c>
      <c r="C1017">
        <v>2708</v>
      </c>
      <c r="D1017" s="300" t="s">
        <v>7800</v>
      </c>
      <c r="E1017" t="s">
        <v>152</v>
      </c>
      <c r="F1017" t="s">
        <v>7696</v>
      </c>
      <c r="G1017" t="s">
        <v>443</v>
      </c>
      <c r="H1017" t="s">
        <v>14</v>
      </c>
      <c r="K1017" t="str">
        <f t="shared" si="26"/>
        <v>ED2708-03-MH-KB-mdx-DomoStats Connector-JA</v>
      </c>
    </row>
    <row r="1018" spans="2:11">
      <c r="K1018" t="str">
        <f t="shared" si="26"/>
        <v>-----</v>
      </c>
    </row>
    <row r="1019" spans="2:11">
      <c r="K1019" t="str">
        <f t="shared" ref="K1019:K1082" si="30">B1019&amp;C1019&amp;"-"&amp;D1019&amp;"-"&amp;E1019&amp;"-"&amp;F1019&amp;"-"&amp;G1019&amp;"-"&amp;H1019&amp;I1019</f>
        <v>-----</v>
      </c>
    </row>
    <row r="1020" spans="2:11">
      <c r="K1020" t="str">
        <f t="shared" si="30"/>
        <v>-----</v>
      </c>
    </row>
    <row r="1021" spans="2:11">
      <c r="K1021" t="str">
        <f t="shared" si="30"/>
        <v>-----</v>
      </c>
    </row>
    <row r="1022" spans="2:11">
      <c r="K1022" t="str">
        <f t="shared" si="30"/>
        <v>-----</v>
      </c>
    </row>
    <row r="1023" spans="2:11">
      <c r="K1023" t="str">
        <f t="shared" si="30"/>
        <v>-----</v>
      </c>
    </row>
    <row r="1024" spans="2:11">
      <c r="K1024" t="str">
        <f t="shared" si="30"/>
        <v>-----</v>
      </c>
    </row>
    <row r="1025" spans="11:11">
      <c r="K1025" t="str">
        <f t="shared" si="30"/>
        <v>-----</v>
      </c>
    </row>
    <row r="1026" spans="11:11">
      <c r="K1026" t="str">
        <f t="shared" si="30"/>
        <v>-----</v>
      </c>
    </row>
    <row r="1027" spans="11:11">
      <c r="K1027" t="str">
        <f t="shared" si="30"/>
        <v>-----</v>
      </c>
    </row>
    <row r="1028" spans="11:11">
      <c r="K1028" t="str">
        <f t="shared" si="30"/>
        <v>-----</v>
      </c>
    </row>
    <row r="1029" spans="11:11">
      <c r="K1029" t="str">
        <f t="shared" si="30"/>
        <v>-----</v>
      </c>
    </row>
    <row r="1030" spans="11:11">
      <c r="K1030" t="str">
        <f t="shared" si="30"/>
        <v>-----</v>
      </c>
    </row>
    <row r="1031" spans="11:11">
      <c r="K1031" t="str">
        <f t="shared" si="30"/>
        <v>-----</v>
      </c>
    </row>
    <row r="1032" spans="11:11">
      <c r="K1032" t="str">
        <f t="shared" si="30"/>
        <v>-----</v>
      </c>
    </row>
    <row r="1033" spans="11:11">
      <c r="K1033" t="str">
        <f t="shared" si="30"/>
        <v>-----</v>
      </c>
    </row>
    <row r="1034" spans="11:11">
      <c r="K1034" t="str">
        <f t="shared" si="30"/>
        <v>-----</v>
      </c>
    </row>
    <row r="1035" spans="11:11">
      <c r="K1035" t="str">
        <f t="shared" si="30"/>
        <v>-----</v>
      </c>
    </row>
    <row r="1036" spans="11:11">
      <c r="K1036" t="str">
        <f t="shared" si="30"/>
        <v>-----</v>
      </c>
    </row>
    <row r="1037" spans="11:11">
      <c r="K1037" t="str">
        <f t="shared" si="30"/>
        <v>-----</v>
      </c>
    </row>
    <row r="1038" spans="11:11">
      <c r="K1038" t="str">
        <f t="shared" si="30"/>
        <v>-----</v>
      </c>
    </row>
    <row r="1039" spans="11:11">
      <c r="K1039" t="str">
        <f t="shared" si="30"/>
        <v>-----</v>
      </c>
    </row>
    <row r="1040" spans="11:11">
      <c r="K1040" t="str">
        <f t="shared" si="30"/>
        <v>-----</v>
      </c>
    </row>
    <row r="1041" spans="11:11">
      <c r="K1041" t="str">
        <f t="shared" si="30"/>
        <v>-----</v>
      </c>
    </row>
    <row r="1042" spans="11:11">
      <c r="K1042" t="str">
        <f t="shared" si="30"/>
        <v>-----</v>
      </c>
    </row>
    <row r="1043" spans="11:11">
      <c r="K1043" t="str">
        <f t="shared" si="30"/>
        <v>-----</v>
      </c>
    </row>
    <row r="1044" spans="11:11">
      <c r="K1044" t="str">
        <f t="shared" si="30"/>
        <v>-----</v>
      </c>
    </row>
    <row r="1045" spans="11:11">
      <c r="K1045" t="str">
        <f t="shared" si="30"/>
        <v>-----</v>
      </c>
    </row>
    <row r="1046" spans="11:11">
      <c r="K1046" t="str">
        <f t="shared" si="30"/>
        <v>-----</v>
      </c>
    </row>
    <row r="1047" spans="11:11">
      <c r="K1047" t="str">
        <f t="shared" si="30"/>
        <v>-----</v>
      </c>
    </row>
    <row r="1048" spans="11:11">
      <c r="K1048" t="str">
        <f t="shared" si="30"/>
        <v>-----</v>
      </c>
    </row>
    <row r="1049" spans="11:11">
      <c r="K1049" t="str">
        <f t="shared" si="30"/>
        <v>-----</v>
      </c>
    </row>
    <row r="1050" spans="11:11">
      <c r="K1050" t="str">
        <f t="shared" si="30"/>
        <v>-----</v>
      </c>
    </row>
    <row r="1051" spans="11:11">
      <c r="K1051" t="str">
        <f t="shared" si="30"/>
        <v>-----</v>
      </c>
    </row>
    <row r="1052" spans="11:11">
      <c r="K1052" t="str">
        <f t="shared" si="30"/>
        <v>-----</v>
      </c>
    </row>
    <row r="1053" spans="11:11">
      <c r="K1053" t="str">
        <f t="shared" si="30"/>
        <v>-----</v>
      </c>
    </row>
    <row r="1054" spans="11:11">
      <c r="K1054" t="str">
        <f t="shared" si="30"/>
        <v>-----</v>
      </c>
    </row>
    <row r="1055" spans="11:11">
      <c r="K1055" t="str">
        <f t="shared" si="30"/>
        <v>-----</v>
      </c>
    </row>
    <row r="1056" spans="11:11">
      <c r="K1056" t="str">
        <f t="shared" si="30"/>
        <v>-----</v>
      </c>
    </row>
    <row r="1057" spans="11:11">
      <c r="K1057" t="str">
        <f t="shared" si="30"/>
        <v>-----</v>
      </c>
    </row>
    <row r="1058" spans="11:11">
      <c r="K1058" t="str">
        <f t="shared" si="30"/>
        <v>-----</v>
      </c>
    </row>
    <row r="1059" spans="11:11">
      <c r="K1059" t="str">
        <f t="shared" si="30"/>
        <v>-----</v>
      </c>
    </row>
    <row r="1060" spans="11:11">
      <c r="K1060" t="str">
        <f t="shared" si="30"/>
        <v>-----</v>
      </c>
    </row>
    <row r="1061" spans="11:11">
      <c r="K1061" t="str">
        <f t="shared" si="30"/>
        <v>-----</v>
      </c>
    </row>
    <row r="1062" spans="11:11">
      <c r="K1062" t="str">
        <f t="shared" si="30"/>
        <v>-----</v>
      </c>
    </row>
    <row r="1063" spans="11:11">
      <c r="K1063" t="str">
        <f t="shared" si="30"/>
        <v>-----</v>
      </c>
    </row>
    <row r="1064" spans="11:11">
      <c r="K1064" t="str">
        <f t="shared" si="30"/>
        <v>-----</v>
      </c>
    </row>
    <row r="1065" spans="11:11">
      <c r="K1065" t="str">
        <f t="shared" si="30"/>
        <v>-----</v>
      </c>
    </row>
    <row r="1066" spans="11:11">
      <c r="K1066" t="str">
        <f t="shared" si="30"/>
        <v>-----</v>
      </c>
    </row>
    <row r="1067" spans="11:11">
      <c r="K1067" t="str">
        <f t="shared" si="30"/>
        <v>-----</v>
      </c>
    </row>
    <row r="1068" spans="11:11">
      <c r="K1068" t="str">
        <f t="shared" si="30"/>
        <v>-----</v>
      </c>
    </row>
    <row r="1069" spans="11:11">
      <c r="K1069" t="str">
        <f t="shared" si="30"/>
        <v>-----</v>
      </c>
    </row>
    <row r="1070" spans="11:11">
      <c r="K1070" t="str">
        <f t="shared" si="30"/>
        <v>-----</v>
      </c>
    </row>
    <row r="1071" spans="11:11">
      <c r="K1071" t="str">
        <f t="shared" si="30"/>
        <v>-----</v>
      </c>
    </row>
    <row r="1072" spans="11:11">
      <c r="K1072" t="str">
        <f t="shared" si="30"/>
        <v>-----</v>
      </c>
    </row>
    <row r="1073" spans="11:11">
      <c r="K1073" t="str">
        <f t="shared" si="30"/>
        <v>-----</v>
      </c>
    </row>
    <row r="1074" spans="11:11">
      <c r="K1074" t="str">
        <f t="shared" si="30"/>
        <v>-----</v>
      </c>
    </row>
    <row r="1075" spans="11:11">
      <c r="K1075" t="str">
        <f t="shared" si="30"/>
        <v>-----</v>
      </c>
    </row>
    <row r="1076" spans="11:11">
      <c r="K1076" t="str">
        <f t="shared" si="30"/>
        <v>-----</v>
      </c>
    </row>
    <row r="1077" spans="11:11">
      <c r="K1077" t="str">
        <f t="shared" si="30"/>
        <v>-----</v>
      </c>
    </row>
    <row r="1078" spans="11:11">
      <c r="K1078" t="str">
        <f t="shared" si="30"/>
        <v>-----</v>
      </c>
    </row>
    <row r="1079" spans="11:11">
      <c r="K1079" t="str">
        <f t="shared" si="30"/>
        <v>-----</v>
      </c>
    </row>
    <row r="1080" spans="11:11">
      <c r="K1080" t="str">
        <f t="shared" si="30"/>
        <v>-----</v>
      </c>
    </row>
    <row r="1081" spans="11:11">
      <c r="K1081" t="str">
        <f t="shared" si="30"/>
        <v>-----</v>
      </c>
    </row>
    <row r="1082" spans="11:11">
      <c r="K1082" t="str">
        <f t="shared" si="30"/>
        <v>-----</v>
      </c>
    </row>
    <row r="1083" spans="11:11">
      <c r="K1083" t="str">
        <f t="shared" ref="K1083:K1146" si="31">B1083&amp;C1083&amp;"-"&amp;D1083&amp;"-"&amp;E1083&amp;"-"&amp;F1083&amp;"-"&amp;G1083&amp;"-"&amp;H1083&amp;I1083</f>
        <v>-----</v>
      </c>
    </row>
    <row r="1084" spans="11:11">
      <c r="K1084" t="str">
        <f t="shared" si="31"/>
        <v>-----</v>
      </c>
    </row>
    <row r="1085" spans="11:11">
      <c r="K1085" t="str">
        <f t="shared" si="31"/>
        <v>-----</v>
      </c>
    </row>
    <row r="1086" spans="11:11">
      <c r="K1086" t="str">
        <f t="shared" si="31"/>
        <v>-----</v>
      </c>
    </row>
    <row r="1087" spans="11:11">
      <c r="K1087" t="str">
        <f t="shared" si="31"/>
        <v>-----</v>
      </c>
    </row>
    <row r="1088" spans="11:11">
      <c r="K1088" t="str">
        <f t="shared" si="31"/>
        <v>-----</v>
      </c>
    </row>
    <row r="1089" spans="11:11">
      <c r="K1089" t="str">
        <f t="shared" si="31"/>
        <v>-----</v>
      </c>
    </row>
    <row r="1090" spans="11:11">
      <c r="K1090" t="str">
        <f t="shared" si="31"/>
        <v>-----</v>
      </c>
    </row>
    <row r="1091" spans="11:11">
      <c r="K1091" t="str">
        <f t="shared" si="31"/>
        <v>-----</v>
      </c>
    </row>
    <row r="1092" spans="11:11">
      <c r="K1092" t="str">
        <f t="shared" si="31"/>
        <v>-----</v>
      </c>
    </row>
    <row r="1093" spans="11:11">
      <c r="K1093" t="str">
        <f t="shared" si="31"/>
        <v>-----</v>
      </c>
    </row>
    <row r="1094" spans="11:11">
      <c r="K1094" t="str">
        <f t="shared" si="31"/>
        <v>-----</v>
      </c>
    </row>
    <row r="1095" spans="11:11">
      <c r="K1095" t="str">
        <f t="shared" si="31"/>
        <v>-----</v>
      </c>
    </row>
    <row r="1096" spans="11:11">
      <c r="K1096" t="str">
        <f t="shared" si="31"/>
        <v>-----</v>
      </c>
    </row>
    <row r="1097" spans="11:11">
      <c r="K1097" t="str">
        <f t="shared" si="31"/>
        <v>-----</v>
      </c>
    </row>
    <row r="1098" spans="11:11">
      <c r="K1098" t="str">
        <f t="shared" si="31"/>
        <v>-----</v>
      </c>
    </row>
    <row r="1099" spans="11:11">
      <c r="K1099" t="str">
        <f t="shared" si="31"/>
        <v>-----</v>
      </c>
    </row>
    <row r="1100" spans="11:11">
      <c r="K1100" t="str">
        <f t="shared" si="31"/>
        <v>-----</v>
      </c>
    </row>
    <row r="1101" spans="11:11">
      <c r="K1101" t="str">
        <f t="shared" si="31"/>
        <v>-----</v>
      </c>
    </row>
    <row r="1102" spans="11:11">
      <c r="K1102" t="str">
        <f t="shared" si="31"/>
        <v>-----</v>
      </c>
    </row>
    <row r="1103" spans="11:11">
      <c r="K1103" t="str">
        <f t="shared" si="31"/>
        <v>-----</v>
      </c>
    </row>
    <row r="1104" spans="11:11">
      <c r="K1104" t="str">
        <f t="shared" si="31"/>
        <v>-----</v>
      </c>
    </row>
    <row r="1105" spans="11:11">
      <c r="K1105" t="str">
        <f t="shared" si="31"/>
        <v>-----</v>
      </c>
    </row>
    <row r="1106" spans="11:11">
      <c r="K1106" t="str">
        <f t="shared" si="31"/>
        <v>-----</v>
      </c>
    </row>
    <row r="1107" spans="11:11">
      <c r="K1107" t="str">
        <f t="shared" si="31"/>
        <v>-----</v>
      </c>
    </row>
    <row r="1108" spans="11:11">
      <c r="K1108" t="str">
        <f t="shared" si="31"/>
        <v>-----</v>
      </c>
    </row>
    <row r="1109" spans="11:11">
      <c r="K1109" t="str">
        <f t="shared" si="31"/>
        <v>-----</v>
      </c>
    </row>
    <row r="1110" spans="11:11">
      <c r="K1110" t="str">
        <f t="shared" si="31"/>
        <v>-----</v>
      </c>
    </row>
    <row r="1111" spans="11:11">
      <c r="K1111" t="str">
        <f t="shared" si="31"/>
        <v>-----</v>
      </c>
    </row>
    <row r="1112" spans="11:11">
      <c r="K1112" t="str">
        <f t="shared" si="31"/>
        <v>-----</v>
      </c>
    </row>
    <row r="1113" spans="11:11">
      <c r="K1113" t="str">
        <f t="shared" si="31"/>
        <v>-----</v>
      </c>
    </row>
    <row r="1114" spans="11:11">
      <c r="K1114" t="str">
        <f t="shared" si="31"/>
        <v>-----</v>
      </c>
    </row>
    <row r="1115" spans="11:11">
      <c r="K1115" t="str">
        <f t="shared" si="31"/>
        <v>-----</v>
      </c>
    </row>
    <row r="1116" spans="11:11">
      <c r="K1116" t="str">
        <f t="shared" si="31"/>
        <v>-----</v>
      </c>
    </row>
    <row r="1117" spans="11:11">
      <c r="K1117" t="str">
        <f t="shared" si="31"/>
        <v>-----</v>
      </c>
    </row>
    <row r="1118" spans="11:11">
      <c r="K1118" t="str">
        <f t="shared" si="31"/>
        <v>-----</v>
      </c>
    </row>
    <row r="1119" spans="11:11">
      <c r="K1119" t="str">
        <f t="shared" si="31"/>
        <v>-----</v>
      </c>
    </row>
    <row r="1120" spans="11:11">
      <c r="K1120" t="str">
        <f t="shared" si="31"/>
        <v>-----</v>
      </c>
    </row>
    <row r="1121" spans="11:11">
      <c r="K1121" t="str">
        <f t="shared" si="31"/>
        <v>-----</v>
      </c>
    </row>
    <row r="1122" spans="11:11">
      <c r="K1122" t="str">
        <f t="shared" si="31"/>
        <v>-----</v>
      </c>
    </row>
    <row r="1123" spans="11:11">
      <c r="K1123" t="str">
        <f t="shared" si="31"/>
        <v>-----</v>
      </c>
    </row>
    <row r="1124" spans="11:11">
      <c r="K1124" t="str">
        <f t="shared" si="31"/>
        <v>-----</v>
      </c>
    </row>
    <row r="1125" spans="11:11">
      <c r="K1125" t="str">
        <f t="shared" si="31"/>
        <v>-----</v>
      </c>
    </row>
    <row r="1126" spans="11:11">
      <c r="K1126" t="str">
        <f t="shared" si="31"/>
        <v>-----</v>
      </c>
    </row>
    <row r="1127" spans="11:11">
      <c r="K1127" t="str">
        <f t="shared" si="31"/>
        <v>-----</v>
      </c>
    </row>
    <row r="1128" spans="11:11">
      <c r="K1128" t="str">
        <f t="shared" si="31"/>
        <v>-----</v>
      </c>
    </row>
    <row r="1129" spans="11:11">
      <c r="K1129" t="str">
        <f t="shared" si="31"/>
        <v>-----</v>
      </c>
    </row>
    <row r="1130" spans="11:11">
      <c r="K1130" t="str">
        <f t="shared" si="31"/>
        <v>-----</v>
      </c>
    </row>
    <row r="1131" spans="11:11">
      <c r="K1131" t="str">
        <f t="shared" si="31"/>
        <v>-----</v>
      </c>
    </row>
    <row r="1132" spans="11:11">
      <c r="K1132" t="str">
        <f t="shared" si="31"/>
        <v>-----</v>
      </c>
    </row>
    <row r="1133" spans="11:11">
      <c r="K1133" t="str">
        <f t="shared" si="31"/>
        <v>-----</v>
      </c>
    </row>
    <row r="1134" spans="11:11">
      <c r="K1134" t="str">
        <f t="shared" si="31"/>
        <v>-----</v>
      </c>
    </row>
    <row r="1135" spans="11:11">
      <c r="K1135" t="str">
        <f t="shared" si="31"/>
        <v>-----</v>
      </c>
    </row>
    <row r="1136" spans="11:11">
      <c r="K1136" t="str">
        <f t="shared" si="31"/>
        <v>-----</v>
      </c>
    </row>
    <row r="1137" spans="11:11">
      <c r="K1137" t="str">
        <f t="shared" si="31"/>
        <v>-----</v>
      </c>
    </row>
    <row r="1138" spans="11:11">
      <c r="K1138" t="str">
        <f t="shared" si="31"/>
        <v>-----</v>
      </c>
    </row>
    <row r="1139" spans="11:11">
      <c r="K1139" t="str">
        <f t="shared" si="31"/>
        <v>-----</v>
      </c>
    </row>
    <row r="1140" spans="11:11">
      <c r="K1140" t="str">
        <f t="shared" si="31"/>
        <v>-----</v>
      </c>
    </row>
    <row r="1141" spans="11:11">
      <c r="K1141" t="str">
        <f t="shared" si="31"/>
        <v>-----</v>
      </c>
    </row>
    <row r="1142" spans="11:11">
      <c r="K1142" t="str">
        <f t="shared" si="31"/>
        <v>-----</v>
      </c>
    </row>
    <row r="1143" spans="11:11">
      <c r="K1143" t="str">
        <f t="shared" si="31"/>
        <v>-----</v>
      </c>
    </row>
    <row r="1144" spans="11:11">
      <c r="K1144" t="str">
        <f t="shared" si="31"/>
        <v>-----</v>
      </c>
    </row>
    <row r="1145" spans="11:11">
      <c r="K1145" t="str">
        <f t="shared" si="31"/>
        <v>-----</v>
      </c>
    </row>
    <row r="1146" spans="11:11">
      <c r="K1146" t="str">
        <f t="shared" si="31"/>
        <v>-----</v>
      </c>
    </row>
    <row r="1147" spans="11:11">
      <c r="K1147" t="str">
        <f t="shared" ref="K1147:K1210" si="32">B1147&amp;C1147&amp;"-"&amp;D1147&amp;"-"&amp;E1147&amp;"-"&amp;F1147&amp;"-"&amp;G1147&amp;"-"&amp;H1147&amp;I1147</f>
        <v>-----</v>
      </c>
    </row>
    <row r="1148" spans="11:11">
      <c r="K1148" t="str">
        <f t="shared" si="32"/>
        <v>-----</v>
      </c>
    </row>
    <row r="1149" spans="11:11">
      <c r="K1149" t="str">
        <f t="shared" si="32"/>
        <v>-----</v>
      </c>
    </row>
    <row r="1150" spans="11:11">
      <c r="K1150" t="str">
        <f t="shared" si="32"/>
        <v>-----</v>
      </c>
    </row>
    <row r="1151" spans="11:11">
      <c r="K1151" t="str">
        <f t="shared" si="32"/>
        <v>-----</v>
      </c>
    </row>
    <row r="1152" spans="11:11">
      <c r="K1152" t="str">
        <f t="shared" si="32"/>
        <v>-----</v>
      </c>
    </row>
    <row r="1153" spans="11:11">
      <c r="K1153" t="str">
        <f t="shared" si="32"/>
        <v>-----</v>
      </c>
    </row>
    <row r="1154" spans="11:11">
      <c r="K1154" t="str">
        <f t="shared" si="32"/>
        <v>-----</v>
      </c>
    </row>
    <row r="1155" spans="11:11">
      <c r="K1155" t="str">
        <f t="shared" si="32"/>
        <v>-----</v>
      </c>
    </row>
    <row r="1156" spans="11:11">
      <c r="K1156" t="str">
        <f t="shared" si="32"/>
        <v>-----</v>
      </c>
    </row>
    <row r="1157" spans="11:11">
      <c r="K1157" t="str">
        <f t="shared" si="32"/>
        <v>-----</v>
      </c>
    </row>
    <row r="1158" spans="11:11">
      <c r="K1158" t="str">
        <f t="shared" si="32"/>
        <v>-----</v>
      </c>
    </row>
    <row r="1159" spans="11:11">
      <c r="K1159" t="str">
        <f t="shared" si="32"/>
        <v>-----</v>
      </c>
    </row>
    <row r="1160" spans="11:11">
      <c r="K1160" t="str">
        <f t="shared" si="32"/>
        <v>-----</v>
      </c>
    </row>
    <row r="1161" spans="11:11">
      <c r="K1161" t="str">
        <f t="shared" si="32"/>
        <v>-----</v>
      </c>
    </row>
    <row r="1162" spans="11:11">
      <c r="K1162" t="str">
        <f t="shared" si="32"/>
        <v>-----</v>
      </c>
    </row>
    <row r="1163" spans="11:11">
      <c r="K1163" t="str">
        <f t="shared" si="32"/>
        <v>-----</v>
      </c>
    </row>
    <row r="1164" spans="11:11">
      <c r="K1164" t="str">
        <f t="shared" si="32"/>
        <v>-----</v>
      </c>
    </row>
    <row r="1165" spans="11:11">
      <c r="K1165" t="str">
        <f t="shared" si="32"/>
        <v>-----</v>
      </c>
    </row>
    <row r="1166" spans="11:11">
      <c r="K1166" t="str">
        <f t="shared" si="32"/>
        <v>-----</v>
      </c>
    </row>
    <row r="1167" spans="11:11">
      <c r="K1167" t="str">
        <f t="shared" si="32"/>
        <v>-----</v>
      </c>
    </row>
    <row r="1168" spans="11:11">
      <c r="K1168" t="str">
        <f t="shared" si="32"/>
        <v>-----</v>
      </c>
    </row>
    <row r="1169" spans="11:11">
      <c r="K1169" t="str">
        <f t="shared" si="32"/>
        <v>-----</v>
      </c>
    </row>
    <row r="1170" spans="11:11">
      <c r="K1170" t="str">
        <f t="shared" si="32"/>
        <v>-----</v>
      </c>
    </row>
    <row r="1171" spans="11:11">
      <c r="K1171" t="str">
        <f t="shared" si="32"/>
        <v>-----</v>
      </c>
    </row>
    <row r="1172" spans="11:11">
      <c r="K1172" t="str">
        <f t="shared" si="32"/>
        <v>-----</v>
      </c>
    </row>
    <row r="1173" spans="11:11">
      <c r="K1173" t="str">
        <f t="shared" si="32"/>
        <v>-----</v>
      </c>
    </row>
    <row r="1174" spans="11:11">
      <c r="K1174" t="str">
        <f t="shared" si="32"/>
        <v>-----</v>
      </c>
    </row>
    <row r="1175" spans="11:11">
      <c r="K1175" t="str">
        <f t="shared" si="32"/>
        <v>-----</v>
      </c>
    </row>
    <row r="1176" spans="11:11">
      <c r="K1176" t="str">
        <f t="shared" si="32"/>
        <v>-----</v>
      </c>
    </row>
    <row r="1177" spans="11:11">
      <c r="K1177" t="str">
        <f t="shared" si="32"/>
        <v>-----</v>
      </c>
    </row>
    <row r="1178" spans="11:11">
      <c r="K1178" t="str">
        <f t="shared" si="32"/>
        <v>-----</v>
      </c>
    </row>
    <row r="1179" spans="11:11">
      <c r="K1179" t="str">
        <f t="shared" si="32"/>
        <v>-----</v>
      </c>
    </row>
    <row r="1180" spans="11:11">
      <c r="K1180" t="str">
        <f t="shared" si="32"/>
        <v>-----</v>
      </c>
    </row>
    <row r="1181" spans="11:11">
      <c r="K1181" t="str">
        <f t="shared" si="32"/>
        <v>-----</v>
      </c>
    </row>
    <row r="1182" spans="11:11">
      <c r="K1182" t="str">
        <f t="shared" si="32"/>
        <v>-----</v>
      </c>
    </row>
    <row r="1183" spans="11:11">
      <c r="K1183" t="str">
        <f t="shared" si="32"/>
        <v>-----</v>
      </c>
    </row>
    <row r="1184" spans="11:11">
      <c r="K1184" t="str">
        <f t="shared" si="32"/>
        <v>-----</v>
      </c>
    </row>
    <row r="1185" spans="11:11">
      <c r="K1185" t="str">
        <f t="shared" si="32"/>
        <v>-----</v>
      </c>
    </row>
    <row r="1186" spans="11:11">
      <c r="K1186" t="str">
        <f t="shared" si="32"/>
        <v>-----</v>
      </c>
    </row>
    <row r="1187" spans="11:11">
      <c r="K1187" t="str">
        <f t="shared" si="32"/>
        <v>-----</v>
      </c>
    </row>
    <row r="1188" spans="11:11">
      <c r="K1188" t="str">
        <f t="shared" si="32"/>
        <v>-----</v>
      </c>
    </row>
    <row r="1189" spans="11:11">
      <c r="K1189" t="str">
        <f t="shared" si="32"/>
        <v>-----</v>
      </c>
    </row>
    <row r="1190" spans="11:11">
      <c r="K1190" t="str">
        <f t="shared" si="32"/>
        <v>-----</v>
      </c>
    </row>
    <row r="1191" spans="11:11">
      <c r="K1191" t="str">
        <f t="shared" si="32"/>
        <v>-----</v>
      </c>
    </row>
    <row r="1192" spans="11:11">
      <c r="K1192" t="str">
        <f t="shared" si="32"/>
        <v>-----</v>
      </c>
    </row>
    <row r="1193" spans="11:11">
      <c r="K1193" t="str">
        <f t="shared" si="32"/>
        <v>-----</v>
      </c>
    </row>
    <row r="1194" spans="11:11">
      <c r="K1194" t="str">
        <f t="shared" si="32"/>
        <v>-----</v>
      </c>
    </row>
    <row r="1195" spans="11:11">
      <c r="K1195" t="str">
        <f t="shared" si="32"/>
        <v>-----</v>
      </c>
    </row>
    <row r="1196" spans="11:11">
      <c r="K1196" t="str">
        <f t="shared" si="32"/>
        <v>-----</v>
      </c>
    </row>
    <row r="1197" spans="11:11">
      <c r="K1197" t="str">
        <f t="shared" si="32"/>
        <v>-----</v>
      </c>
    </row>
    <row r="1198" spans="11:11">
      <c r="K1198" t="str">
        <f t="shared" si="32"/>
        <v>-----</v>
      </c>
    </row>
    <row r="1199" spans="11:11">
      <c r="K1199" t="str">
        <f t="shared" si="32"/>
        <v>-----</v>
      </c>
    </row>
    <row r="1200" spans="11:11">
      <c r="K1200" t="str">
        <f t="shared" si="32"/>
        <v>-----</v>
      </c>
    </row>
    <row r="1201" spans="11:11">
      <c r="K1201" t="str">
        <f t="shared" si="32"/>
        <v>-----</v>
      </c>
    </row>
    <row r="1202" spans="11:11">
      <c r="K1202" t="str">
        <f t="shared" si="32"/>
        <v>-----</v>
      </c>
    </row>
    <row r="1203" spans="11:11">
      <c r="K1203" t="str">
        <f t="shared" si="32"/>
        <v>-----</v>
      </c>
    </row>
    <row r="1204" spans="11:11">
      <c r="K1204" t="str">
        <f t="shared" si="32"/>
        <v>-----</v>
      </c>
    </row>
    <row r="1205" spans="11:11">
      <c r="K1205" t="str">
        <f t="shared" si="32"/>
        <v>-----</v>
      </c>
    </row>
    <row r="1206" spans="11:11">
      <c r="K1206" t="str">
        <f t="shared" si="32"/>
        <v>-----</v>
      </c>
    </row>
    <row r="1207" spans="11:11">
      <c r="K1207" t="str">
        <f t="shared" si="32"/>
        <v>-----</v>
      </c>
    </row>
    <row r="1208" spans="11:11">
      <c r="K1208" t="str">
        <f t="shared" si="32"/>
        <v>-----</v>
      </c>
    </row>
    <row r="1209" spans="11:11">
      <c r="K1209" t="str">
        <f t="shared" si="32"/>
        <v>-----</v>
      </c>
    </row>
    <row r="1210" spans="11:11">
      <c r="K1210" t="str">
        <f t="shared" si="32"/>
        <v>-----</v>
      </c>
    </row>
    <row r="1211" spans="11:11">
      <c r="K1211" t="str">
        <f t="shared" ref="K1211:K1274" si="33">B1211&amp;C1211&amp;"-"&amp;D1211&amp;"-"&amp;E1211&amp;"-"&amp;F1211&amp;"-"&amp;G1211&amp;"-"&amp;H1211&amp;I1211</f>
        <v>-----</v>
      </c>
    </row>
    <row r="1212" spans="11:11">
      <c r="K1212" t="str">
        <f t="shared" si="33"/>
        <v>-----</v>
      </c>
    </row>
    <row r="1213" spans="11:11">
      <c r="K1213" t="str">
        <f t="shared" si="33"/>
        <v>-----</v>
      </c>
    </row>
    <row r="1214" spans="11:11">
      <c r="K1214" t="str">
        <f t="shared" si="33"/>
        <v>-----</v>
      </c>
    </row>
    <row r="1215" spans="11:11">
      <c r="K1215" t="str">
        <f t="shared" si="33"/>
        <v>-----</v>
      </c>
    </row>
    <row r="1216" spans="11:11">
      <c r="K1216" t="str">
        <f t="shared" si="33"/>
        <v>-----</v>
      </c>
    </row>
    <row r="1217" spans="11:11">
      <c r="K1217" t="str">
        <f t="shared" si="33"/>
        <v>-----</v>
      </c>
    </row>
    <row r="1218" spans="11:11">
      <c r="K1218" t="str">
        <f t="shared" si="33"/>
        <v>-----</v>
      </c>
    </row>
    <row r="1219" spans="11:11">
      <c r="K1219" t="str">
        <f t="shared" si="33"/>
        <v>-----</v>
      </c>
    </row>
    <row r="1220" spans="11:11">
      <c r="K1220" t="str">
        <f t="shared" si="33"/>
        <v>-----</v>
      </c>
    </row>
    <row r="1221" spans="11:11">
      <c r="K1221" t="str">
        <f t="shared" si="33"/>
        <v>-----</v>
      </c>
    </row>
    <row r="1222" spans="11:11">
      <c r="K1222" t="str">
        <f t="shared" si="33"/>
        <v>-----</v>
      </c>
    </row>
    <row r="1223" spans="11:11">
      <c r="K1223" t="str">
        <f t="shared" si="33"/>
        <v>-----</v>
      </c>
    </row>
    <row r="1224" spans="11:11">
      <c r="K1224" t="str">
        <f t="shared" si="33"/>
        <v>-----</v>
      </c>
    </row>
    <row r="1225" spans="11:11">
      <c r="K1225" t="str">
        <f t="shared" si="33"/>
        <v>-----</v>
      </c>
    </row>
    <row r="1226" spans="11:11">
      <c r="K1226" t="str">
        <f t="shared" si="33"/>
        <v>-----</v>
      </c>
    </row>
    <row r="1227" spans="11:11">
      <c r="K1227" t="str">
        <f t="shared" si="33"/>
        <v>-----</v>
      </c>
    </row>
    <row r="1228" spans="11:11">
      <c r="K1228" t="str">
        <f t="shared" si="33"/>
        <v>-----</v>
      </c>
    </row>
    <row r="1229" spans="11:11">
      <c r="K1229" t="str">
        <f t="shared" si="33"/>
        <v>-----</v>
      </c>
    </row>
    <row r="1230" spans="11:11">
      <c r="K1230" t="str">
        <f t="shared" si="33"/>
        <v>-----</v>
      </c>
    </row>
    <row r="1231" spans="11:11">
      <c r="K1231" t="str">
        <f t="shared" si="33"/>
        <v>-----</v>
      </c>
    </row>
    <row r="1232" spans="11:11">
      <c r="K1232" t="str">
        <f t="shared" si="33"/>
        <v>-----</v>
      </c>
    </row>
    <row r="1233" spans="11:11">
      <c r="K1233" t="str">
        <f t="shared" si="33"/>
        <v>-----</v>
      </c>
    </row>
    <row r="1234" spans="11:11">
      <c r="K1234" t="str">
        <f t="shared" si="33"/>
        <v>-----</v>
      </c>
    </row>
    <row r="1235" spans="11:11">
      <c r="K1235" t="str">
        <f t="shared" si="33"/>
        <v>-----</v>
      </c>
    </row>
    <row r="1236" spans="11:11">
      <c r="K1236" t="str">
        <f t="shared" si="33"/>
        <v>-----</v>
      </c>
    </row>
    <row r="1237" spans="11:11">
      <c r="K1237" t="str">
        <f t="shared" si="33"/>
        <v>-----</v>
      </c>
    </row>
    <row r="1238" spans="11:11">
      <c r="K1238" t="str">
        <f t="shared" si="33"/>
        <v>-----</v>
      </c>
    </row>
    <row r="1239" spans="11:11">
      <c r="K1239" t="str">
        <f t="shared" si="33"/>
        <v>-----</v>
      </c>
    </row>
    <row r="1240" spans="11:11">
      <c r="K1240" t="str">
        <f t="shared" si="33"/>
        <v>-----</v>
      </c>
    </row>
    <row r="1241" spans="11:11">
      <c r="K1241" t="str">
        <f t="shared" si="33"/>
        <v>-----</v>
      </c>
    </row>
    <row r="1242" spans="11:11">
      <c r="K1242" t="str">
        <f t="shared" si="33"/>
        <v>-----</v>
      </c>
    </row>
    <row r="1243" spans="11:11">
      <c r="K1243" t="str">
        <f t="shared" si="33"/>
        <v>-----</v>
      </c>
    </row>
    <row r="1244" spans="11:11">
      <c r="K1244" t="str">
        <f t="shared" si="33"/>
        <v>-----</v>
      </c>
    </row>
    <row r="1245" spans="11:11">
      <c r="K1245" t="str">
        <f t="shared" si="33"/>
        <v>-----</v>
      </c>
    </row>
    <row r="1246" spans="11:11">
      <c r="K1246" t="str">
        <f t="shared" si="33"/>
        <v>-----</v>
      </c>
    </row>
    <row r="1247" spans="11:11">
      <c r="K1247" t="str">
        <f t="shared" si="33"/>
        <v>-----</v>
      </c>
    </row>
    <row r="1248" spans="11:11">
      <c r="K1248" t="str">
        <f t="shared" si="33"/>
        <v>-----</v>
      </c>
    </row>
    <row r="1249" spans="11:11">
      <c r="K1249" t="str">
        <f t="shared" si="33"/>
        <v>-----</v>
      </c>
    </row>
    <row r="1250" spans="11:11">
      <c r="K1250" t="str">
        <f t="shared" si="33"/>
        <v>-----</v>
      </c>
    </row>
    <row r="1251" spans="11:11">
      <c r="K1251" t="str">
        <f t="shared" si="33"/>
        <v>-----</v>
      </c>
    </row>
    <row r="1252" spans="11:11">
      <c r="K1252" t="str">
        <f t="shared" si="33"/>
        <v>-----</v>
      </c>
    </row>
    <row r="1253" spans="11:11">
      <c r="K1253" t="str">
        <f t="shared" si="33"/>
        <v>-----</v>
      </c>
    </row>
    <row r="1254" spans="11:11">
      <c r="K1254" t="str">
        <f t="shared" si="33"/>
        <v>-----</v>
      </c>
    </row>
    <row r="1255" spans="11:11">
      <c r="K1255" t="str">
        <f t="shared" si="33"/>
        <v>-----</v>
      </c>
    </row>
    <row r="1256" spans="11:11">
      <c r="K1256" t="str">
        <f t="shared" si="33"/>
        <v>-----</v>
      </c>
    </row>
    <row r="1257" spans="11:11">
      <c r="K1257" t="str">
        <f t="shared" si="33"/>
        <v>-----</v>
      </c>
    </row>
    <row r="1258" spans="11:11">
      <c r="K1258" t="str">
        <f t="shared" si="33"/>
        <v>-----</v>
      </c>
    </row>
    <row r="1259" spans="11:11">
      <c r="K1259" t="str">
        <f t="shared" si="33"/>
        <v>-----</v>
      </c>
    </row>
    <row r="1260" spans="11:11">
      <c r="K1260" t="str">
        <f t="shared" si="33"/>
        <v>-----</v>
      </c>
    </row>
    <row r="1261" spans="11:11">
      <c r="K1261" t="str">
        <f t="shared" si="33"/>
        <v>-----</v>
      </c>
    </row>
    <row r="1262" spans="11:11">
      <c r="K1262" t="str">
        <f t="shared" si="33"/>
        <v>-----</v>
      </c>
    </row>
    <row r="1263" spans="11:11">
      <c r="K1263" t="str">
        <f t="shared" si="33"/>
        <v>-----</v>
      </c>
    </row>
    <row r="1264" spans="11:11">
      <c r="K1264" t="str">
        <f t="shared" si="33"/>
        <v>-----</v>
      </c>
    </row>
    <row r="1265" spans="11:11">
      <c r="K1265" t="str">
        <f t="shared" si="33"/>
        <v>-----</v>
      </c>
    </row>
    <row r="1266" spans="11:11">
      <c r="K1266" t="str">
        <f t="shared" si="33"/>
        <v>-----</v>
      </c>
    </row>
    <row r="1267" spans="11:11">
      <c r="K1267" t="str">
        <f t="shared" si="33"/>
        <v>-----</v>
      </c>
    </row>
    <row r="1268" spans="11:11">
      <c r="K1268" t="str">
        <f t="shared" si="33"/>
        <v>-----</v>
      </c>
    </row>
    <row r="1269" spans="11:11">
      <c r="K1269" t="str">
        <f t="shared" si="33"/>
        <v>-----</v>
      </c>
    </row>
    <row r="1270" spans="11:11">
      <c r="K1270" t="str">
        <f t="shared" si="33"/>
        <v>-----</v>
      </c>
    </row>
    <row r="1271" spans="11:11">
      <c r="K1271" t="str">
        <f t="shared" si="33"/>
        <v>-----</v>
      </c>
    </row>
    <row r="1272" spans="11:11">
      <c r="K1272" t="str">
        <f t="shared" si="33"/>
        <v>-----</v>
      </c>
    </row>
    <row r="1273" spans="11:11">
      <c r="K1273" t="str">
        <f t="shared" si="33"/>
        <v>-----</v>
      </c>
    </row>
    <row r="1274" spans="11:11">
      <c r="K1274" t="str">
        <f t="shared" si="33"/>
        <v>-----</v>
      </c>
    </row>
    <row r="1275" spans="11:11">
      <c r="K1275" t="str">
        <f t="shared" ref="K1275:K1338" si="34">B1275&amp;C1275&amp;"-"&amp;D1275&amp;"-"&amp;E1275&amp;"-"&amp;F1275&amp;"-"&amp;G1275&amp;"-"&amp;H1275&amp;I1275</f>
        <v>-----</v>
      </c>
    </row>
    <row r="1276" spans="11:11">
      <c r="K1276" t="str">
        <f t="shared" si="34"/>
        <v>-----</v>
      </c>
    </row>
    <row r="1277" spans="11:11">
      <c r="K1277" t="str">
        <f t="shared" si="34"/>
        <v>-----</v>
      </c>
    </row>
    <row r="1278" spans="11:11">
      <c r="K1278" t="str">
        <f t="shared" si="34"/>
        <v>-----</v>
      </c>
    </row>
    <row r="1279" spans="11:11">
      <c r="K1279" t="str">
        <f t="shared" si="34"/>
        <v>-----</v>
      </c>
    </row>
    <row r="1280" spans="11:11">
      <c r="K1280" t="str">
        <f t="shared" si="34"/>
        <v>-----</v>
      </c>
    </row>
    <row r="1281" spans="11:11">
      <c r="K1281" t="str">
        <f t="shared" si="34"/>
        <v>-----</v>
      </c>
    </row>
    <row r="1282" spans="11:11">
      <c r="K1282" t="str">
        <f t="shared" si="34"/>
        <v>-----</v>
      </c>
    </row>
    <row r="1283" spans="11:11">
      <c r="K1283" t="str">
        <f t="shared" si="34"/>
        <v>-----</v>
      </c>
    </row>
    <row r="1284" spans="11:11">
      <c r="K1284" t="str">
        <f t="shared" si="34"/>
        <v>-----</v>
      </c>
    </row>
    <row r="1285" spans="11:11">
      <c r="K1285" t="str">
        <f t="shared" si="34"/>
        <v>-----</v>
      </c>
    </row>
    <row r="1286" spans="11:11">
      <c r="K1286" t="str">
        <f t="shared" si="34"/>
        <v>-----</v>
      </c>
    </row>
    <row r="1287" spans="11:11">
      <c r="K1287" t="str">
        <f t="shared" si="34"/>
        <v>-----</v>
      </c>
    </row>
    <row r="1288" spans="11:11">
      <c r="K1288" t="str">
        <f t="shared" si="34"/>
        <v>-----</v>
      </c>
    </row>
    <row r="1289" spans="11:11">
      <c r="K1289" t="str">
        <f t="shared" si="34"/>
        <v>-----</v>
      </c>
    </row>
    <row r="1290" spans="11:11">
      <c r="K1290" t="str">
        <f t="shared" si="34"/>
        <v>-----</v>
      </c>
    </row>
    <row r="1291" spans="11:11">
      <c r="K1291" t="str">
        <f t="shared" si="34"/>
        <v>-----</v>
      </c>
    </row>
    <row r="1292" spans="11:11">
      <c r="K1292" t="str">
        <f t="shared" si="34"/>
        <v>-----</v>
      </c>
    </row>
    <row r="1293" spans="11:11">
      <c r="K1293" t="str">
        <f t="shared" si="34"/>
        <v>-----</v>
      </c>
    </row>
    <row r="1294" spans="11:11">
      <c r="K1294" t="str">
        <f t="shared" si="34"/>
        <v>-----</v>
      </c>
    </row>
    <row r="1295" spans="11:11">
      <c r="K1295" t="str">
        <f t="shared" si="34"/>
        <v>-----</v>
      </c>
    </row>
    <row r="1296" spans="11:11">
      <c r="K1296" t="str">
        <f t="shared" si="34"/>
        <v>-----</v>
      </c>
    </row>
    <row r="1297" spans="11:11">
      <c r="K1297" t="str">
        <f t="shared" si="34"/>
        <v>-----</v>
      </c>
    </row>
    <row r="1298" spans="11:11">
      <c r="K1298" t="str">
        <f t="shared" si="34"/>
        <v>-----</v>
      </c>
    </row>
    <row r="1299" spans="11:11">
      <c r="K1299" t="str">
        <f t="shared" si="34"/>
        <v>-----</v>
      </c>
    </row>
    <row r="1300" spans="11:11">
      <c r="K1300" t="str">
        <f t="shared" si="34"/>
        <v>-----</v>
      </c>
    </row>
    <row r="1301" spans="11:11">
      <c r="K1301" t="str">
        <f t="shared" si="34"/>
        <v>-----</v>
      </c>
    </row>
    <row r="1302" spans="11:11">
      <c r="K1302" t="str">
        <f t="shared" si="34"/>
        <v>-----</v>
      </c>
    </row>
    <row r="1303" spans="11:11">
      <c r="K1303" t="str">
        <f t="shared" si="34"/>
        <v>-----</v>
      </c>
    </row>
    <row r="1304" spans="11:11">
      <c r="K1304" t="str">
        <f t="shared" si="34"/>
        <v>-----</v>
      </c>
    </row>
    <row r="1305" spans="11:11">
      <c r="K1305" t="str">
        <f t="shared" si="34"/>
        <v>-----</v>
      </c>
    </row>
    <row r="1306" spans="11:11">
      <c r="K1306" t="str">
        <f t="shared" si="34"/>
        <v>-----</v>
      </c>
    </row>
    <row r="1307" spans="11:11">
      <c r="K1307" t="str">
        <f t="shared" si="34"/>
        <v>-----</v>
      </c>
    </row>
    <row r="1308" spans="11:11">
      <c r="K1308" t="str">
        <f t="shared" si="34"/>
        <v>-----</v>
      </c>
    </row>
    <row r="1309" spans="11:11">
      <c r="K1309" t="str">
        <f t="shared" si="34"/>
        <v>-----</v>
      </c>
    </row>
    <row r="1310" spans="11:11">
      <c r="K1310" t="str">
        <f t="shared" si="34"/>
        <v>-----</v>
      </c>
    </row>
    <row r="1311" spans="11:11">
      <c r="K1311" t="str">
        <f t="shared" si="34"/>
        <v>-----</v>
      </c>
    </row>
    <row r="1312" spans="11:11">
      <c r="K1312" t="str">
        <f t="shared" si="34"/>
        <v>-----</v>
      </c>
    </row>
    <row r="1313" spans="11:11">
      <c r="K1313" t="str">
        <f t="shared" si="34"/>
        <v>-----</v>
      </c>
    </row>
    <row r="1314" spans="11:11">
      <c r="K1314" t="str">
        <f t="shared" si="34"/>
        <v>-----</v>
      </c>
    </row>
    <row r="1315" spans="11:11">
      <c r="K1315" t="str">
        <f t="shared" si="34"/>
        <v>-----</v>
      </c>
    </row>
    <row r="1316" spans="11:11">
      <c r="K1316" t="str">
        <f t="shared" si="34"/>
        <v>-----</v>
      </c>
    </row>
    <row r="1317" spans="11:11">
      <c r="K1317" t="str">
        <f t="shared" si="34"/>
        <v>-----</v>
      </c>
    </row>
    <row r="1318" spans="11:11">
      <c r="K1318" t="str">
        <f t="shared" si="34"/>
        <v>-----</v>
      </c>
    </row>
    <row r="1319" spans="11:11">
      <c r="K1319" t="str">
        <f t="shared" si="34"/>
        <v>-----</v>
      </c>
    </row>
    <row r="1320" spans="11:11">
      <c r="K1320" t="str">
        <f t="shared" si="34"/>
        <v>-----</v>
      </c>
    </row>
    <row r="1321" spans="11:11">
      <c r="K1321" t="str">
        <f t="shared" si="34"/>
        <v>-----</v>
      </c>
    </row>
    <row r="1322" spans="11:11">
      <c r="K1322" t="str">
        <f t="shared" si="34"/>
        <v>-----</v>
      </c>
    </row>
    <row r="1323" spans="11:11">
      <c r="K1323" t="str">
        <f t="shared" si="34"/>
        <v>-----</v>
      </c>
    </row>
    <row r="1324" spans="11:11">
      <c r="K1324" t="str">
        <f t="shared" si="34"/>
        <v>-----</v>
      </c>
    </row>
    <row r="1325" spans="11:11">
      <c r="K1325" t="str">
        <f t="shared" si="34"/>
        <v>-----</v>
      </c>
    </row>
    <row r="1326" spans="11:11">
      <c r="K1326" t="str">
        <f t="shared" si="34"/>
        <v>-----</v>
      </c>
    </row>
    <row r="1327" spans="11:11">
      <c r="K1327" t="str">
        <f t="shared" si="34"/>
        <v>-----</v>
      </c>
    </row>
    <row r="1328" spans="11:11">
      <c r="K1328" t="str">
        <f t="shared" si="34"/>
        <v>-----</v>
      </c>
    </row>
    <row r="1329" spans="11:11">
      <c r="K1329" t="str">
        <f t="shared" si="34"/>
        <v>-----</v>
      </c>
    </row>
    <row r="1330" spans="11:11">
      <c r="K1330" t="str">
        <f t="shared" si="34"/>
        <v>-----</v>
      </c>
    </row>
    <row r="1331" spans="11:11">
      <c r="K1331" t="str">
        <f t="shared" si="34"/>
        <v>-----</v>
      </c>
    </row>
    <row r="1332" spans="11:11">
      <c r="K1332" t="str">
        <f t="shared" si="34"/>
        <v>-----</v>
      </c>
    </row>
    <row r="1333" spans="11:11">
      <c r="K1333" t="str">
        <f t="shared" si="34"/>
        <v>-----</v>
      </c>
    </row>
    <row r="1334" spans="11:11">
      <c r="K1334" t="str">
        <f t="shared" si="34"/>
        <v>-----</v>
      </c>
    </row>
    <row r="1335" spans="11:11">
      <c r="K1335" t="str">
        <f t="shared" si="34"/>
        <v>-----</v>
      </c>
    </row>
    <row r="1336" spans="11:11">
      <c r="K1336" t="str">
        <f t="shared" si="34"/>
        <v>-----</v>
      </c>
    </row>
    <row r="1337" spans="11:11">
      <c r="K1337" t="str">
        <f t="shared" si="34"/>
        <v>-----</v>
      </c>
    </row>
    <row r="1338" spans="11:11">
      <c r="K1338" t="str">
        <f t="shared" si="34"/>
        <v>-----</v>
      </c>
    </row>
    <row r="1339" spans="11:11">
      <c r="K1339" t="str">
        <f t="shared" ref="K1339:K1402" si="35">B1339&amp;C1339&amp;"-"&amp;D1339&amp;"-"&amp;E1339&amp;"-"&amp;F1339&amp;"-"&amp;G1339&amp;"-"&amp;H1339&amp;I1339</f>
        <v>-----</v>
      </c>
    </row>
    <row r="1340" spans="11:11">
      <c r="K1340" t="str">
        <f t="shared" si="35"/>
        <v>-----</v>
      </c>
    </row>
    <row r="1341" spans="11:11">
      <c r="K1341" t="str">
        <f t="shared" si="35"/>
        <v>-----</v>
      </c>
    </row>
    <row r="1342" spans="11:11">
      <c r="K1342" t="str">
        <f t="shared" si="35"/>
        <v>-----</v>
      </c>
    </row>
    <row r="1343" spans="11:11">
      <c r="K1343" t="str">
        <f t="shared" si="35"/>
        <v>-----</v>
      </c>
    </row>
    <row r="1344" spans="11:11">
      <c r="K1344" t="str">
        <f t="shared" si="35"/>
        <v>-----</v>
      </c>
    </row>
    <row r="1345" spans="11:11">
      <c r="K1345" t="str">
        <f t="shared" si="35"/>
        <v>-----</v>
      </c>
    </row>
    <row r="1346" spans="11:11">
      <c r="K1346" t="str">
        <f t="shared" si="35"/>
        <v>-----</v>
      </c>
    </row>
    <row r="1347" spans="11:11">
      <c r="K1347" t="str">
        <f t="shared" si="35"/>
        <v>-----</v>
      </c>
    </row>
    <row r="1348" spans="11:11">
      <c r="K1348" t="str">
        <f t="shared" si="35"/>
        <v>-----</v>
      </c>
    </row>
    <row r="1349" spans="11:11">
      <c r="K1349" t="str">
        <f t="shared" si="35"/>
        <v>-----</v>
      </c>
    </row>
    <row r="1350" spans="11:11">
      <c r="K1350" t="str">
        <f t="shared" si="35"/>
        <v>-----</v>
      </c>
    </row>
    <row r="1351" spans="11:11">
      <c r="K1351" t="str">
        <f t="shared" si="35"/>
        <v>-----</v>
      </c>
    </row>
    <row r="1352" spans="11:11">
      <c r="K1352" t="str">
        <f t="shared" si="35"/>
        <v>-----</v>
      </c>
    </row>
    <row r="1353" spans="11:11">
      <c r="K1353" t="str">
        <f t="shared" si="35"/>
        <v>-----</v>
      </c>
    </row>
    <row r="1354" spans="11:11">
      <c r="K1354" t="str">
        <f t="shared" si="35"/>
        <v>-----</v>
      </c>
    </row>
    <row r="1355" spans="11:11">
      <c r="K1355" t="str">
        <f t="shared" si="35"/>
        <v>-----</v>
      </c>
    </row>
    <row r="1356" spans="11:11">
      <c r="K1356" t="str">
        <f t="shared" si="35"/>
        <v>-----</v>
      </c>
    </row>
    <row r="1357" spans="11:11">
      <c r="K1357" t="str">
        <f t="shared" si="35"/>
        <v>-----</v>
      </c>
    </row>
    <row r="1358" spans="11:11">
      <c r="K1358" t="str">
        <f t="shared" si="35"/>
        <v>-----</v>
      </c>
    </row>
    <row r="1359" spans="11:11">
      <c r="K1359" t="str">
        <f t="shared" si="35"/>
        <v>-----</v>
      </c>
    </row>
    <row r="1360" spans="11:11">
      <c r="K1360" t="str">
        <f t="shared" si="35"/>
        <v>-----</v>
      </c>
    </row>
    <row r="1361" spans="11:11">
      <c r="K1361" t="str">
        <f t="shared" si="35"/>
        <v>-----</v>
      </c>
    </row>
    <row r="1362" spans="11:11">
      <c r="K1362" t="str">
        <f t="shared" si="35"/>
        <v>-----</v>
      </c>
    </row>
    <row r="1363" spans="11:11">
      <c r="K1363" t="str">
        <f t="shared" si="35"/>
        <v>-----</v>
      </c>
    </row>
    <row r="1364" spans="11:11">
      <c r="K1364" t="str">
        <f t="shared" si="35"/>
        <v>-----</v>
      </c>
    </row>
    <row r="1365" spans="11:11">
      <c r="K1365" t="str">
        <f t="shared" si="35"/>
        <v>-----</v>
      </c>
    </row>
    <row r="1366" spans="11:11">
      <c r="K1366" t="str">
        <f t="shared" si="35"/>
        <v>-----</v>
      </c>
    </row>
    <row r="1367" spans="11:11">
      <c r="K1367" t="str">
        <f t="shared" si="35"/>
        <v>-----</v>
      </c>
    </row>
    <row r="1368" spans="11:11">
      <c r="K1368" t="str">
        <f t="shared" si="35"/>
        <v>-----</v>
      </c>
    </row>
    <row r="1369" spans="11:11">
      <c r="K1369" t="str">
        <f t="shared" si="35"/>
        <v>-----</v>
      </c>
    </row>
    <row r="1370" spans="11:11">
      <c r="K1370" t="str">
        <f t="shared" si="35"/>
        <v>-----</v>
      </c>
    </row>
    <row r="1371" spans="11:11">
      <c r="K1371" t="str">
        <f t="shared" si="35"/>
        <v>-----</v>
      </c>
    </row>
    <row r="1372" spans="11:11">
      <c r="K1372" t="str">
        <f t="shared" si="35"/>
        <v>-----</v>
      </c>
    </row>
    <row r="1373" spans="11:11">
      <c r="K1373" t="str">
        <f t="shared" si="35"/>
        <v>-----</v>
      </c>
    </row>
    <row r="1374" spans="11:11">
      <c r="K1374" t="str">
        <f t="shared" si="35"/>
        <v>-----</v>
      </c>
    </row>
    <row r="1375" spans="11:11">
      <c r="K1375" t="str">
        <f t="shared" si="35"/>
        <v>-----</v>
      </c>
    </row>
    <row r="1376" spans="11:11">
      <c r="K1376" t="str">
        <f t="shared" si="35"/>
        <v>-----</v>
      </c>
    </row>
    <row r="1377" spans="11:11">
      <c r="K1377" t="str">
        <f t="shared" si="35"/>
        <v>-----</v>
      </c>
    </row>
    <row r="1378" spans="11:11">
      <c r="K1378" t="str">
        <f t="shared" si="35"/>
        <v>-----</v>
      </c>
    </row>
    <row r="1379" spans="11:11">
      <c r="K1379" t="str">
        <f t="shared" si="35"/>
        <v>-----</v>
      </c>
    </row>
    <row r="1380" spans="11:11">
      <c r="K1380" t="str">
        <f t="shared" si="35"/>
        <v>-----</v>
      </c>
    </row>
    <row r="1381" spans="11:11">
      <c r="K1381" t="str">
        <f t="shared" si="35"/>
        <v>-----</v>
      </c>
    </row>
    <row r="1382" spans="11:11">
      <c r="K1382" t="str">
        <f t="shared" si="35"/>
        <v>-----</v>
      </c>
    </row>
    <row r="1383" spans="11:11">
      <c r="K1383" t="str">
        <f t="shared" si="35"/>
        <v>-----</v>
      </c>
    </row>
    <row r="1384" spans="11:11">
      <c r="K1384" t="str">
        <f t="shared" si="35"/>
        <v>-----</v>
      </c>
    </row>
    <row r="1385" spans="11:11">
      <c r="K1385" t="str">
        <f t="shared" si="35"/>
        <v>-----</v>
      </c>
    </row>
    <row r="1386" spans="11:11">
      <c r="K1386" t="str">
        <f t="shared" si="35"/>
        <v>-----</v>
      </c>
    </row>
    <row r="1387" spans="11:11">
      <c r="K1387" t="str">
        <f t="shared" si="35"/>
        <v>-----</v>
      </c>
    </row>
    <row r="1388" spans="11:11">
      <c r="K1388" t="str">
        <f t="shared" si="35"/>
        <v>-----</v>
      </c>
    </row>
    <row r="1389" spans="11:11">
      <c r="K1389" t="str">
        <f t="shared" si="35"/>
        <v>-----</v>
      </c>
    </row>
    <row r="1390" spans="11:11">
      <c r="K1390" t="str">
        <f t="shared" si="35"/>
        <v>-----</v>
      </c>
    </row>
    <row r="1391" spans="11:11">
      <c r="K1391" t="str">
        <f t="shared" si="35"/>
        <v>-----</v>
      </c>
    </row>
    <row r="1392" spans="11:11">
      <c r="K1392" t="str">
        <f t="shared" si="35"/>
        <v>-----</v>
      </c>
    </row>
    <row r="1393" spans="11:11">
      <c r="K1393" t="str">
        <f t="shared" si="35"/>
        <v>-----</v>
      </c>
    </row>
    <row r="1394" spans="11:11">
      <c r="K1394" t="str">
        <f t="shared" si="35"/>
        <v>-----</v>
      </c>
    </row>
    <row r="1395" spans="11:11">
      <c r="K1395" t="str">
        <f t="shared" si="35"/>
        <v>-----</v>
      </c>
    </row>
    <row r="1396" spans="11:11">
      <c r="K1396" t="str">
        <f t="shared" si="35"/>
        <v>-----</v>
      </c>
    </row>
    <row r="1397" spans="11:11">
      <c r="K1397" t="str">
        <f t="shared" si="35"/>
        <v>-----</v>
      </c>
    </row>
    <row r="1398" spans="11:11">
      <c r="K1398" t="str">
        <f t="shared" si="35"/>
        <v>-----</v>
      </c>
    </row>
    <row r="1399" spans="11:11">
      <c r="K1399" t="str">
        <f t="shared" si="35"/>
        <v>-----</v>
      </c>
    </row>
    <row r="1400" spans="11:11">
      <c r="K1400" t="str">
        <f t="shared" si="35"/>
        <v>-----</v>
      </c>
    </row>
    <row r="1401" spans="11:11">
      <c r="K1401" t="str">
        <f t="shared" si="35"/>
        <v>-----</v>
      </c>
    </row>
    <row r="1402" spans="11:11">
      <c r="K1402" t="str">
        <f t="shared" si="35"/>
        <v>-----</v>
      </c>
    </row>
    <row r="1403" spans="11:11">
      <c r="K1403" t="str">
        <f t="shared" ref="K1403:K1466" si="36">B1403&amp;C1403&amp;"-"&amp;D1403&amp;"-"&amp;E1403&amp;"-"&amp;F1403&amp;"-"&amp;G1403&amp;"-"&amp;H1403&amp;I1403</f>
        <v>-----</v>
      </c>
    </row>
    <row r="1404" spans="11:11">
      <c r="K1404" t="str">
        <f t="shared" si="36"/>
        <v>-----</v>
      </c>
    </row>
    <row r="1405" spans="11:11">
      <c r="K1405" t="str">
        <f t="shared" si="36"/>
        <v>-----</v>
      </c>
    </row>
    <row r="1406" spans="11:11">
      <c r="K1406" t="str">
        <f t="shared" si="36"/>
        <v>-----</v>
      </c>
    </row>
    <row r="1407" spans="11:11">
      <c r="K1407" t="str">
        <f t="shared" si="36"/>
        <v>-----</v>
      </c>
    </row>
    <row r="1408" spans="11:11">
      <c r="K1408" t="str">
        <f t="shared" si="36"/>
        <v>-----</v>
      </c>
    </row>
    <row r="1409" spans="11:11">
      <c r="K1409" t="str">
        <f t="shared" si="36"/>
        <v>-----</v>
      </c>
    </row>
    <row r="1410" spans="11:11">
      <c r="K1410" t="str">
        <f t="shared" si="36"/>
        <v>-----</v>
      </c>
    </row>
    <row r="1411" spans="11:11">
      <c r="K1411" t="str">
        <f t="shared" si="36"/>
        <v>-----</v>
      </c>
    </row>
    <row r="1412" spans="11:11">
      <c r="K1412" t="str">
        <f t="shared" si="36"/>
        <v>-----</v>
      </c>
    </row>
    <row r="1413" spans="11:11">
      <c r="K1413" t="str">
        <f t="shared" si="36"/>
        <v>-----</v>
      </c>
    </row>
    <row r="1414" spans="11:11">
      <c r="K1414" t="str">
        <f t="shared" si="36"/>
        <v>-----</v>
      </c>
    </row>
    <row r="1415" spans="11:11">
      <c r="K1415" t="str">
        <f t="shared" si="36"/>
        <v>-----</v>
      </c>
    </row>
    <row r="1416" spans="11:11">
      <c r="K1416" t="str">
        <f t="shared" si="36"/>
        <v>-----</v>
      </c>
    </row>
    <row r="1417" spans="11:11">
      <c r="K1417" t="str">
        <f t="shared" si="36"/>
        <v>-----</v>
      </c>
    </row>
    <row r="1418" spans="11:11">
      <c r="K1418" t="str">
        <f t="shared" si="36"/>
        <v>-----</v>
      </c>
    </row>
    <row r="1419" spans="11:11">
      <c r="K1419" t="str">
        <f t="shared" si="36"/>
        <v>-----</v>
      </c>
    </row>
    <row r="1420" spans="11:11">
      <c r="K1420" t="str">
        <f t="shared" si="36"/>
        <v>-----</v>
      </c>
    </row>
    <row r="1421" spans="11:11">
      <c r="K1421" t="str">
        <f t="shared" si="36"/>
        <v>-----</v>
      </c>
    </row>
    <row r="1422" spans="11:11">
      <c r="K1422" t="str">
        <f t="shared" si="36"/>
        <v>-----</v>
      </c>
    </row>
    <row r="1423" spans="11:11">
      <c r="K1423" t="str">
        <f t="shared" si="36"/>
        <v>-----</v>
      </c>
    </row>
    <row r="1424" spans="11:11">
      <c r="K1424" t="str">
        <f t="shared" si="36"/>
        <v>-----</v>
      </c>
    </row>
    <row r="1425" spans="11:11">
      <c r="K1425" t="str">
        <f t="shared" si="36"/>
        <v>-----</v>
      </c>
    </row>
    <row r="1426" spans="11:11">
      <c r="K1426" t="str">
        <f t="shared" si="36"/>
        <v>-----</v>
      </c>
    </row>
    <row r="1427" spans="11:11">
      <c r="K1427" t="str">
        <f t="shared" si="36"/>
        <v>-----</v>
      </c>
    </row>
    <row r="1428" spans="11:11">
      <c r="K1428" t="str">
        <f t="shared" si="36"/>
        <v>-----</v>
      </c>
    </row>
    <row r="1429" spans="11:11">
      <c r="K1429" t="str">
        <f t="shared" si="36"/>
        <v>-----</v>
      </c>
    </row>
    <row r="1430" spans="11:11">
      <c r="K1430" t="str">
        <f t="shared" si="36"/>
        <v>-----</v>
      </c>
    </row>
    <row r="1431" spans="11:11">
      <c r="K1431" t="str">
        <f t="shared" si="36"/>
        <v>-----</v>
      </c>
    </row>
    <row r="1432" spans="11:11">
      <c r="K1432" t="str">
        <f t="shared" si="36"/>
        <v>-----</v>
      </c>
    </row>
    <row r="1433" spans="11:11">
      <c r="K1433" t="str">
        <f t="shared" si="36"/>
        <v>-----</v>
      </c>
    </row>
    <row r="1434" spans="11:11">
      <c r="K1434" t="str">
        <f t="shared" si="36"/>
        <v>-----</v>
      </c>
    </row>
    <row r="1435" spans="11:11">
      <c r="K1435" t="str">
        <f t="shared" si="36"/>
        <v>-----</v>
      </c>
    </row>
    <row r="1436" spans="11:11">
      <c r="K1436" t="str">
        <f t="shared" si="36"/>
        <v>-----</v>
      </c>
    </row>
    <row r="1437" spans="11:11">
      <c r="K1437" t="str">
        <f t="shared" si="36"/>
        <v>-----</v>
      </c>
    </row>
    <row r="1438" spans="11:11">
      <c r="K1438" t="str">
        <f t="shared" si="36"/>
        <v>-----</v>
      </c>
    </row>
    <row r="1439" spans="11:11">
      <c r="K1439" t="str">
        <f t="shared" si="36"/>
        <v>-----</v>
      </c>
    </row>
    <row r="1440" spans="11:11">
      <c r="K1440" t="str">
        <f t="shared" si="36"/>
        <v>-----</v>
      </c>
    </row>
    <row r="1441" spans="11:11">
      <c r="K1441" t="str">
        <f t="shared" si="36"/>
        <v>-----</v>
      </c>
    </row>
    <row r="1442" spans="11:11">
      <c r="K1442" t="str">
        <f t="shared" si="36"/>
        <v>-----</v>
      </c>
    </row>
    <row r="1443" spans="11:11">
      <c r="K1443" t="str">
        <f t="shared" si="36"/>
        <v>-----</v>
      </c>
    </row>
    <row r="1444" spans="11:11">
      <c r="K1444" t="str">
        <f t="shared" si="36"/>
        <v>-----</v>
      </c>
    </row>
    <row r="1445" spans="11:11">
      <c r="K1445" t="str">
        <f t="shared" si="36"/>
        <v>-----</v>
      </c>
    </row>
    <row r="1446" spans="11:11">
      <c r="K1446" t="str">
        <f t="shared" si="36"/>
        <v>-----</v>
      </c>
    </row>
    <row r="1447" spans="11:11">
      <c r="K1447" t="str">
        <f t="shared" si="36"/>
        <v>-----</v>
      </c>
    </row>
    <row r="1448" spans="11:11">
      <c r="K1448" t="str">
        <f t="shared" si="36"/>
        <v>-----</v>
      </c>
    </row>
    <row r="1449" spans="11:11">
      <c r="K1449" t="str">
        <f t="shared" si="36"/>
        <v>-----</v>
      </c>
    </row>
    <row r="1450" spans="11:11">
      <c r="K1450" t="str">
        <f t="shared" si="36"/>
        <v>-----</v>
      </c>
    </row>
    <row r="1451" spans="11:11">
      <c r="K1451" t="str">
        <f t="shared" si="36"/>
        <v>-----</v>
      </c>
    </row>
    <row r="1452" spans="11:11">
      <c r="K1452" t="str">
        <f t="shared" si="36"/>
        <v>-----</v>
      </c>
    </row>
    <row r="1453" spans="11:11">
      <c r="K1453" t="str">
        <f t="shared" si="36"/>
        <v>-----</v>
      </c>
    </row>
    <row r="1454" spans="11:11">
      <c r="K1454" t="str">
        <f t="shared" si="36"/>
        <v>-----</v>
      </c>
    </row>
    <row r="1455" spans="11:11">
      <c r="K1455" t="str">
        <f t="shared" si="36"/>
        <v>-----</v>
      </c>
    </row>
    <row r="1456" spans="11:11">
      <c r="K1456" t="str">
        <f t="shared" si="36"/>
        <v>-----</v>
      </c>
    </row>
    <row r="1457" spans="11:11">
      <c r="K1457" t="str">
        <f t="shared" si="36"/>
        <v>-----</v>
      </c>
    </row>
    <row r="1458" spans="11:11">
      <c r="K1458" t="str">
        <f t="shared" si="36"/>
        <v>-----</v>
      </c>
    </row>
    <row r="1459" spans="11:11">
      <c r="K1459" t="str">
        <f t="shared" si="36"/>
        <v>-----</v>
      </c>
    </row>
    <row r="1460" spans="11:11">
      <c r="K1460" t="str">
        <f t="shared" si="36"/>
        <v>-----</v>
      </c>
    </row>
    <row r="1461" spans="11:11">
      <c r="K1461" t="str">
        <f t="shared" si="36"/>
        <v>-----</v>
      </c>
    </row>
    <row r="1462" spans="11:11">
      <c r="K1462" t="str">
        <f t="shared" si="36"/>
        <v>-----</v>
      </c>
    </row>
    <row r="1463" spans="11:11">
      <c r="K1463" t="str">
        <f t="shared" si="36"/>
        <v>-----</v>
      </c>
    </row>
    <row r="1464" spans="11:11">
      <c r="K1464" t="str">
        <f t="shared" si="36"/>
        <v>-----</v>
      </c>
    </row>
    <row r="1465" spans="11:11">
      <c r="K1465" t="str">
        <f t="shared" si="36"/>
        <v>-----</v>
      </c>
    </row>
    <row r="1466" spans="11:11">
      <c r="K1466" t="str">
        <f t="shared" si="36"/>
        <v>-----</v>
      </c>
    </row>
    <row r="1467" spans="11:11">
      <c r="K1467" t="str">
        <f t="shared" ref="K1467:K1503" si="37">B1467&amp;C1467&amp;"-"&amp;D1467&amp;"-"&amp;E1467&amp;"-"&amp;F1467&amp;"-"&amp;G1467&amp;"-"&amp;H1467&amp;I1467</f>
        <v>-----</v>
      </c>
    </row>
    <row r="1468" spans="11:11">
      <c r="K1468" t="str">
        <f t="shared" si="37"/>
        <v>-----</v>
      </c>
    </row>
    <row r="1469" spans="11:11">
      <c r="K1469" t="str">
        <f t="shared" si="37"/>
        <v>-----</v>
      </c>
    </row>
    <row r="1470" spans="11:11">
      <c r="K1470" t="str">
        <f t="shared" si="37"/>
        <v>-----</v>
      </c>
    </row>
    <row r="1471" spans="11:11">
      <c r="K1471" t="str">
        <f t="shared" si="37"/>
        <v>-----</v>
      </c>
    </row>
    <row r="1472" spans="11:11">
      <c r="K1472" t="str">
        <f t="shared" si="37"/>
        <v>-----</v>
      </c>
    </row>
    <row r="1473" spans="11:11">
      <c r="K1473" t="str">
        <f t="shared" si="37"/>
        <v>-----</v>
      </c>
    </row>
    <row r="1474" spans="11:11">
      <c r="K1474" t="str">
        <f t="shared" si="37"/>
        <v>-----</v>
      </c>
    </row>
    <row r="1475" spans="11:11">
      <c r="K1475" t="str">
        <f t="shared" si="37"/>
        <v>-----</v>
      </c>
    </row>
    <row r="1476" spans="11:11">
      <c r="K1476" t="str">
        <f t="shared" si="37"/>
        <v>-----</v>
      </c>
    </row>
    <row r="1477" spans="11:11">
      <c r="K1477" t="str">
        <f t="shared" si="37"/>
        <v>-----</v>
      </c>
    </row>
    <row r="1478" spans="11:11">
      <c r="K1478" t="str">
        <f t="shared" si="37"/>
        <v>-----</v>
      </c>
    </row>
    <row r="1479" spans="11:11">
      <c r="K1479" t="str">
        <f t="shared" si="37"/>
        <v>-----</v>
      </c>
    </row>
    <row r="1480" spans="11:11">
      <c r="K1480" t="str">
        <f t="shared" si="37"/>
        <v>-----</v>
      </c>
    </row>
    <row r="1481" spans="11:11">
      <c r="K1481" t="str">
        <f t="shared" si="37"/>
        <v>-----</v>
      </c>
    </row>
    <row r="1482" spans="11:11">
      <c r="K1482" t="str">
        <f t="shared" si="37"/>
        <v>-----</v>
      </c>
    </row>
    <row r="1483" spans="11:11">
      <c r="K1483" t="str">
        <f t="shared" si="37"/>
        <v>-----</v>
      </c>
    </row>
    <row r="1484" spans="11:11">
      <c r="K1484" t="str">
        <f t="shared" si="37"/>
        <v>-----</v>
      </c>
    </row>
    <row r="1485" spans="11:11">
      <c r="K1485" t="str">
        <f t="shared" si="37"/>
        <v>-----</v>
      </c>
    </row>
    <row r="1486" spans="11:11">
      <c r="K1486" t="str">
        <f t="shared" si="37"/>
        <v>-----</v>
      </c>
    </row>
    <row r="1487" spans="11:11">
      <c r="K1487" t="str">
        <f t="shared" si="37"/>
        <v>-----</v>
      </c>
    </row>
    <row r="1488" spans="11:11">
      <c r="K1488" t="str">
        <f t="shared" si="37"/>
        <v>-----</v>
      </c>
    </row>
    <row r="1489" spans="11:11">
      <c r="K1489" t="str">
        <f t="shared" si="37"/>
        <v>-----</v>
      </c>
    </row>
    <row r="1490" spans="11:11">
      <c r="K1490" t="str">
        <f t="shared" si="37"/>
        <v>-----</v>
      </c>
    </row>
    <row r="1491" spans="11:11">
      <c r="K1491" t="str">
        <f t="shared" si="37"/>
        <v>-----</v>
      </c>
    </row>
    <row r="1492" spans="11:11">
      <c r="K1492" t="str">
        <f t="shared" si="37"/>
        <v>-----</v>
      </c>
    </row>
    <row r="1493" spans="11:11">
      <c r="K1493" t="str">
        <f t="shared" si="37"/>
        <v>-----</v>
      </c>
    </row>
    <row r="1494" spans="11:11">
      <c r="K1494" t="str">
        <f t="shared" si="37"/>
        <v>-----</v>
      </c>
    </row>
    <row r="1495" spans="11:11">
      <c r="K1495" t="str">
        <f t="shared" si="37"/>
        <v>-----</v>
      </c>
    </row>
    <row r="1496" spans="11:11">
      <c r="K1496" t="str">
        <f t="shared" si="37"/>
        <v>-----</v>
      </c>
    </row>
    <row r="1497" spans="11:11">
      <c r="K1497" t="str">
        <f t="shared" si="37"/>
        <v>-----</v>
      </c>
    </row>
    <row r="1498" spans="11:11">
      <c r="K1498" t="str">
        <f t="shared" si="37"/>
        <v>-----</v>
      </c>
    </row>
    <row r="1499" spans="11:11">
      <c r="K1499" t="str">
        <f t="shared" si="37"/>
        <v>-----</v>
      </c>
    </row>
    <row r="1500" spans="11:11">
      <c r="K1500" t="str">
        <f t="shared" si="37"/>
        <v>-----</v>
      </c>
    </row>
    <row r="1501" spans="11:11">
      <c r="K1501" t="str">
        <f t="shared" si="37"/>
        <v>-----</v>
      </c>
    </row>
    <row r="1502" spans="11:11">
      <c r="K1502" t="str">
        <f t="shared" si="37"/>
        <v>-----</v>
      </c>
    </row>
    <row r="1503" spans="11:11">
      <c r="K1503" t="str">
        <f t="shared" si="37"/>
        <v>-----</v>
      </c>
    </row>
  </sheetData>
  <autoFilter ref="B1:L1503" xr:uid="{129A9543-DB58-4E60-B650-9019875A9573}"/>
  <phoneticPr fontId="5"/>
  <conditionalFormatting sqref="G860">
    <cfRule type="duplicateValues" dxfId="160" priority="11"/>
    <cfRule type="duplicateValues" dxfId="159" priority="12"/>
  </conditionalFormatting>
  <conditionalFormatting sqref="G861">
    <cfRule type="duplicateValues" dxfId="158" priority="9"/>
    <cfRule type="duplicateValues" dxfId="157" priority="10"/>
  </conditionalFormatting>
  <conditionalFormatting sqref="G862:G868 G870:G871">
    <cfRule type="duplicateValues" dxfId="156" priority="7"/>
    <cfRule type="duplicateValues" dxfId="155" priority="8"/>
  </conditionalFormatting>
  <conditionalFormatting sqref="G873">
    <cfRule type="duplicateValues" dxfId="154" priority="5"/>
    <cfRule type="duplicateValues" dxfId="153" priority="6"/>
  </conditionalFormatting>
  <conditionalFormatting sqref="G907">
    <cfRule type="duplicateValues" dxfId="152" priority="3"/>
    <cfRule type="duplicateValues" dxfId="151" priority="4"/>
  </conditionalFormatting>
  <conditionalFormatting sqref="G985">
    <cfRule type="duplicateValues" dxfId="150" priority="1"/>
    <cfRule type="duplicateValues" dxfId="149" priority="2"/>
  </conditionalFormatting>
  <conditionalFormatting sqref="L452 K1:K1048576">
    <cfRule type="duplicateValues" dxfId="148" priority="70"/>
  </conditionalFormatting>
  <pageMargins left="0.7" right="0.7" top="0.75" bottom="0.75" header="0.3" footer="0.3"/>
  <pageSetup paperSize="9" orientation="portrait" horizontalDpi="4294967293" verticalDpi="1200" r:id="rId1"/>
  <extLst>
    <ext xmlns:x14="http://schemas.microsoft.com/office/spreadsheetml/2009/9/main" uri="{CCE6A557-97BC-4b89-ADB6-D9C93CAAB3DF}">
      <x14:dataValidations xmlns:xm="http://schemas.microsoft.com/office/excel/2006/main" count="6">
        <x14:dataValidation type="list" allowBlank="1" showInputMessage="1" showErrorMessage="1" xr:uid="{31EEBCB3-4D86-491D-B96B-8C02AEF75462}">
          <x14:formula1>
            <xm:f>List!$B$2:$B$14</xm:f>
          </x14:formula1>
          <xm:sqref>B527 B539 B548:B1503</xm:sqref>
        </x14:dataValidation>
        <x14:dataValidation type="list" allowBlank="1" xr:uid="{7B84CC17-F514-43A1-A06F-46B26455E650}">
          <x14:formula1>
            <xm:f>List!$B$2:$B$14</xm:f>
          </x14:formula1>
          <xm:sqref>B536:B538 B540:B547</xm:sqref>
        </x14:dataValidation>
        <x14:dataValidation type="list" allowBlank="1" xr:uid="{F36BF8C5-820C-4D6B-9A08-1EBC5FB4E383}">
          <x14:formula1>
            <xm:f>List!$H$2:$H$9</xm:f>
          </x14:formula1>
          <xm:sqref>E548:E1503</xm:sqref>
        </x14:dataValidation>
        <x14:dataValidation type="list" allowBlank="1" xr:uid="{2C88043E-479A-4001-8055-4AF0C0D38A76}">
          <x14:formula1>
            <xm:f>List!$G$2:$G$4</xm:f>
          </x14:formula1>
          <xm:sqref>H1:H1048576</xm:sqref>
        </x14:dataValidation>
        <x14:dataValidation type="list" allowBlank="1" xr:uid="{583C0317-A655-4E46-BA6B-6658C7FF69E4}">
          <x14:formula1>
            <xm:f>List!$I$2:$I$14</xm:f>
          </x14:formula1>
          <xm:sqref>I526:I527 I536:I1503</xm:sqref>
        </x14:dataValidation>
        <x14:dataValidation type="list" allowBlank="1" showInputMessage="1" showErrorMessage="1" xr:uid="{8725D3DD-5E21-4066-8EE9-08184A4458AF}">
          <x14:formula1>
            <xm:f>List!$E$2:$E$28</xm:f>
          </x14:formula1>
          <xm:sqref>F536 F548:F1503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17A07-3CAA-4994-8CF6-147E059E2F8E}">
  <sheetPr codeName="Sheet1">
    <tabColor rgb="FFFFC000"/>
  </sheetPr>
  <dimension ref="A1:R5974"/>
  <sheetViews>
    <sheetView workbookViewId="0">
      <pane ySplit="1" topLeftCell="A3143" activePane="bottomLeft" state="frozen"/>
      <selection pane="bottomLeft" activeCell="H3098" sqref="H3098"/>
    </sheetView>
  </sheetViews>
  <sheetFormatPr defaultRowHeight="18" zeroHeight="1"/>
  <cols>
    <col min="1" max="1" width="5.09765625" customWidth="1"/>
    <col min="2" max="2" width="4.8984375" customWidth="1"/>
    <col min="3" max="3" width="3.69921875" customWidth="1"/>
    <col min="4" max="4" width="10.69921875" customWidth="1"/>
    <col min="5" max="5" width="4.09765625" customWidth="1"/>
    <col min="6" max="6" width="6.8984375" customWidth="1"/>
    <col min="7" max="7" width="47.69921875" style="4" customWidth="1"/>
    <col min="8" max="8" width="41.796875" style="306" customWidth="1"/>
    <col min="9" max="9" width="16.796875" style="432" customWidth="1"/>
    <col min="10" max="10" width="6.8984375" customWidth="1"/>
    <col min="11" max="11" width="8.09765625" customWidth="1"/>
    <col min="12" max="12" width="15.5" customWidth="1"/>
    <col min="13" max="13" width="19" style="1" customWidth="1"/>
    <col min="14" max="14" width="34.3984375" customWidth="1"/>
    <col min="15" max="15" width="47.3984375" customWidth="1"/>
  </cols>
  <sheetData>
    <row r="1" spans="1:15">
      <c r="A1" t="s">
        <v>0</v>
      </c>
      <c r="B1" t="s">
        <v>652</v>
      </c>
      <c r="C1" t="s">
        <v>653</v>
      </c>
      <c r="D1" t="s">
        <v>654</v>
      </c>
      <c r="E1" t="s">
        <v>655</v>
      </c>
      <c r="F1" t="s">
        <v>9</v>
      </c>
      <c r="G1" s="4" t="s">
        <v>656</v>
      </c>
      <c r="H1" s="306" t="s">
        <v>7642</v>
      </c>
      <c r="I1" s="432" t="s">
        <v>657</v>
      </c>
      <c r="J1" t="s">
        <v>658</v>
      </c>
      <c r="K1" t="s">
        <v>659</v>
      </c>
      <c r="L1" t="s">
        <v>660</v>
      </c>
      <c r="M1" s="1" t="s">
        <v>661</v>
      </c>
      <c r="N1" t="s">
        <v>662</v>
      </c>
      <c r="O1" t="s">
        <v>663</v>
      </c>
    </row>
    <row r="2" spans="1:15" s="5" customFormat="1">
      <c r="A2" s="5">
        <v>1</v>
      </c>
      <c r="B2" s="5" t="s">
        <v>664</v>
      </c>
      <c r="C2" s="5" t="s">
        <v>112</v>
      </c>
      <c r="D2" s="5" t="s">
        <v>665</v>
      </c>
      <c r="F2" s="5" t="s">
        <v>666</v>
      </c>
      <c r="G2" s="270" t="s">
        <v>667</v>
      </c>
      <c r="H2" s="305" t="s">
        <v>668</v>
      </c>
      <c r="I2" s="433"/>
      <c r="L2" t="s">
        <v>669</v>
      </c>
      <c r="M2" s="3"/>
    </row>
    <row r="3" spans="1:15" s="5" customFormat="1">
      <c r="A3" s="5">
        <v>2</v>
      </c>
      <c r="B3" s="5" t="s">
        <v>664</v>
      </c>
      <c r="C3" s="5" t="s">
        <v>112</v>
      </c>
      <c r="D3" s="5" t="s">
        <v>665</v>
      </c>
      <c r="F3" s="5" t="s">
        <v>666</v>
      </c>
      <c r="G3" s="270" t="s">
        <v>667</v>
      </c>
      <c r="H3" s="305" t="s">
        <v>670</v>
      </c>
      <c r="I3" s="433"/>
      <c r="L3" t="s">
        <v>669</v>
      </c>
      <c r="M3" s="3"/>
    </row>
    <row r="4" spans="1:15" s="5" customFormat="1">
      <c r="A4" s="5">
        <v>3</v>
      </c>
      <c r="B4" s="5" t="s">
        <v>664</v>
      </c>
      <c r="C4" s="5" t="s">
        <v>112</v>
      </c>
      <c r="D4" s="5" t="s">
        <v>665</v>
      </c>
      <c r="F4" s="5" t="s">
        <v>666</v>
      </c>
      <c r="G4" s="270" t="s">
        <v>667</v>
      </c>
      <c r="H4" s="305" t="s">
        <v>671</v>
      </c>
      <c r="I4" s="433"/>
      <c r="L4" t="s">
        <v>669</v>
      </c>
      <c r="M4" s="3"/>
    </row>
    <row r="5" spans="1:15" s="5" customFormat="1">
      <c r="A5" s="5">
        <v>4</v>
      </c>
      <c r="B5" s="5" t="s">
        <v>664</v>
      </c>
      <c r="C5" s="5" t="s">
        <v>112</v>
      </c>
      <c r="D5" s="5" t="s">
        <v>665</v>
      </c>
      <c r="F5" s="5" t="s">
        <v>666</v>
      </c>
      <c r="G5" s="270" t="s">
        <v>667</v>
      </c>
      <c r="H5" s="305" t="s">
        <v>672</v>
      </c>
      <c r="I5" s="433"/>
      <c r="L5" t="s">
        <v>669</v>
      </c>
      <c r="M5" s="3"/>
    </row>
    <row r="6" spans="1:15" s="5" customFormat="1">
      <c r="A6" s="5">
        <v>5</v>
      </c>
      <c r="B6" s="5" t="s">
        <v>664</v>
      </c>
      <c r="C6" s="5" t="s">
        <v>112</v>
      </c>
      <c r="D6" s="5" t="s">
        <v>665</v>
      </c>
      <c r="F6" s="5" t="s">
        <v>666</v>
      </c>
      <c r="G6" s="270" t="s">
        <v>667</v>
      </c>
      <c r="H6" s="305" t="s">
        <v>673</v>
      </c>
      <c r="I6" s="433"/>
      <c r="L6" t="s">
        <v>669</v>
      </c>
      <c r="M6" s="3"/>
    </row>
    <row r="7" spans="1:15" s="5" customFormat="1">
      <c r="A7" s="5">
        <v>6</v>
      </c>
      <c r="B7" s="5" t="s">
        <v>664</v>
      </c>
      <c r="C7" s="5" t="s">
        <v>112</v>
      </c>
      <c r="D7" s="5" t="s">
        <v>665</v>
      </c>
      <c r="F7" s="5" t="s">
        <v>666</v>
      </c>
      <c r="G7" s="270" t="s">
        <v>667</v>
      </c>
      <c r="H7" s="305" t="s">
        <v>674</v>
      </c>
      <c r="I7" s="433"/>
      <c r="L7" t="s">
        <v>669</v>
      </c>
      <c r="M7" s="3"/>
    </row>
    <row r="8" spans="1:15" s="5" customFormat="1">
      <c r="A8" s="5">
        <v>7</v>
      </c>
      <c r="B8" s="5" t="s">
        <v>664</v>
      </c>
      <c r="C8" s="5" t="s">
        <v>112</v>
      </c>
      <c r="D8" s="5" t="s">
        <v>665</v>
      </c>
      <c r="F8" s="5" t="s">
        <v>666</v>
      </c>
      <c r="G8" s="270" t="s">
        <v>667</v>
      </c>
      <c r="H8" s="305" t="s">
        <v>675</v>
      </c>
      <c r="I8" s="433"/>
      <c r="L8" t="s">
        <v>669</v>
      </c>
      <c r="M8" s="3"/>
    </row>
    <row r="9" spans="1:15" s="5" customFormat="1">
      <c r="A9" s="5">
        <v>8</v>
      </c>
      <c r="B9" s="5" t="s">
        <v>664</v>
      </c>
      <c r="C9" s="5" t="s">
        <v>112</v>
      </c>
      <c r="D9" s="5" t="s">
        <v>665</v>
      </c>
      <c r="F9" s="5" t="s">
        <v>666</v>
      </c>
      <c r="G9" s="270" t="s">
        <v>667</v>
      </c>
      <c r="H9" s="305" t="s">
        <v>676</v>
      </c>
      <c r="I9" s="433"/>
      <c r="L9" t="s">
        <v>669</v>
      </c>
      <c r="M9" s="3"/>
    </row>
    <row r="10" spans="1:15" s="5" customFormat="1">
      <c r="A10" s="5">
        <v>9</v>
      </c>
      <c r="B10" s="5" t="s">
        <v>664</v>
      </c>
      <c r="C10" s="5" t="s">
        <v>112</v>
      </c>
      <c r="D10" s="5" t="s">
        <v>665</v>
      </c>
      <c r="F10" s="5" t="s">
        <v>666</v>
      </c>
      <c r="G10" s="270" t="s">
        <v>667</v>
      </c>
      <c r="H10" s="305" t="s">
        <v>677</v>
      </c>
      <c r="I10" s="433"/>
      <c r="L10" t="s">
        <v>669</v>
      </c>
      <c r="M10" s="3"/>
    </row>
    <row r="11" spans="1:15" s="5" customFormat="1">
      <c r="A11" s="5">
        <v>10</v>
      </c>
      <c r="B11" s="5" t="s">
        <v>664</v>
      </c>
      <c r="C11" s="5" t="s">
        <v>112</v>
      </c>
      <c r="D11" s="5" t="s">
        <v>665</v>
      </c>
      <c r="F11" s="5" t="s">
        <v>666</v>
      </c>
      <c r="G11" s="270" t="s">
        <v>667</v>
      </c>
      <c r="H11" s="305" t="s">
        <v>678</v>
      </c>
      <c r="I11" s="433"/>
      <c r="L11" t="s">
        <v>669</v>
      </c>
      <c r="M11" s="3"/>
    </row>
    <row r="12" spans="1:15" s="5" customFormat="1">
      <c r="A12" s="5">
        <v>11</v>
      </c>
      <c r="B12" s="5" t="s">
        <v>664</v>
      </c>
      <c r="C12" s="5" t="s">
        <v>112</v>
      </c>
      <c r="D12" s="5" t="s">
        <v>665</v>
      </c>
      <c r="F12" s="5" t="s">
        <v>666</v>
      </c>
      <c r="G12" s="270" t="s">
        <v>667</v>
      </c>
      <c r="H12" s="305" t="s">
        <v>679</v>
      </c>
      <c r="I12" s="433"/>
      <c r="L12" t="s">
        <v>669</v>
      </c>
      <c r="M12" s="3"/>
    </row>
    <row r="13" spans="1:15" s="5" customFormat="1">
      <c r="A13" s="5">
        <v>12</v>
      </c>
      <c r="B13" s="5" t="s">
        <v>664</v>
      </c>
      <c r="C13" s="5" t="s">
        <v>112</v>
      </c>
      <c r="D13" s="5" t="s">
        <v>665</v>
      </c>
      <c r="F13" s="5" t="s">
        <v>666</v>
      </c>
      <c r="G13" s="270" t="s">
        <v>667</v>
      </c>
      <c r="H13" s="305" t="s">
        <v>680</v>
      </c>
      <c r="I13" s="433"/>
      <c r="L13" t="s">
        <v>669</v>
      </c>
      <c r="M13" s="3"/>
    </row>
    <row r="14" spans="1:15" s="5" customFormat="1">
      <c r="A14" s="5">
        <v>13</v>
      </c>
      <c r="B14" s="5" t="s">
        <v>664</v>
      </c>
      <c r="C14" s="5" t="s">
        <v>112</v>
      </c>
      <c r="D14" s="5" t="s">
        <v>665</v>
      </c>
      <c r="F14" s="5" t="s">
        <v>666</v>
      </c>
      <c r="G14" s="270" t="s">
        <v>667</v>
      </c>
      <c r="H14" s="305" t="s">
        <v>681</v>
      </c>
      <c r="I14" s="433"/>
      <c r="L14" t="s">
        <v>669</v>
      </c>
      <c r="M14" s="3"/>
    </row>
    <row r="15" spans="1:15" s="5" customFormat="1">
      <c r="A15" s="5">
        <v>14</v>
      </c>
      <c r="B15" s="5" t="s">
        <v>664</v>
      </c>
      <c r="C15" s="5" t="s">
        <v>112</v>
      </c>
      <c r="D15" s="5" t="s">
        <v>665</v>
      </c>
      <c r="F15" s="5" t="s">
        <v>666</v>
      </c>
      <c r="G15" s="270" t="s">
        <v>682</v>
      </c>
      <c r="H15" s="310" t="s">
        <v>683</v>
      </c>
      <c r="I15" s="434"/>
      <c r="J15" s="10"/>
      <c r="L15" t="s">
        <v>669</v>
      </c>
      <c r="M15" s="3"/>
    </row>
    <row r="16" spans="1:15" s="5" customFormat="1">
      <c r="A16" s="5">
        <v>15</v>
      </c>
      <c r="B16" s="5" t="s">
        <v>664</v>
      </c>
      <c r="C16" s="5" t="s">
        <v>112</v>
      </c>
      <c r="D16" s="5" t="s">
        <v>665</v>
      </c>
      <c r="F16" s="5" t="s">
        <v>666</v>
      </c>
      <c r="G16" s="270" t="s">
        <v>682</v>
      </c>
      <c r="H16" s="305" t="s">
        <v>684</v>
      </c>
      <c r="I16" s="433"/>
      <c r="L16" t="s">
        <v>669</v>
      </c>
      <c r="M16" s="3"/>
    </row>
    <row r="17" spans="1:13" s="5" customFormat="1" ht="36">
      <c r="A17" s="5">
        <v>16</v>
      </c>
      <c r="B17" s="5" t="s">
        <v>664</v>
      </c>
      <c r="C17" s="5" t="s">
        <v>112</v>
      </c>
      <c r="D17" s="5" t="s">
        <v>665</v>
      </c>
      <c r="F17" s="5" t="s">
        <v>666</v>
      </c>
      <c r="G17" s="270" t="s">
        <v>682</v>
      </c>
      <c r="H17" s="305" t="s">
        <v>685</v>
      </c>
      <c r="I17" s="433"/>
      <c r="L17" t="s">
        <v>669</v>
      </c>
      <c r="M17" s="3"/>
    </row>
    <row r="18" spans="1:13" s="5" customFormat="1">
      <c r="A18" s="5">
        <v>17</v>
      </c>
      <c r="B18" s="5" t="s">
        <v>664</v>
      </c>
      <c r="C18" s="5" t="s">
        <v>112</v>
      </c>
      <c r="D18" s="5" t="s">
        <v>665</v>
      </c>
      <c r="F18" s="5" t="s">
        <v>666</v>
      </c>
      <c r="G18" s="270" t="s">
        <v>682</v>
      </c>
      <c r="H18" s="305" t="s">
        <v>686</v>
      </c>
      <c r="I18" s="433"/>
      <c r="L18" t="s">
        <v>669</v>
      </c>
      <c r="M18" s="3"/>
    </row>
    <row r="19" spans="1:13" s="5" customFormat="1">
      <c r="A19" s="5">
        <v>18</v>
      </c>
      <c r="B19" s="5" t="s">
        <v>664</v>
      </c>
      <c r="C19" s="5" t="s">
        <v>112</v>
      </c>
      <c r="D19" s="5" t="s">
        <v>665</v>
      </c>
      <c r="F19" s="5" t="s">
        <v>666</v>
      </c>
      <c r="G19" s="270" t="s">
        <v>682</v>
      </c>
      <c r="H19" s="305" t="s">
        <v>687</v>
      </c>
      <c r="I19" s="433"/>
      <c r="L19" t="s">
        <v>669</v>
      </c>
      <c r="M19" s="3"/>
    </row>
    <row r="20" spans="1:13" s="5" customFormat="1">
      <c r="A20" s="5">
        <v>19</v>
      </c>
      <c r="B20" s="5" t="s">
        <v>664</v>
      </c>
      <c r="C20" s="5" t="s">
        <v>112</v>
      </c>
      <c r="D20" s="5" t="s">
        <v>665</v>
      </c>
      <c r="F20" s="5" t="s">
        <v>666</v>
      </c>
      <c r="G20" s="270" t="s">
        <v>682</v>
      </c>
      <c r="H20" s="305" t="s">
        <v>688</v>
      </c>
      <c r="I20" s="433"/>
      <c r="L20" t="s">
        <v>669</v>
      </c>
      <c r="M20" s="3"/>
    </row>
    <row r="21" spans="1:13" s="5" customFormat="1" ht="36">
      <c r="A21" s="5">
        <v>20</v>
      </c>
      <c r="B21" s="5" t="s">
        <v>664</v>
      </c>
      <c r="C21" s="5" t="s">
        <v>112</v>
      </c>
      <c r="D21" s="5" t="s">
        <v>665</v>
      </c>
      <c r="F21" s="5" t="s">
        <v>689</v>
      </c>
      <c r="G21" s="270" t="s">
        <v>690</v>
      </c>
      <c r="H21" s="305" t="s">
        <v>691</v>
      </c>
      <c r="I21" s="433"/>
      <c r="L21" t="s">
        <v>669</v>
      </c>
      <c r="M21" s="3"/>
    </row>
    <row r="22" spans="1:13" s="5" customFormat="1">
      <c r="A22" s="5">
        <v>21</v>
      </c>
      <c r="B22" s="5" t="s">
        <v>664</v>
      </c>
      <c r="C22" s="5" t="s">
        <v>112</v>
      </c>
      <c r="D22" s="5" t="s">
        <v>665</v>
      </c>
      <c r="F22" s="5" t="s">
        <v>692</v>
      </c>
      <c r="G22" s="270" t="s">
        <v>693</v>
      </c>
      <c r="H22" s="305" t="s">
        <v>694</v>
      </c>
      <c r="I22" s="433"/>
      <c r="L22" t="s">
        <v>669</v>
      </c>
      <c r="M22" s="3"/>
    </row>
    <row r="23" spans="1:13" s="5" customFormat="1" ht="36">
      <c r="A23" s="5">
        <v>22</v>
      </c>
      <c r="B23" s="5" t="s">
        <v>664</v>
      </c>
      <c r="C23" s="5" t="s">
        <v>112</v>
      </c>
      <c r="D23" s="5" t="s">
        <v>665</v>
      </c>
      <c r="F23" s="5" t="s">
        <v>695</v>
      </c>
      <c r="G23" s="270" t="s">
        <v>696</v>
      </c>
      <c r="H23" s="305" t="s">
        <v>697</v>
      </c>
      <c r="I23" s="433"/>
      <c r="L23" t="s">
        <v>669</v>
      </c>
      <c r="M23" s="3"/>
    </row>
    <row r="24" spans="1:13" s="5" customFormat="1" ht="36">
      <c r="A24" s="5">
        <v>23</v>
      </c>
      <c r="B24" s="5" t="s">
        <v>664</v>
      </c>
      <c r="C24" s="5" t="s">
        <v>112</v>
      </c>
      <c r="D24" s="5" t="s">
        <v>665</v>
      </c>
      <c r="F24" s="5" t="s">
        <v>698</v>
      </c>
      <c r="G24" s="270" t="s">
        <v>699</v>
      </c>
      <c r="H24" s="305" t="s">
        <v>700</v>
      </c>
      <c r="I24" s="433"/>
      <c r="L24" t="s">
        <v>669</v>
      </c>
      <c r="M24" s="3"/>
    </row>
    <row r="25" spans="1:13" s="5" customFormat="1">
      <c r="A25" s="5">
        <v>24</v>
      </c>
      <c r="B25" s="5" t="s">
        <v>664</v>
      </c>
      <c r="C25" s="5" t="s">
        <v>112</v>
      </c>
      <c r="D25" s="5" t="s">
        <v>665</v>
      </c>
      <c r="F25" s="5" t="s">
        <v>701</v>
      </c>
      <c r="G25" s="270" t="s">
        <v>702</v>
      </c>
      <c r="H25" s="305" t="s">
        <v>703</v>
      </c>
      <c r="I25" s="433"/>
      <c r="L25" t="s">
        <v>669</v>
      </c>
      <c r="M25" s="3"/>
    </row>
    <row r="26" spans="1:13" s="5" customFormat="1">
      <c r="A26" s="5">
        <v>25</v>
      </c>
      <c r="B26" s="5" t="s">
        <v>664</v>
      </c>
      <c r="C26" s="5" t="s">
        <v>112</v>
      </c>
      <c r="D26" s="5" t="s">
        <v>665</v>
      </c>
      <c r="F26" s="5" t="s">
        <v>701</v>
      </c>
      <c r="G26" s="270" t="s">
        <v>702</v>
      </c>
      <c r="H26" s="305" t="s">
        <v>704</v>
      </c>
      <c r="I26" s="433"/>
      <c r="L26" t="s">
        <v>669</v>
      </c>
      <c r="M26" s="3"/>
    </row>
    <row r="27" spans="1:13" s="5" customFormat="1">
      <c r="A27" s="5">
        <v>26</v>
      </c>
      <c r="B27" s="5" t="s">
        <v>664</v>
      </c>
      <c r="C27" s="5" t="s">
        <v>112</v>
      </c>
      <c r="D27" s="5" t="s">
        <v>665</v>
      </c>
      <c r="F27" s="5" t="s">
        <v>701</v>
      </c>
      <c r="G27" s="270" t="s">
        <v>702</v>
      </c>
      <c r="H27" s="305" t="s">
        <v>705</v>
      </c>
      <c r="I27" s="433"/>
      <c r="L27" t="s">
        <v>669</v>
      </c>
      <c r="M27" s="3"/>
    </row>
    <row r="28" spans="1:13" s="5" customFormat="1">
      <c r="A28" s="5">
        <v>27</v>
      </c>
      <c r="B28" s="5" t="s">
        <v>664</v>
      </c>
      <c r="C28" s="5" t="s">
        <v>112</v>
      </c>
      <c r="D28" s="5" t="s">
        <v>665</v>
      </c>
      <c r="F28" s="5" t="s">
        <v>701</v>
      </c>
      <c r="G28" s="270" t="s">
        <v>702</v>
      </c>
      <c r="H28" s="305" t="s">
        <v>706</v>
      </c>
      <c r="I28" s="433"/>
      <c r="L28" t="s">
        <v>669</v>
      </c>
      <c r="M28" s="3"/>
    </row>
    <row r="29" spans="1:13" s="5" customFormat="1">
      <c r="A29" s="5">
        <v>28</v>
      </c>
      <c r="B29" s="5" t="s">
        <v>664</v>
      </c>
      <c r="C29" s="5" t="s">
        <v>112</v>
      </c>
      <c r="D29" s="5" t="s">
        <v>665</v>
      </c>
      <c r="F29" s="5" t="s">
        <v>701</v>
      </c>
      <c r="G29" s="270" t="s">
        <v>702</v>
      </c>
      <c r="H29" s="305" t="s">
        <v>707</v>
      </c>
      <c r="I29" s="433"/>
      <c r="L29" t="s">
        <v>669</v>
      </c>
      <c r="M29" s="3"/>
    </row>
    <row r="30" spans="1:13" s="5" customFormat="1">
      <c r="A30" s="5">
        <v>29</v>
      </c>
      <c r="B30" s="5" t="s">
        <v>664</v>
      </c>
      <c r="C30" s="5" t="s">
        <v>112</v>
      </c>
      <c r="D30" s="5" t="s">
        <v>665</v>
      </c>
      <c r="F30" s="5" t="s">
        <v>701</v>
      </c>
      <c r="G30" s="270" t="s">
        <v>702</v>
      </c>
      <c r="H30" s="305" t="s">
        <v>708</v>
      </c>
      <c r="I30" s="433"/>
      <c r="L30" t="s">
        <v>669</v>
      </c>
      <c r="M30" s="3"/>
    </row>
    <row r="31" spans="1:13" s="5" customFormat="1">
      <c r="A31" s="5">
        <v>30</v>
      </c>
      <c r="B31" s="5" t="s">
        <v>664</v>
      </c>
      <c r="C31" s="5" t="s">
        <v>112</v>
      </c>
      <c r="D31" s="5" t="s">
        <v>665</v>
      </c>
      <c r="F31" s="5" t="s">
        <v>709</v>
      </c>
      <c r="G31" s="270" t="s">
        <v>710</v>
      </c>
      <c r="H31" s="305" t="s">
        <v>711</v>
      </c>
      <c r="I31" s="433"/>
      <c r="L31" t="s">
        <v>669</v>
      </c>
      <c r="M31" s="3"/>
    </row>
    <row r="32" spans="1:13" s="5" customFormat="1">
      <c r="A32" s="5">
        <v>31</v>
      </c>
      <c r="B32" s="5" t="s">
        <v>664</v>
      </c>
      <c r="C32" s="5" t="s">
        <v>112</v>
      </c>
      <c r="D32" s="5" t="s">
        <v>665</v>
      </c>
      <c r="F32" s="5" t="s">
        <v>709</v>
      </c>
      <c r="G32" s="270" t="s">
        <v>710</v>
      </c>
      <c r="H32" s="305" t="s">
        <v>712</v>
      </c>
      <c r="I32" s="433"/>
      <c r="L32" t="s">
        <v>669</v>
      </c>
      <c r="M32" s="3"/>
    </row>
    <row r="33" spans="1:13" s="5" customFormat="1">
      <c r="A33" s="5">
        <v>32</v>
      </c>
      <c r="B33" s="5" t="s">
        <v>664</v>
      </c>
      <c r="C33" s="5" t="s">
        <v>112</v>
      </c>
      <c r="D33" s="5" t="s">
        <v>665</v>
      </c>
      <c r="F33" s="5" t="s">
        <v>709</v>
      </c>
      <c r="G33" s="270" t="s">
        <v>710</v>
      </c>
      <c r="H33" s="305" t="s">
        <v>713</v>
      </c>
      <c r="I33" s="433"/>
      <c r="L33" t="s">
        <v>669</v>
      </c>
      <c r="M33" s="3"/>
    </row>
    <row r="34" spans="1:13" s="5" customFormat="1">
      <c r="A34" s="5">
        <v>33</v>
      </c>
      <c r="B34" s="5" t="s">
        <v>664</v>
      </c>
      <c r="C34" s="5" t="s">
        <v>112</v>
      </c>
      <c r="D34" s="5" t="s">
        <v>665</v>
      </c>
      <c r="F34" s="5" t="s">
        <v>709</v>
      </c>
      <c r="G34" s="270" t="s">
        <v>710</v>
      </c>
      <c r="H34" s="305" t="s">
        <v>714</v>
      </c>
      <c r="I34" s="433"/>
      <c r="L34" t="s">
        <v>669</v>
      </c>
      <c r="M34" s="3"/>
    </row>
    <row r="35" spans="1:13" s="5" customFormat="1">
      <c r="A35" s="5">
        <v>34</v>
      </c>
      <c r="B35" s="5" t="s">
        <v>664</v>
      </c>
      <c r="C35" s="5" t="s">
        <v>112</v>
      </c>
      <c r="D35" s="5" t="s">
        <v>665</v>
      </c>
      <c r="F35" s="5" t="s">
        <v>709</v>
      </c>
      <c r="G35" s="270" t="s">
        <v>710</v>
      </c>
      <c r="H35" s="305" t="s">
        <v>715</v>
      </c>
      <c r="I35" s="433"/>
      <c r="L35" t="s">
        <v>669</v>
      </c>
      <c r="M35" s="3"/>
    </row>
    <row r="36" spans="1:13" s="5" customFormat="1">
      <c r="A36" s="5">
        <v>35</v>
      </c>
      <c r="B36" s="5" t="s">
        <v>664</v>
      </c>
      <c r="C36" s="5" t="s">
        <v>112</v>
      </c>
      <c r="D36" s="5" t="s">
        <v>665</v>
      </c>
      <c r="F36" s="5" t="s">
        <v>709</v>
      </c>
      <c r="G36" s="270" t="s">
        <v>710</v>
      </c>
      <c r="H36" s="305" t="s">
        <v>716</v>
      </c>
      <c r="I36" s="433"/>
      <c r="L36" t="s">
        <v>669</v>
      </c>
      <c r="M36" s="3"/>
    </row>
    <row r="37" spans="1:13" s="5" customFormat="1">
      <c r="A37" s="5">
        <v>36</v>
      </c>
      <c r="B37" s="5" t="s">
        <v>664</v>
      </c>
      <c r="C37" s="5" t="s">
        <v>112</v>
      </c>
      <c r="D37" s="5" t="s">
        <v>665</v>
      </c>
      <c r="F37" s="5" t="s">
        <v>709</v>
      </c>
      <c r="G37" s="270" t="s">
        <v>710</v>
      </c>
      <c r="H37" s="305" t="s">
        <v>717</v>
      </c>
      <c r="I37" s="433"/>
      <c r="L37" t="s">
        <v>669</v>
      </c>
      <c r="M37" s="3"/>
    </row>
    <row r="38" spans="1:13" s="5" customFormat="1">
      <c r="A38" s="5">
        <v>37</v>
      </c>
      <c r="B38" s="5" t="s">
        <v>664</v>
      </c>
      <c r="C38" s="5" t="s">
        <v>112</v>
      </c>
      <c r="D38" s="5" t="s">
        <v>665</v>
      </c>
      <c r="F38" s="5" t="s">
        <v>709</v>
      </c>
      <c r="G38" s="270" t="s">
        <v>710</v>
      </c>
      <c r="H38" s="305" t="s">
        <v>718</v>
      </c>
      <c r="I38" s="433"/>
      <c r="L38" t="s">
        <v>669</v>
      </c>
      <c r="M38" s="3"/>
    </row>
    <row r="39" spans="1:13" s="5" customFormat="1">
      <c r="A39" s="5">
        <v>38</v>
      </c>
      <c r="B39" s="5" t="s">
        <v>664</v>
      </c>
      <c r="C39" s="5" t="s">
        <v>112</v>
      </c>
      <c r="D39" s="5" t="s">
        <v>665</v>
      </c>
      <c r="F39" s="5" t="s">
        <v>709</v>
      </c>
      <c r="G39" s="270" t="s">
        <v>710</v>
      </c>
      <c r="H39" s="305" t="s">
        <v>719</v>
      </c>
      <c r="I39" s="433"/>
      <c r="L39" t="s">
        <v>669</v>
      </c>
      <c r="M39" s="3"/>
    </row>
    <row r="40" spans="1:13" s="5" customFormat="1">
      <c r="A40" s="5">
        <v>39</v>
      </c>
      <c r="B40" s="5" t="s">
        <v>664</v>
      </c>
      <c r="C40" s="5" t="s">
        <v>112</v>
      </c>
      <c r="D40" s="5" t="s">
        <v>665</v>
      </c>
      <c r="F40" s="5" t="s">
        <v>709</v>
      </c>
      <c r="G40" s="270" t="s">
        <v>710</v>
      </c>
      <c r="H40" s="305" t="s">
        <v>720</v>
      </c>
      <c r="I40" s="433"/>
      <c r="L40" t="s">
        <v>669</v>
      </c>
      <c r="M40" s="3"/>
    </row>
    <row r="41" spans="1:13" s="5" customFormat="1">
      <c r="A41" s="5">
        <v>40</v>
      </c>
      <c r="B41" s="5" t="s">
        <v>664</v>
      </c>
      <c r="C41" s="5" t="s">
        <v>112</v>
      </c>
      <c r="D41" s="5" t="s">
        <v>665</v>
      </c>
      <c r="F41" s="5" t="s">
        <v>709</v>
      </c>
      <c r="G41" s="270" t="s">
        <v>710</v>
      </c>
      <c r="H41" s="305" t="s">
        <v>721</v>
      </c>
      <c r="I41" s="433"/>
      <c r="L41" t="s">
        <v>669</v>
      </c>
      <c r="M41" s="3"/>
    </row>
    <row r="42" spans="1:13" s="5" customFormat="1">
      <c r="A42" s="5">
        <v>41</v>
      </c>
      <c r="B42" s="5" t="s">
        <v>664</v>
      </c>
      <c r="C42" s="5" t="s">
        <v>112</v>
      </c>
      <c r="D42" s="5" t="s">
        <v>665</v>
      </c>
      <c r="F42" s="5" t="s">
        <v>709</v>
      </c>
      <c r="G42" s="270" t="s">
        <v>710</v>
      </c>
      <c r="H42" s="305" t="s">
        <v>722</v>
      </c>
      <c r="I42" s="433"/>
      <c r="L42" t="s">
        <v>669</v>
      </c>
      <c r="M42" s="3"/>
    </row>
    <row r="43" spans="1:13" s="5" customFormat="1" ht="36">
      <c r="A43" s="5">
        <v>42</v>
      </c>
      <c r="B43" s="5" t="s">
        <v>664</v>
      </c>
      <c r="C43" s="5" t="s">
        <v>112</v>
      </c>
      <c r="D43" s="5" t="s">
        <v>665</v>
      </c>
      <c r="F43" s="5" t="s">
        <v>723</v>
      </c>
      <c r="G43" s="270" t="s">
        <v>724</v>
      </c>
      <c r="H43" s="305" t="s">
        <v>725</v>
      </c>
      <c r="I43" s="433"/>
      <c r="L43" t="s">
        <v>669</v>
      </c>
      <c r="M43" s="3"/>
    </row>
    <row r="44" spans="1:13" s="5" customFormat="1">
      <c r="A44" s="5">
        <v>43</v>
      </c>
      <c r="B44" s="5" t="s">
        <v>664</v>
      </c>
      <c r="C44" s="5" t="s">
        <v>112</v>
      </c>
      <c r="D44" s="5" t="s">
        <v>665</v>
      </c>
      <c r="F44" s="5" t="s">
        <v>723</v>
      </c>
      <c r="G44" s="270" t="s">
        <v>724</v>
      </c>
      <c r="H44" s="305" t="s">
        <v>726</v>
      </c>
      <c r="I44" s="433"/>
      <c r="L44" t="s">
        <v>669</v>
      </c>
      <c r="M44" s="3"/>
    </row>
    <row r="45" spans="1:13" s="5" customFormat="1" ht="36">
      <c r="A45" s="5">
        <v>44</v>
      </c>
      <c r="B45" s="5" t="s">
        <v>664</v>
      </c>
      <c r="C45" s="5" t="s">
        <v>112</v>
      </c>
      <c r="D45" s="5" t="s">
        <v>665</v>
      </c>
      <c r="F45" s="5" t="s">
        <v>723</v>
      </c>
      <c r="G45" s="270" t="s">
        <v>724</v>
      </c>
      <c r="H45" s="305" t="s">
        <v>727</v>
      </c>
      <c r="I45" s="433"/>
      <c r="L45" t="s">
        <v>669</v>
      </c>
      <c r="M45" s="3"/>
    </row>
    <row r="46" spans="1:13" s="5" customFormat="1" ht="36">
      <c r="A46" s="5">
        <v>45</v>
      </c>
      <c r="B46" s="5" t="s">
        <v>664</v>
      </c>
      <c r="C46" s="5" t="s">
        <v>112</v>
      </c>
      <c r="D46" s="5" t="s">
        <v>665</v>
      </c>
      <c r="F46" s="5" t="s">
        <v>723</v>
      </c>
      <c r="G46" s="270" t="s">
        <v>724</v>
      </c>
      <c r="H46" s="305" t="s">
        <v>728</v>
      </c>
      <c r="I46" s="433"/>
      <c r="L46" t="s">
        <v>669</v>
      </c>
      <c r="M46" s="3"/>
    </row>
    <row r="47" spans="1:13" s="5" customFormat="1">
      <c r="A47" s="5">
        <v>46</v>
      </c>
      <c r="B47" s="5" t="s">
        <v>664</v>
      </c>
      <c r="C47" s="5" t="s">
        <v>112</v>
      </c>
      <c r="D47" s="5" t="s">
        <v>665</v>
      </c>
      <c r="F47" s="5" t="s">
        <v>723</v>
      </c>
      <c r="G47" s="270" t="s">
        <v>724</v>
      </c>
      <c r="H47" s="305" t="s">
        <v>729</v>
      </c>
      <c r="I47" s="433"/>
      <c r="L47" t="s">
        <v>669</v>
      </c>
      <c r="M47" s="3"/>
    </row>
    <row r="48" spans="1:13" s="5" customFormat="1">
      <c r="A48" s="5">
        <v>47</v>
      </c>
      <c r="B48" s="5" t="s">
        <v>664</v>
      </c>
      <c r="C48" s="5" t="s">
        <v>112</v>
      </c>
      <c r="D48" s="5" t="s">
        <v>665</v>
      </c>
      <c r="F48" s="5" t="s">
        <v>723</v>
      </c>
      <c r="G48" s="270" t="s">
        <v>724</v>
      </c>
      <c r="H48" s="305" t="s">
        <v>730</v>
      </c>
      <c r="I48" s="433"/>
      <c r="L48" t="s">
        <v>669</v>
      </c>
      <c r="M48" s="3"/>
    </row>
    <row r="49" spans="1:13" s="5" customFormat="1" ht="36">
      <c r="A49" s="5">
        <v>48</v>
      </c>
      <c r="B49" s="5" t="s">
        <v>664</v>
      </c>
      <c r="C49" s="5" t="s">
        <v>112</v>
      </c>
      <c r="D49" s="5" t="s">
        <v>665</v>
      </c>
      <c r="F49" s="5" t="s">
        <v>723</v>
      </c>
      <c r="G49" s="270" t="s">
        <v>724</v>
      </c>
      <c r="H49" s="305" t="s">
        <v>731</v>
      </c>
      <c r="I49" s="433"/>
      <c r="L49" t="s">
        <v>669</v>
      </c>
      <c r="M49" s="3"/>
    </row>
    <row r="50" spans="1:13" s="5" customFormat="1">
      <c r="A50" s="5">
        <v>49</v>
      </c>
      <c r="B50" s="5" t="s">
        <v>664</v>
      </c>
      <c r="C50" s="5" t="s">
        <v>112</v>
      </c>
      <c r="D50" s="5" t="s">
        <v>665</v>
      </c>
      <c r="F50" s="5" t="s">
        <v>723</v>
      </c>
      <c r="G50" s="270" t="s">
        <v>724</v>
      </c>
      <c r="H50" s="305" t="s">
        <v>732</v>
      </c>
      <c r="I50" s="433"/>
      <c r="L50" t="s">
        <v>669</v>
      </c>
      <c r="M50" s="3"/>
    </row>
    <row r="51" spans="1:13" s="5" customFormat="1">
      <c r="A51" s="5">
        <v>50</v>
      </c>
      <c r="B51" s="5" t="s">
        <v>664</v>
      </c>
      <c r="C51" s="5" t="s">
        <v>112</v>
      </c>
      <c r="D51" s="5" t="s">
        <v>665</v>
      </c>
      <c r="F51" s="5" t="s">
        <v>723</v>
      </c>
      <c r="G51" s="270" t="s">
        <v>724</v>
      </c>
      <c r="H51" s="305" t="s">
        <v>733</v>
      </c>
      <c r="I51" s="433"/>
      <c r="L51" t="s">
        <v>669</v>
      </c>
      <c r="M51" s="3"/>
    </row>
    <row r="52" spans="1:13" s="5" customFormat="1">
      <c r="A52" s="5">
        <v>51</v>
      </c>
      <c r="B52" s="5" t="s">
        <v>664</v>
      </c>
      <c r="C52" s="5" t="s">
        <v>112</v>
      </c>
      <c r="D52" s="5" t="s">
        <v>665</v>
      </c>
      <c r="F52" s="5" t="s">
        <v>723</v>
      </c>
      <c r="G52" s="270" t="s">
        <v>724</v>
      </c>
      <c r="H52" s="305" t="s">
        <v>734</v>
      </c>
      <c r="I52" s="433"/>
      <c r="L52" t="s">
        <v>669</v>
      </c>
      <c r="M52" s="3"/>
    </row>
    <row r="53" spans="1:13" s="5" customFormat="1">
      <c r="A53" s="5">
        <v>52</v>
      </c>
      <c r="B53" s="5" t="s">
        <v>664</v>
      </c>
      <c r="C53" s="5" t="s">
        <v>112</v>
      </c>
      <c r="D53" s="5" t="s">
        <v>665</v>
      </c>
      <c r="F53" s="5" t="s">
        <v>723</v>
      </c>
      <c r="G53" s="270" t="s">
        <v>724</v>
      </c>
      <c r="H53" s="305" t="s">
        <v>735</v>
      </c>
      <c r="I53" s="433"/>
      <c r="L53" t="s">
        <v>669</v>
      </c>
      <c r="M53" s="3"/>
    </row>
    <row r="54" spans="1:13" s="5" customFormat="1">
      <c r="A54" s="5">
        <v>53</v>
      </c>
      <c r="B54" s="5" t="s">
        <v>664</v>
      </c>
      <c r="C54" s="5" t="s">
        <v>112</v>
      </c>
      <c r="D54" s="5" t="s">
        <v>665</v>
      </c>
      <c r="F54" s="5" t="s">
        <v>723</v>
      </c>
      <c r="G54" s="270" t="s">
        <v>724</v>
      </c>
      <c r="H54" s="305" t="s">
        <v>736</v>
      </c>
      <c r="I54" s="433"/>
      <c r="L54" t="s">
        <v>669</v>
      </c>
      <c r="M54" s="3"/>
    </row>
    <row r="55" spans="1:13" s="5" customFormat="1">
      <c r="A55" s="5">
        <v>54</v>
      </c>
      <c r="B55" s="5" t="s">
        <v>664</v>
      </c>
      <c r="C55" s="5" t="s">
        <v>112</v>
      </c>
      <c r="D55" s="5" t="s">
        <v>665</v>
      </c>
      <c r="F55" s="5" t="s">
        <v>723</v>
      </c>
      <c r="G55" s="270" t="s">
        <v>724</v>
      </c>
      <c r="H55" s="305" t="s">
        <v>737</v>
      </c>
      <c r="I55" s="433"/>
      <c r="L55" t="s">
        <v>669</v>
      </c>
      <c r="M55" s="3"/>
    </row>
    <row r="56" spans="1:13" s="5" customFormat="1">
      <c r="A56" s="5">
        <v>55</v>
      </c>
      <c r="B56" s="5" t="s">
        <v>664</v>
      </c>
      <c r="C56" s="5" t="s">
        <v>112</v>
      </c>
      <c r="D56" s="5" t="s">
        <v>665</v>
      </c>
      <c r="F56" s="5" t="s">
        <v>723</v>
      </c>
      <c r="G56" s="270" t="s">
        <v>724</v>
      </c>
      <c r="H56" s="305" t="s">
        <v>738</v>
      </c>
      <c r="I56" s="433"/>
      <c r="L56" t="s">
        <v>669</v>
      </c>
      <c r="M56" s="3"/>
    </row>
    <row r="57" spans="1:13">
      <c r="A57" s="5">
        <v>56</v>
      </c>
      <c r="B57" s="5" t="s">
        <v>664</v>
      </c>
      <c r="C57" s="5" t="s">
        <v>112</v>
      </c>
      <c r="D57" s="5" t="s">
        <v>739</v>
      </c>
      <c r="E57" s="5"/>
      <c r="F57" t="s">
        <v>740</v>
      </c>
      <c r="G57" s="4" t="s">
        <v>741</v>
      </c>
      <c r="H57" s="306" t="s">
        <v>742</v>
      </c>
      <c r="L57" t="s">
        <v>669</v>
      </c>
    </row>
    <row r="58" spans="1:13">
      <c r="A58" s="5">
        <v>57</v>
      </c>
      <c r="B58" s="5" t="s">
        <v>664</v>
      </c>
      <c r="C58" s="5" t="s">
        <v>112</v>
      </c>
      <c r="D58" s="5" t="s">
        <v>739</v>
      </c>
      <c r="E58" s="5"/>
      <c r="F58" t="s">
        <v>740</v>
      </c>
      <c r="G58" s="4" t="s">
        <v>741</v>
      </c>
      <c r="H58" s="306" t="s">
        <v>743</v>
      </c>
      <c r="K58" t="s">
        <v>744</v>
      </c>
      <c r="L58" t="s">
        <v>669</v>
      </c>
    </row>
    <row r="59" spans="1:13">
      <c r="A59" s="5">
        <v>58</v>
      </c>
      <c r="B59" s="5" t="s">
        <v>664</v>
      </c>
      <c r="C59" s="5" t="s">
        <v>112</v>
      </c>
      <c r="D59" s="5" t="s">
        <v>739</v>
      </c>
      <c r="E59" s="5"/>
      <c r="F59" t="s">
        <v>740</v>
      </c>
      <c r="G59" s="4" t="s">
        <v>745</v>
      </c>
      <c r="H59" s="306" t="s">
        <v>746</v>
      </c>
      <c r="L59" t="s">
        <v>669</v>
      </c>
    </row>
    <row r="60" spans="1:13">
      <c r="A60" s="5">
        <v>59</v>
      </c>
      <c r="B60" s="5" t="s">
        <v>664</v>
      </c>
      <c r="C60" s="5" t="s">
        <v>112</v>
      </c>
      <c r="D60" s="5" t="s">
        <v>739</v>
      </c>
      <c r="E60" s="5"/>
      <c r="F60" t="s">
        <v>740</v>
      </c>
      <c r="G60" s="4" t="s">
        <v>745</v>
      </c>
      <c r="H60" s="306" t="s">
        <v>747</v>
      </c>
      <c r="L60" t="s">
        <v>669</v>
      </c>
    </row>
    <row r="61" spans="1:13">
      <c r="A61" s="5">
        <v>60</v>
      </c>
      <c r="B61" s="5" t="s">
        <v>664</v>
      </c>
      <c r="C61" s="5" t="s">
        <v>112</v>
      </c>
      <c r="D61" s="5" t="s">
        <v>739</v>
      </c>
      <c r="E61" s="5"/>
      <c r="F61" t="s">
        <v>740</v>
      </c>
      <c r="G61" s="4" t="s">
        <v>745</v>
      </c>
      <c r="H61" s="306" t="s">
        <v>748</v>
      </c>
      <c r="L61" t="s">
        <v>669</v>
      </c>
    </row>
    <row r="62" spans="1:13">
      <c r="A62" s="5">
        <v>61</v>
      </c>
      <c r="B62" s="5" t="s">
        <v>664</v>
      </c>
      <c r="C62" s="5" t="s">
        <v>112</v>
      </c>
      <c r="D62" s="5" t="s">
        <v>739</v>
      </c>
      <c r="E62" s="5"/>
      <c r="F62" t="s">
        <v>740</v>
      </c>
      <c r="G62" s="4" t="s">
        <v>745</v>
      </c>
      <c r="H62" s="306" t="s">
        <v>749</v>
      </c>
      <c r="L62" t="s">
        <v>669</v>
      </c>
    </row>
    <row r="63" spans="1:13">
      <c r="A63" s="5">
        <v>62</v>
      </c>
      <c r="B63" s="5" t="s">
        <v>664</v>
      </c>
      <c r="C63" s="5" t="s">
        <v>112</v>
      </c>
      <c r="D63" s="5" t="s">
        <v>739</v>
      </c>
      <c r="E63" s="5"/>
      <c r="F63" t="s">
        <v>740</v>
      </c>
      <c r="G63" s="4" t="s">
        <v>745</v>
      </c>
      <c r="H63" s="306" t="s">
        <v>750</v>
      </c>
      <c r="L63" t="s">
        <v>669</v>
      </c>
    </row>
    <row r="64" spans="1:13">
      <c r="A64" s="5">
        <v>63</v>
      </c>
      <c r="B64" s="5" t="s">
        <v>664</v>
      </c>
      <c r="C64" s="5" t="s">
        <v>112</v>
      </c>
      <c r="D64" s="5" t="s">
        <v>739</v>
      </c>
      <c r="E64" s="5"/>
      <c r="F64" t="s">
        <v>740</v>
      </c>
      <c r="G64" s="4" t="s">
        <v>745</v>
      </c>
      <c r="H64" s="306" t="s">
        <v>751</v>
      </c>
      <c r="L64" t="s">
        <v>669</v>
      </c>
    </row>
    <row r="65" spans="1:13">
      <c r="A65" s="5">
        <v>64</v>
      </c>
      <c r="B65" s="5" t="s">
        <v>664</v>
      </c>
      <c r="C65" s="5" t="s">
        <v>112</v>
      </c>
      <c r="D65" s="5" t="s">
        <v>739</v>
      </c>
      <c r="E65" s="5"/>
      <c r="F65" t="s">
        <v>740</v>
      </c>
      <c r="G65" s="4" t="s">
        <v>745</v>
      </c>
      <c r="H65" s="306" t="s">
        <v>752</v>
      </c>
      <c r="L65" t="s">
        <v>669</v>
      </c>
    </row>
    <row r="66" spans="1:13">
      <c r="A66" s="5">
        <v>65</v>
      </c>
      <c r="B66" s="5" t="s">
        <v>664</v>
      </c>
      <c r="C66" s="5" t="s">
        <v>112</v>
      </c>
      <c r="D66" s="5" t="s">
        <v>739</v>
      </c>
      <c r="E66" s="5"/>
      <c r="F66" t="s">
        <v>740</v>
      </c>
      <c r="G66" s="4" t="s">
        <v>745</v>
      </c>
      <c r="H66" s="306" t="s">
        <v>753</v>
      </c>
      <c r="L66" t="s">
        <v>669</v>
      </c>
    </row>
    <row r="67" spans="1:13">
      <c r="A67" s="5">
        <v>66</v>
      </c>
      <c r="B67" s="5" t="s">
        <v>664</v>
      </c>
      <c r="C67" s="5" t="s">
        <v>112</v>
      </c>
      <c r="D67" s="5" t="s">
        <v>739</v>
      </c>
      <c r="E67" s="5"/>
      <c r="F67" t="s">
        <v>740</v>
      </c>
      <c r="G67" s="4" t="s">
        <v>745</v>
      </c>
      <c r="H67" s="306" t="s">
        <v>754</v>
      </c>
      <c r="L67" t="s">
        <v>669</v>
      </c>
    </row>
    <row r="68" spans="1:13">
      <c r="A68" s="5">
        <v>67</v>
      </c>
      <c r="B68" s="5" t="s">
        <v>664</v>
      </c>
      <c r="C68" s="5" t="s">
        <v>112</v>
      </c>
      <c r="D68" s="5" t="s">
        <v>739</v>
      </c>
      <c r="E68" s="5"/>
      <c r="F68" t="s">
        <v>740</v>
      </c>
      <c r="G68" s="4" t="s">
        <v>745</v>
      </c>
      <c r="H68" s="306" t="s">
        <v>755</v>
      </c>
      <c r="L68" t="s">
        <v>669</v>
      </c>
    </row>
    <row r="69" spans="1:13">
      <c r="A69" s="5">
        <v>68</v>
      </c>
      <c r="B69" s="5" t="s">
        <v>664</v>
      </c>
      <c r="C69" s="5" t="s">
        <v>112</v>
      </c>
      <c r="D69" s="5" t="s">
        <v>739</v>
      </c>
      <c r="E69" s="5"/>
      <c r="F69" t="s">
        <v>740</v>
      </c>
      <c r="G69" s="4" t="s">
        <v>745</v>
      </c>
      <c r="H69" s="306" t="s">
        <v>756</v>
      </c>
      <c r="L69" t="s">
        <v>669</v>
      </c>
    </row>
    <row r="70" spans="1:13">
      <c r="A70" s="5">
        <v>69</v>
      </c>
      <c r="B70" s="5" t="s">
        <v>664</v>
      </c>
      <c r="C70" s="5" t="s">
        <v>112</v>
      </c>
      <c r="D70" s="5" t="s">
        <v>739</v>
      </c>
      <c r="E70" s="5"/>
      <c r="F70" t="s">
        <v>740</v>
      </c>
      <c r="G70" s="4" t="s">
        <v>745</v>
      </c>
      <c r="H70" s="306" t="s">
        <v>757</v>
      </c>
      <c r="K70" t="s">
        <v>744</v>
      </c>
      <c r="L70" t="s">
        <v>669</v>
      </c>
    </row>
    <row r="71" spans="1:13">
      <c r="A71" s="5">
        <v>70</v>
      </c>
      <c r="B71" s="5" t="s">
        <v>664</v>
      </c>
      <c r="C71" s="5" t="s">
        <v>112</v>
      </c>
      <c r="D71" s="5" t="s">
        <v>739</v>
      </c>
      <c r="E71" s="5"/>
      <c r="F71" t="s">
        <v>740</v>
      </c>
      <c r="G71" s="4" t="s">
        <v>745</v>
      </c>
      <c r="H71" s="306" t="s">
        <v>758</v>
      </c>
      <c r="L71" t="s">
        <v>669</v>
      </c>
    </row>
    <row r="72" spans="1:13">
      <c r="A72" s="5">
        <v>71</v>
      </c>
      <c r="B72" s="5" t="s">
        <v>664</v>
      </c>
      <c r="C72" s="5" t="s">
        <v>112</v>
      </c>
      <c r="D72" s="5" t="s">
        <v>739</v>
      </c>
      <c r="E72" s="5"/>
      <c r="F72" t="s">
        <v>740</v>
      </c>
      <c r="G72" s="4" t="s">
        <v>759</v>
      </c>
      <c r="H72" s="306" t="s">
        <v>760</v>
      </c>
      <c r="L72" t="s">
        <v>669</v>
      </c>
      <c r="M72" s="1" t="s">
        <v>761</v>
      </c>
    </row>
    <row r="73" spans="1:13">
      <c r="A73" s="5">
        <v>72</v>
      </c>
      <c r="B73" s="5" t="s">
        <v>664</v>
      </c>
      <c r="C73" s="5" t="s">
        <v>112</v>
      </c>
      <c r="D73" s="5" t="s">
        <v>739</v>
      </c>
      <c r="E73" s="5"/>
      <c r="F73" t="s">
        <v>740</v>
      </c>
      <c r="G73" s="4" t="s">
        <v>762</v>
      </c>
      <c r="H73" s="306" t="s">
        <v>763</v>
      </c>
      <c r="L73" t="s">
        <v>669</v>
      </c>
      <c r="M73" s="1" t="s">
        <v>761</v>
      </c>
    </row>
    <row r="74" spans="1:13">
      <c r="A74" s="5">
        <v>73</v>
      </c>
      <c r="B74" s="5" t="s">
        <v>664</v>
      </c>
      <c r="C74" s="5" t="s">
        <v>112</v>
      </c>
      <c r="D74" s="5" t="s">
        <v>739</v>
      </c>
      <c r="E74" s="5"/>
      <c r="F74" t="s">
        <v>740</v>
      </c>
      <c r="G74" s="4" t="s">
        <v>759</v>
      </c>
      <c r="H74" s="306" t="s">
        <v>764</v>
      </c>
      <c r="L74" t="s">
        <v>669</v>
      </c>
      <c r="M74" s="1" t="s">
        <v>761</v>
      </c>
    </row>
    <row r="75" spans="1:13">
      <c r="A75" s="5">
        <v>74</v>
      </c>
      <c r="B75" s="5" t="s">
        <v>664</v>
      </c>
      <c r="C75" s="5" t="s">
        <v>112</v>
      </c>
      <c r="D75" s="5" t="s">
        <v>739</v>
      </c>
      <c r="E75" s="5"/>
      <c r="F75" t="s">
        <v>740</v>
      </c>
      <c r="G75" s="4" t="s">
        <v>759</v>
      </c>
      <c r="H75" s="306" t="s">
        <v>765</v>
      </c>
      <c r="L75" t="s">
        <v>669</v>
      </c>
      <c r="M75" s="1" t="s">
        <v>761</v>
      </c>
    </row>
    <row r="76" spans="1:13" ht="36">
      <c r="A76" s="5">
        <v>75</v>
      </c>
      <c r="B76" s="5" t="s">
        <v>664</v>
      </c>
      <c r="C76" s="5" t="s">
        <v>112</v>
      </c>
      <c r="D76" s="5" t="s">
        <v>739</v>
      </c>
      <c r="E76" s="5"/>
      <c r="F76" t="s">
        <v>740</v>
      </c>
      <c r="G76" s="4" t="s">
        <v>759</v>
      </c>
      <c r="H76" s="306" t="s">
        <v>766</v>
      </c>
      <c r="L76" t="s">
        <v>669</v>
      </c>
      <c r="M76" s="1" t="s">
        <v>761</v>
      </c>
    </row>
    <row r="77" spans="1:13">
      <c r="A77" s="5">
        <v>76</v>
      </c>
      <c r="B77" s="5" t="s">
        <v>664</v>
      </c>
      <c r="C77" s="5" t="s">
        <v>112</v>
      </c>
      <c r="D77" s="5" t="s">
        <v>739</v>
      </c>
      <c r="E77" s="5"/>
      <c r="F77" t="s">
        <v>740</v>
      </c>
      <c r="G77" s="4" t="s">
        <v>759</v>
      </c>
      <c r="H77" s="306" t="s">
        <v>767</v>
      </c>
      <c r="L77" t="s">
        <v>669</v>
      </c>
      <c r="M77" s="1" t="s">
        <v>761</v>
      </c>
    </row>
    <row r="78" spans="1:13">
      <c r="A78" s="5">
        <v>77</v>
      </c>
      <c r="B78" s="5" t="s">
        <v>664</v>
      </c>
      <c r="C78" s="5" t="s">
        <v>112</v>
      </c>
      <c r="D78" s="5" t="s">
        <v>739</v>
      </c>
      <c r="E78" s="5"/>
      <c r="F78" t="s">
        <v>740</v>
      </c>
      <c r="G78" s="4" t="s">
        <v>759</v>
      </c>
      <c r="H78" s="306" t="s">
        <v>768</v>
      </c>
      <c r="L78" t="s">
        <v>669</v>
      </c>
      <c r="M78" s="1" t="s">
        <v>761</v>
      </c>
    </row>
    <row r="79" spans="1:13">
      <c r="A79" s="5">
        <v>78</v>
      </c>
      <c r="B79" s="5" t="s">
        <v>664</v>
      </c>
      <c r="C79" s="5" t="s">
        <v>112</v>
      </c>
      <c r="D79" s="5" t="s">
        <v>739</v>
      </c>
      <c r="E79" s="5"/>
      <c r="F79" t="s">
        <v>740</v>
      </c>
      <c r="G79" s="4" t="s">
        <v>759</v>
      </c>
      <c r="H79" s="306" t="s">
        <v>769</v>
      </c>
      <c r="L79" t="s">
        <v>669</v>
      </c>
      <c r="M79" s="1" t="s">
        <v>761</v>
      </c>
    </row>
    <row r="80" spans="1:13">
      <c r="A80" s="5">
        <v>79</v>
      </c>
      <c r="B80" s="5" t="s">
        <v>664</v>
      </c>
      <c r="C80" s="5" t="s">
        <v>112</v>
      </c>
      <c r="D80" s="5" t="s">
        <v>739</v>
      </c>
      <c r="E80" s="5"/>
      <c r="F80" t="s">
        <v>740</v>
      </c>
      <c r="G80" s="4" t="s">
        <v>759</v>
      </c>
      <c r="H80" s="306" t="s">
        <v>770</v>
      </c>
      <c r="L80" t="s">
        <v>669</v>
      </c>
      <c r="M80" s="1" t="s">
        <v>761</v>
      </c>
    </row>
    <row r="81" spans="1:13">
      <c r="A81" s="5">
        <v>80</v>
      </c>
      <c r="B81" s="5" t="s">
        <v>664</v>
      </c>
      <c r="C81" s="5" t="s">
        <v>112</v>
      </c>
      <c r="D81" s="5" t="s">
        <v>739</v>
      </c>
      <c r="E81" s="5"/>
      <c r="F81" t="s">
        <v>740</v>
      </c>
      <c r="G81" s="4" t="s">
        <v>759</v>
      </c>
      <c r="H81" s="306" t="s">
        <v>771</v>
      </c>
      <c r="L81" t="s">
        <v>669</v>
      </c>
      <c r="M81" s="1" t="s">
        <v>761</v>
      </c>
    </row>
    <row r="82" spans="1:13">
      <c r="A82" s="5">
        <v>81</v>
      </c>
      <c r="B82" s="5" t="s">
        <v>664</v>
      </c>
      <c r="C82" s="5" t="s">
        <v>112</v>
      </c>
      <c r="D82" s="5" t="s">
        <v>739</v>
      </c>
      <c r="E82" s="5"/>
      <c r="F82" t="s">
        <v>740</v>
      </c>
      <c r="G82" s="4" t="s">
        <v>759</v>
      </c>
      <c r="H82" s="306" t="s">
        <v>772</v>
      </c>
      <c r="L82" t="s">
        <v>669</v>
      </c>
      <c r="M82" s="1" t="s">
        <v>761</v>
      </c>
    </row>
    <row r="83" spans="1:13">
      <c r="A83" s="5">
        <v>82</v>
      </c>
      <c r="B83" s="5" t="s">
        <v>664</v>
      </c>
      <c r="C83" s="5" t="s">
        <v>112</v>
      </c>
      <c r="D83" s="5" t="s">
        <v>739</v>
      </c>
      <c r="E83" s="5"/>
      <c r="F83" t="s">
        <v>740</v>
      </c>
      <c r="G83" s="4" t="s">
        <v>759</v>
      </c>
      <c r="H83" s="306" t="s">
        <v>773</v>
      </c>
      <c r="L83" t="s">
        <v>669</v>
      </c>
      <c r="M83" s="1" t="s">
        <v>774</v>
      </c>
    </row>
    <row r="84" spans="1:13">
      <c r="A84" s="5">
        <v>83</v>
      </c>
      <c r="B84" s="5" t="s">
        <v>664</v>
      </c>
      <c r="C84" s="5" t="s">
        <v>112</v>
      </c>
      <c r="D84" s="5" t="s">
        <v>739</v>
      </c>
      <c r="E84" s="5"/>
      <c r="F84" t="s">
        <v>740</v>
      </c>
      <c r="G84" s="4" t="s">
        <v>759</v>
      </c>
      <c r="H84" s="306" t="s">
        <v>775</v>
      </c>
      <c r="L84" t="s">
        <v>669</v>
      </c>
      <c r="M84" s="1" t="s">
        <v>761</v>
      </c>
    </row>
    <row r="85" spans="1:13">
      <c r="A85" s="5">
        <v>84</v>
      </c>
      <c r="B85" s="5" t="s">
        <v>664</v>
      </c>
      <c r="C85" s="5" t="s">
        <v>112</v>
      </c>
      <c r="D85" s="5" t="s">
        <v>739</v>
      </c>
      <c r="E85" s="5"/>
      <c r="F85" t="s">
        <v>740</v>
      </c>
      <c r="G85" s="4" t="s">
        <v>759</v>
      </c>
      <c r="H85" s="306" t="s">
        <v>776</v>
      </c>
      <c r="L85" t="s">
        <v>669</v>
      </c>
      <c r="M85" s="1" t="s">
        <v>761</v>
      </c>
    </row>
    <row r="86" spans="1:13">
      <c r="A86" s="5">
        <v>85</v>
      </c>
      <c r="B86" s="5" t="s">
        <v>664</v>
      </c>
      <c r="C86" s="5" t="s">
        <v>112</v>
      </c>
      <c r="D86" s="5" t="s">
        <v>739</v>
      </c>
      <c r="E86" s="5"/>
      <c r="F86" t="s">
        <v>740</v>
      </c>
      <c r="G86" s="4" t="s">
        <v>759</v>
      </c>
      <c r="H86" s="306" t="s">
        <v>777</v>
      </c>
      <c r="L86" t="s">
        <v>669</v>
      </c>
      <c r="M86" s="1" t="s">
        <v>761</v>
      </c>
    </row>
    <row r="87" spans="1:13">
      <c r="A87" s="5">
        <v>86</v>
      </c>
      <c r="B87" s="5" t="s">
        <v>664</v>
      </c>
      <c r="C87" s="5" t="s">
        <v>112</v>
      </c>
      <c r="D87" s="5" t="s">
        <v>739</v>
      </c>
      <c r="E87" s="5"/>
      <c r="F87" t="s">
        <v>740</v>
      </c>
      <c r="G87" s="4" t="s">
        <v>759</v>
      </c>
      <c r="H87" s="306" t="s">
        <v>778</v>
      </c>
      <c r="L87" t="s">
        <v>669</v>
      </c>
      <c r="M87" s="1" t="s">
        <v>761</v>
      </c>
    </row>
    <row r="88" spans="1:13">
      <c r="A88" s="5">
        <v>87</v>
      </c>
      <c r="B88" s="5" t="s">
        <v>664</v>
      </c>
      <c r="C88" s="5" t="s">
        <v>112</v>
      </c>
      <c r="D88" s="5" t="s">
        <v>739</v>
      </c>
      <c r="E88" s="5"/>
      <c r="F88" t="s">
        <v>740</v>
      </c>
      <c r="G88" s="4" t="s">
        <v>759</v>
      </c>
      <c r="H88" s="306" t="s">
        <v>779</v>
      </c>
      <c r="L88" t="s">
        <v>669</v>
      </c>
      <c r="M88" s="1" t="s">
        <v>761</v>
      </c>
    </row>
    <row r="89" spans="1:13">
      <c r="A89" s="5">
        <v>88</v>
      </c>
      <c r="B89" s="5" t="s">
        <v>664</v>
      </c>
      <c r="C89" s="5" t="s">
        <v>112</v>
      </c>
      <c r="D89" s="5" t="s">
        <v>739</v>
      </c>
      <c r="E89" s="5"/>
      <c r="F89" t="s">
        <v>740</v>
      </c>
      <c r="G89" s="4" t="s">
        <v>759</v>
      </c>
      <c r="H89" s="306" t="s">
        <v>780</v>
      </c>
      <c r="L89" t="s">
        <v>669</v>
      </c>
      <c r="M89" s="1" t="s">
        <v>761</v>
      </c>
    </row>
    <row r="90" spans="1:13">
      <c r="A90" s="5">
        <v>89</v>
      </c>
      <c r="B90" s="5" t="s">
        <v>664</v>
      </c>
      <c r="C90" s="5" t="s">
        <v>112</v>
      </c>
      <c r="D90" s="5" t="s">
        <v>739</v>
      </c>
      <c r="E90" s="5"/>
      <c r="F90" t="s">
        <v>740</v>
      </c>
      <c r="G90" s="4" t="s">
        <v>759</v>
      </c>
      <c r="H90" s="306" t="s">
        <v>781</v>
      </c>
      <c r="L90" t="s">
        <v>669</v>
      </c>
      <c r="M90" s="1" t="s">
        <v>761</v>
      </c>
    </row>
    <row r="91" spans="1:13">
      <c r="A91" s="5">
        <v>90</v>
      </c>
      <c r="B91" s="5" t="s">
        <v>664</v>
      </c>
      <c r="C91" s="5" t="s">
        <v>112</v>
      </c>
      <c r="D91" s="5" t="s">
        <v>739</v>
      </c>
      <c r="E91" s="5"/>
      <c r="F91" t="s">
        <v>740</v>
      </c>
      <c r="G91" s="4" t="s">
        <v>759</v>
      </c>
      <c r="H91" s="306" t="s">
        <v>782</v>
      </c>
      <c r="L91" t="s">
        <v>669</v>
      </c>
      <c r="M91" s="1" t="s">
        <v>761</v>
      </c>
    </row>
    <row r="92" spans="1:13">
      <c r="A92" s="5">
        <v>91</v>
      </c>
      <c r="B92" s="5" t="s">
        <v>664</v>
      </c>
      <c r="C92" s="5" t="s">
        <v>112</v>
      </c>
      <c r="D92" s="5" t="s">
        <v>739</v>
      </c>
      <c r="E92" s="5"/>
      <c r="F92" t="s">
        <v>740</v>
      </c>
      <c r="G92" s="4" t="s">
        <v>759</v>
      </c>
      <c r="H92" s="306" t="s">
        <v>783</v>
      </c>
      <c r="L92" t="s">
        <v>669</v>
      </c>
      <c r="M92" s="1" t="s">
        <v>761</v>
      </c>
    </row>
    <row r="93" spans="1:13">
      <c r="A93" s="5">
        <v>92</v>
      </c>
      <c r="B93" s="5" t="s">
        <v>664</v>
      </c>
      <c r="C93" s="5" t="s">
        <v>112</v>
      </c>
      <c r="D93" s="5" t="s">
        <v>739</v>
      </c>
      <c r="E93" s="5"/>
      <c r="F93" t="s">
        <v>740</v>
      </c>
      <c r="G93" s="4" t="s">
        <v>759</v>
      </c>
      <c r="H93" s="306" t="s">
        <v>784</v>
      </c>
      <c r="L93" t="s">
        <v>669</v>
      </c>
      <c r="M93" s="1" t="s">
        <v>761</v>
      </c>
    </row>
    <row r="94" spans="1:13">
      <c r="A94" s="5">
        <v>93</v>
      </c>
      <c r="B94" s="5" t="s">
        <v>664</v>
      </c>
      <c r="C94" s="5" t="s">
        <v>112</v>
      </c>
      <c r="D94" s="5" t="s">
        <v>739</v>
      </c>
      <c r="E94" s="5"/>
      <c r="F94" t="s">
        <v>740</v>
      </c>
      <c r="G94" s="4" t="s">
        <v>759</v>
      </c>
      <c r="H94" s="306" t="s">
        <v>785</v>
      </c>
      <c r="L94" t="s">
        <v>669</v>
      </c>
      <c r="M94" s="1" t="s">
        <v>761</v>
      </c>
    </row>
    <row r="95" spans="1:13">
      <c r="A95" s="5">
        <v>94</v>
      </c>
      <c r="B95" s="5" t="s">
        <v>664</v>
      </c>
      <c r="C95" s="5" t="s">
        <v>112</v>
      </c>
      <c r="D95" s="5" t="s">
        <v>739</v>
      </c>
      <c r="E95" s="5"/>
      <c r="F95" t="s">
        <v>740</v>
      </c>
      <c r="G95" s="4" t="s">
        <v>759</v>
      </c>
      <c r="H95" s="306" t="s">
        <v>786</v>
      </c>
      <c r="L95" t="s">
        <v>669</v>
      </c>
      <c r="M95" s="1" t="s">
        <v>761</v>
      </c>
    </row>
    <row r="96" spans="1:13">
      <c r="A96" s="5">
        <v>95</v>
      </c>
      <c r="B96" s="5" t="s">
        <v>664</v>
      </c>
      <c r="C96" s="5" t="s">
        <v>112</v>
      </c>
      <c r="D96" s="5" t="s">
        <v>739</v>
      </c>
      <c r="E96" s="5"/>
      <c r="F96" t="s">
        <v>740</v>
      </c>
      <c r="G96" s="4" t="s">
        <v>759</v>
      </c>
      <c r="H96" s="306" t="s">
        <v>787</v>
      </c>
      <c r="L96" t="s">
        <v>669</v>
      </c>
      <c r="M96" s="1" t="s">
        <v>761</v>
      </c>
    </row>
    <row r="97" spans="1:14">
      <c r="A97" s="5">
        <v>96</v>
      </c>
      <c r="B97" s="5" t="s">
        <v>664</v>
      </c>
      <c r="C97" s="5" t="s">
        <v>112</v>
      </c>
      <c r="D97" s="5" t="s">
        <v>739</v>
      </c>
      <c r="E97" s="5"/>
      <c r="F97" t="s">
        <v>740</v>
      </c>
      <c r="G97" s="4" t="s">
        <v>759</v>
      </c>
      <c r="H97" s="306" t="s">
        <v>788</v>
      </c>
      <c r="L97" t="s">
        <v>669</v>
      </c>
      <c r="M97" s="1" t="s">
        <v>761</v>
      </c>
    </row>
    <row r="98" spans="1:14">
      <c r="A98" s="5">
        <v>97</v>
      </c>
      <c r="B98" s="5" t="s">
        <v>664</v>
      </c>
      <c r="C98" s="5" t="s">
        <v>112</v>
      </c>
      <c r="D98" s="5" t="s">
        <v>739</v>
      </c>
      <c r="E98" s="5"/>
      <c r="F98" t="s">
        <v>740</v>
      </c>
      <c r="G98" s="4" t="s">
        <v>759</v>
      </c>
      <c r="H98" s="306" t="s">
        <v>789</v>
      </c>
      <c r="L98" t="s">
        <v>669</v>
      </c>
      <c r="M98" s="1" t="s">
        <v>761</v>
      </c>
    </row>
    <row r="99" spans="1:14">
      <c r="A99" s="5">
        <v>98</v>
      </c>
      <c r="B99" s="5" t="s">
        <v>664</v>
      </c>
      <c r="C99" s="5" t="s">
        <v>112</v>
      </c>
      <c r="D99" s="5" t="s">
        <v>739</v>
      </c>
      <c r="E99" s="5"/>
      <c r="F99" t="s">
        <v>740</v>
      </c>
      <c r="G99" s="4" t="s">
        <v>759</v>
      </c>
      <c r="H99" s="306" t="s">
        <v>790</v>
      </c>
      <c r="L99" t="s">
        <v>669</v>
      </c>
      <c r="M99" s="1" t="s">
        <v>774</v>
      </c>
      <c r="N99" t="s">
        <v>791</v>
      </c>
    </row>
    <row r="100" spans="1:14">
      <c r="A100" s="5">
        <v>99</v>
      </c>
      <c r="B100" s="5" t="s">
        <v>664</v>
      </c>
      <c r="C100" s="5" t="s">
        <v>112</v>
      </c>
      <c r="D100" s="5" t="s">
        <v>739</v>
      </c>
      <c r="E100" s="5"/>
      <c r="F100" t="s">
        <v>740</v>
      </c>
      <c r="G100" s="4" t="s">
        <v>759</v>
      </c>
      <c r="H100" s="306" t="s">
        <v>792</v>
      </c>
      <c r="L100" t="s">
        <v>669</v>
      </c>
      <c r="M100" s="1" t="s">
        <v>761</v>
      </c>
    </row>
    <row r="101" spans="1:14">
      <c r="A101" s="5">
        <v>100</v>
      </c>
      <c r="B101" s="5" t="s">
        <v>664</v>
      </c>
      <c r="C101" s="5" t="s">
        <v>112</v>
      </c>
      <c r="D101" s="5" t="s">
        <v>739</v>
      </c>
      <c r="E101" s="5"/>
      <c r="F101" t="s">
        <v>740</v>
      </c>
      <c r="G101" s="4" t="s">
        <v>759</v>
      </c>
      <c r="H101" s="306" t="s">
        <v>793</v>
      </c>
      <c r="L101" t="s">
        <v>669</v>
      </c>
      <c r="M101" s="1" t="s">
        <v>761</v>
      </c>
    </row>
    <row r="102" spans="1:14">
      <c r="A102" s="5">
        <v>101</v>
      </c>
      <c r="B102" s="5" t="s">
        <v>664</v>
      </c>
      <c r="C102" s="5" t="s">
        <v>112</v>
      </c>
      <c r="D102" s="5" t="s">
        <v>739</v>
      </c>
      <c r="E102" s="5"/>
      <c r="F102" t="s">
        <v>740</v>
      </c>
      <c r="G102" s="4" t="s">
        <v>759</v>
      </c>
      <c r="H102" s="306" t="s">
        <v>794</v>
      </c>
      <c r="L102" t="s">
        <v>669</v>
      </c>
      <c r="M102" s="1" t="s">
        <v>761</v>
      </c>
    </row>
    <row r="103" spans="1:14">
      <c r="A103" s="5">
        <v>102</v>
      </c>
      <c r="B103" s="5" t="s">
        <v>664</v>
      </c>
      <c r="C103" s="5" t="s">
        <v>112</v>
      </c>
      <c r="D103" s="5" t="s">
        <v>739</v>
      </c>
      <c r="E103" s="5"/>
      <c r="F103" t="s">
        <v>740</v>
      </c>
      <c r="G103" s="4" t="s">
        <v>759</v>
      </c>
      <c r="H103" s="306" t="s">
        <v>795</v>
      </c>
      <c r="L103" t="s">
        <v>669</v>
      </c>
      <c r="M103" s="1" t="s">
        <v>761</v>
      </c>
    </row>
    <row r="104" spans="1:14">
      <c r="A104" s="5">
        <v>103</v>
      </c>
      <c r="B104" s="5" t="s">
        <v>664</v>
      </c>
      <c r="C104" s="5" t="s">
        <v>112</v>
      </c>
      <c r="D104" s="5" t="s">
        <v>739</v>
      </c>
      <c r="E104" s="5"/>
      <c r="F104" t="s">
        <v>740</v>
      </c>
      <c r="G104" s="4" t="s">
        <v>759</v>
      </c>
      <c r="H104" s="306" t="s">
        <v>796</v>
      </c>
      <c r="L104" t="s">
        <v>669</v>
      </c>
      <c r="M104" s="1" t="s">
        <v>761</v>
      </c>
    </row>
    <row r="105" spans="1:14">
      <c r="A105" s="5">
        <v>104</v>
      </c>
      <c r="B105" s="5" t="s">
        <v>664</v>
      </c>
      <c r="C105" s="5" t="s">
        <v>112</v>
      </c>
      <c r="D105" s="5" t="s">
        <v>739</v>
      </c>
      <c r="E105" s="5"/>
      <c r="F105" t="s">
        <v>740</v>
      </c>
      <c r="G105" s="4" t="s">
        <v>759</v>
      </c>
      <c r="H105" s="306" t="s">
        <v>797</v>
      </c>
      <c r="L105" t="s">
        <v>669</v>
      </c>
      <c r="M105" s="1" t="s">
        <v>761</v>
      </c>
    </row>
    <row r="106" spans="1:14" ht="36">
      <c r="A106" s="5">
        <v>105</v>
      </c>
      <c r="B106" s="5" t="s">
        <v>664</v>
      </c>
      <c r="C106" s="5" t="s">
        <v>112</v>
      </c>
      <c r="D106" s="5" t="s">
        <v>739</v>
      </c>
      <c r="E106" s="5"/>
      <c r="F106" t="s">
        <v>740</v>
      </c>
      <c r="G106" s="4" t="s">
        <v>759</v>
      </c>
      <c r="H106" s="306" t="s">
        <v>798</v>
      </c>
      <c r="L106" t="s">
        <v>669</v>
      </c>
      <c r="M106" s="1" t="s">
        <v>761</v>
      </c>
    </row>
    <row r="107" spans="1:14" ht="36">
      <c r="A107" s="5">
        <v>106</v>
      </c>
      <c r="B107" s="5" t="s">
        <v>664</v>
      </c>
      <c r="C107" s="5" t="s">
        <v>112</v>
      </c>
      <c r="D107" s="5" t="s">
        <v>739</v>
      </c>
      <c r="E107" s="5"/>
      <c r="F107" t="s">
        <v>740</v>
      </c>
      <c r="G107" s="4" t="s">
        <v>759</v>
      </c>
      <c r="H107" s="306" t="s">
        <v>799</v>
      </c>
      <c r="L107" t="s">
        <v>669</v>
      </c>
      <c r="M107" s="1" t="s">
        <v>761</v>
      </c>
    </row>
    <row r="108" spans="1:14">
      <c r="A108" s="5">
        <v>107</v>
      </c>
      <c r="B108" s="5" t="s">
        <v>664</v>
      </c>
      <c r="C108" s="5" t="s">
        <v>112</v>
      </c>
      <c r="D108" s="5" t="s">
        <v>739</v>
      </c>
      <c r="E108" s="5"/>
      <c r="F108" t="s">
        <v>740</v>
      </c>
      <c r="G108" s="4" t="s">
        <v>759</v>
      </c>
      <c r="H108" s="306" t="s">
        <v>800</v>
      </c>
      <c r="L108" t="s">
        <v>669</v>
      </c>
      <c r="M108" s="1" t="s">
        <v>774</v>
      </c>
    </row>
    <row r="109" spans="1:14">
      <c r="A109" s="5">
        <v>108</v>
      </c>
      <c r="B109" s="5" t="s">
        <v>664</v>
      </c>
      <c r="C109" s="5" t="s">
        <v>112</v>
      </c>
      <c r="D109" s="5" t="s">
        <v>739</v>
      </c>
      <c r="E109" s="5"/>
      <c r="F109" t="s">
        <v>740</v>
      </c>
      <c r="G109" s="4" t="s">
        <v>759</v>
      </c>
      <c r="H109" s="306" t="s">
        <v>801</v>
      </c>
      <c r="L109" t="s">
        <v>669</v>
      </c>
      <c r="M109" s="1" t="s">
        <v>761</v>
      </c>
    </row>
    <row r="110" spans="1:14">
      <c r="A110" s="5">
        <v>109</v>
      </c>
      <c r="B110" s="5" t="s">
        <v>664</v>
      </c>
      <c r="C110" s="5" t="s">
        <v>112</v>
      </c>
      <c r="D110" s="5" t="s">
        <v>739</v>
      </c>
      <c r="E110" s="5"/>
      <c r="F110" t="s">
        <v>740</v>
      </c>
      <c r="G110" s="4" t="s">
        <v>759</v>
      </c>
      <c r="H110" s="306" t="s">
        <v>802</v>
      </c>
      <c r="L110" t="s">
        <v>669</v>
      </c>
      <c r="M110" s="1" t="s">
        <v>761</v>
      </c>
    </row>
    <row r="111" spans="1:14">
      <c r="A111" s="5">
        <v>110</v>
      </c>
      <c r="B111" s="5" t="s">
        <v>664</v>
      </c>
      <c r="C111" s="5" t="s">
        <v>112</v>
      </c>
      <c r="D111" s="5" t="s">
        <v>739</v>
      </c>
      <c r="E111" s="5"/>
      <c r="F111" t="s">
        <v>740</v>
      </c>
      <c r="G111" s="4" t="s">
        <v>759</v>
      </c>
      <c r="H111" s="306" t="s">
        <v>803</v>
      </c>
      <c r="L111" t="s">
        <v>669</v>
      </c>
      <c r="M111" s="1" t="s">
        <v>761</v>
      </c>
    </row>
    <row r="112" spans="1:14">
      <c r="A112" s="5">
        <v>111</v>
      </c>
      <c r="B112" s="5" t="s">
        <v>664</v>
      </c>
      <c r="C112" s="5" t="s">
        <v>112</v>
      </c>
      <c r="D112" s="5" t="s">
        <v>739</v>
      </c>
      <c r="E112" s="5"/>
      <c r="F112" t="s">
        <v>740</v>
      </c>
      <c r="G112" s="4" t="s">
        <v>759</v>
      </c>
      <c r="H112" s="306" t="s">
        <v>804</v>
      </c>
      <c r="L112" t="s">
        <v>669</v>
      </c>
      <c r="M112" s="1" t="s">
        <v>761</v>
      </c>
    </row>
    <row r="113" spans="1:14">
      <c r="A113" s="5">
        <v>112</v>
      </c>
      <c r="B113" s="5" t="s">
        <v>664</v>
      </c>
      <c r="C113" s="5" t="s">
        <v>112</v>
      </c>
      <c r="D113" s="5" t="s">
        <v>739</v>
      </c>
      <c r="E113" s="5"/>
      <c r="F113" t="s">
        <v>740</v>
      </c>
      <c r="G113" s="4" t="s">
        <v>759</v>
      </c>
      <c r="H113" s="306" t="s">
        <v>805</v>
      </c>
      <c r="L113" t="s">
        <v>669</v>
      </c>
      <c r="M113" s="1" t="s">
        <v>761</v>
      </c>
    </row>
    <row r="114" spans="1:14">
      <c r="A114" s="5">
        <v>113</v>
      </c>
      <c r="B114" s="5" t="s">
        <v>664</v>
      </c>
      <c r="C114" s="5" t="s">
        <v>112</v>
      </c>
      <c r="D114" s="5" t="s">
        <v>739</v>
      </c>
      <c r="E114" s="5"/>
      <c r="F114" t="s">
        <v>740</v>
      </c>
      <c r="G114" s="4" t="s">
        <v>759</v>
      </c>
      <c r="H114" s="306" t="s">
        <v>806</v>
      </c>
      <c r="L114" t="s">
        <v>669</v>
      </c>
      <c r="M114" s="1" t="s">
        <v>761</v>
      </c>
    </row>
    <row r="115" spans="1:14">
      <c r="A115" s="5">
        <v>114</v>
      </c>
      <c r="B115" s="5" t="s">
        <v>664</v>
      </c>
      <c r="C115" s="5" t="s">
        <v>112</v>
      </c>
      <c r="D115" s="5" t="s">
        <v>739</v>
      </c>
      <c r="E115" s="5"/>
      <c r="F115" t="s">
        <v>807</v>
      </c>
      <c r="G115" s="4" t="s">
        <v>808</v>
      </c>
      <c r="H115" s="306" t="s">
        <v>809</v>
      </c>
      <c r="K115" t="s">
        <v>744</v>
      </c>
      <c r="L115" t="s">
        <v>669</v>
      </c>
    </row>
    <row r="116" spans="1:14">
      <c r="A116" s="5">
        <v>115</v>
      </c>
      <c r="B116" s="5" t="s">
        <v>664</v>
      </c>
      <c r="C116" s="5" t="s">
        <v>112</v>
      </c>
      <c r="D116" s="5" t="s">
        <v>739</v>
      </c>
      <c r="E116" s="5"/>
      <c r="F116" t="s">
        <v>808</v>
      </c>
      <c r="G116" s="4" t="s">
        <v>808</v>
      </c>
      <c r="H116" s="306" t="s">
        <v>810</v>
      </c>
      <c r="K116" t="s">
        <v>744</v>
      </c>
      <c r="L116" t="s">
        <v>669</v>
      </c>
    </row>
    <row r="117" spans="1:14">
      <c r="A117" s="5">
        <v>116</v>
      </c>
      <c r="B117" s="5" t="s">
        <v>664</v>
      </c>
      <c r="C117" s="5" t="s">
        <v>112</v>
      </c>
      <c r="D117" s="5" t="s">
        <v>739</v>
      </c>
      <c r="E117" s="5"/>
      <c r="F117" t="s">
        <v>808</v>
      </c>
      <c r="G117" s="4" t="s">
        <v>808</v>
      </c>
      <c r="H117" s="306" t="s">
        <v>811</v>
      </c>
      <c r="K117" t="s">
        <v>744</v>
      </c>
      <c r="L117" t="s">
        <v>669</v>
      </c>
    </row>
    <row r="118" spans="1:14">
      <c r="A118" s="5">
        <v>117</v>
      </c>
      <c r="B118" s="5" t="s">
        <v>664</v>
      </c>
      <c r="C118" s="5" t="s">
        <v>112</v>
      </c>
      <c r="D118" s="5" t="s">
        <v>739</v>
      </c>
      <c r="E118" s="5"/>
      <c r="F118" t="s">
        <v>808</v>
      </c>
      <c r="G118" s="4" t="s">
        <v>808</v>
      </c>
      <c r="H118" s="306" t="s">
        <v>812</v>
      </c>
      <c r="K118" t="s">
        <v>744</v>
      </c>
      <c r="L118" t="s">
        <v>669</v>
      </c>
    </row>
    <row r="119" spans="1:14">
      <c r="A119" s="5">
        <v>118</v>
      </c>
      <c r="B119" s="5" t="s">
        <v>664</v>
      </c>
      <c r="C119" s="5" t="s">
        <v>112</v>
      </c>
      <c r="D119" s="5" t="s">
        <v>739</v>
      </c>
      <c r="E119" s="5"/>
      <c r="F119" t="s">
        <v>808</v>
      </c>
      <c r="G119" s="4" t="s">
        <v>808</v>
      </c>
      <c r="H119" s="306" t="s">
        <v>813</v>
      </c>
      <c r="K119" t="s">
        <v>744</v>
      </c>
      <c r="L119" t="s">
        <v>669</v>
      </c>
      <c r="N119" t="s">
        <v>814</v>
      </c>
    </row>
    <row r="120" spans="1:14">
      <c r="A120" s="5">
        <v>119</v>
      </c>
      <c r="B120" s="5" t="s">
        <v>664</v>
      </c>
      <c r="C120" s="5" t="s">
        <v>112</v>
      </c>
      <c r="D120" s="5" t="s">
        <v>739</v>
      </c>
      <c r="E120" s="5"/>
      <c r="F120" t="s">
        <v>808</v>
      </c>
      <c r="G120" s="4" t="s">
        <v>808</v>
      </c>
      <c r="H120" s="306" t="s">
        <v>815</v>
      </c>
      <c r="K120" t="s">
        <v>744</v>
      </c>
      <c r="L120" t="s">
        <v>669</v>
      </c>
    </row>
    <row r="121" spans="1:14">
      <c r="A121" s="5">
        <v>120</v>
      </c>
      <c r="B121" s="5" t="s">
        <v>664</v>
      </c>
      <c r="C121" s="5" t="s">
        <v>112</v>
      </c>
      <c r="D121" s="5" t="s">
        <v>739</v>
      </c>
      <c r="E121" s="5"/>
      <c r="F121" t="s">
        <v>816</v>
      </c>
      <c r="G121" s="4" t="s">
        <v>816</v>
      </c>
      <c r="H121" s="306" t="s">
        <v>817</v>
      </c>
      <c r="K121" t="s">
        <v>744</v>
      </c>
      <c r="L121" t="s">
        <v>669</v>
      </c>
    </row>
    <row r="122" spans="1:14" ht="36">
      <c r="A122" s="5">
        <v>121</v>
      </c>
      <c r="B122" s="5" t="s">
        <v>664</v>
      </c>
      <c r="C122" s="5" t="s">
        <v>112</v>
      </c>
      <c r="D122" s="5" t="s">
        <v>739</v>
      </c>
      <c r="E122" s="5"/>
      <c r="F122" t="s">
        <v>816</v>
      </c>
      <c r="G122" s="6" t="s">
        <v>816</v>
      </c>
      <c r="H122" s="311" t="s">
        <v>818</v>
      </c>
      <c r="I122" s="435"/>
      <c r="J122" s="9"/>
      <c r="K122" t="s">
        <v>744</v>
      </c>
      <c r="L122" t="s">
        <v>669</v>
      </c>
      <c r="N122" t="s">
        <v>819</v>
      </c>
    </row>
    <row r="123" spans="1:14">
      <c r="A123" s="5">
        <v>122</v>
      </c>
      <c r="B123" s="5" t="s">
        <v>664</v>
      </c>
      <c r="C123" s="5" t="s">
        <v>112</v>
      </c>
      <c r="D123" s="5" t="s">
        <v>739</v>
      </c>
      <c r="E123" s="5"/>
      <c r="F123" t="s">
        <v>816</v>
      </c>
      <c r="G123" s="4" t="s">
        <v>816</v>
      </c>
      <c r="H123" s="306" t="s">
        <v>820</v>
      </c>
      <c r="K123" t="s">
        <v>744</v>
      </c>
      <c r="L123" t="s">
        <v>669</v>
      </c>
    </row>
    <row r="124" spans="1:14">
      <c r="A124" s="5">
        <v>123</v>
      </c>
      <c r="B124" s="5" t="s">
        <v>664</v>
      </c>
      <c r="C124" s="5" t="s">
        <v>112</v>
      </c>
      <c r="D124" s="5" t="s">
        <v>739</v>
      </c>
      <c r="E124" s="5"/>
      <c r="F124" t="s">
        <v>816</v>
      </c>
      <c r="G124" s="4" t="s">
        <v>816</v>
      </c>
      <c r="H124" s="306" t="s">
        <v>821</v>
      </c>
      <c r="K124" t="s">
        <v>744</v>
      </c>
      <c r="L124" t="s">
        <v>669</v>
      </c>
    </row>
    <row r="125" spans="1:14">
      <c r="A125" s="5">
        <v>124</v>
      </c>
      <c r="B125" s="5" t="s">
        <v>664</v>
      </c>
      <c r="C125" s="5" t="s">
        <v>112</v>
      </c>
      <c r="D125" s="5" t="s">
        <v>739</v>
      </c>
      <c r="E125" s="5"/>
      <c r="F125" t="s">
        <v>816</v>
      </c>
      <c r="G125" s="4" t="s">
        <v>816</v>
      </c>
      <c r="H125" s="306" t="s">
        <v>822</v>
      </c>
      <c r="K125" t="s">
        <v>744</v>
      </c>
      <c r="L125" t="s">
        <v>669</v>
      </c>
    </row>
    <row r="126" spans="1:14">
      <c r="A126" s="5">
        <v>125</v>
      </c>
      <c r="B126" s="5" t="s">
        <v>664</v>
      </c>
      <c r="C126" s="5" t="s">
        <v>112</v>
      </c>
      <c r="D126" s="5" t="s">
        <v>739</v>
      </c>
      <c r="E126" s="5"/>
      <c r="F126" t="s">
        <v>816</v>
      </c>
      <c r="G126" s="4" t="s">
        <v>816</v>
      </c>
      <c r="H126" s="306" t="s">
        <v>823</v>
      </c>
      <c r="K126" t="s">
        <v>744</v>
      </c>
      <c r="L126" t="s">
        <v>669</v>
      </c>
    </row>
    <row r="127" spans="1:14">
      <c r="A127" s="5">
        <v>126</v>
      </c>
      <c r="B127" s="5" t="s">
        <v>664</v>
      </c>
      <c r="C127" s="5" t="s">
        <v>112</v>
      </c>
      <c r="D127" s="5" t="s">
        <v>739</v>
      </c>
      <c r="E127" s="5"/>
      <c r="F127" t="s">
        <v>816</v>
      </c>
      <c r="G127" s="6" t="s">
        <v>816</v>
      </c>
      <c r="H127" s="311" t="s">
        <v>824</v>
      </c>
      <c r="I127" s="435"/>
      <c r="J127" s="9"/>
      <c r="K127" t="s">
        <v>744</v>
      </c>
      <c r="L127" t="s">
        <v>669</v>
      </c>
      <c r="N127" t="s">
        <v>819</v>
      </c>
    </row>
    <row r="128" spans="1:14">
      <c r="A128" s="5">
        <v>127</v>
      </c>
      <c r="B128" s="5" t="s">
        <v>664</v>
      </c>
      <c r="C128" s="5" t="s">
        <v>112</v>
      </c>
      <c r="D128" s="5" t="s">
        <v>739</v>
      </c>
      <c r="E128" s="5"/>
      <c r="F128" t="s">
        <v>816</v>
      </c>
      <c r="G128" s="4" t="s">
        <v>816</v>
      </c>
      <c r="H128" s="306" t="s">
        <v>825</v>
      </c>
      <c r="K128" t="s">
        <v>744</v>
      </c>
      <c r="L128" t="s">
        <v>669</v>
      </c>
    </row>
    <row r="129" spans="1:13">
      <c r="A129" s="5">
        <v>128</v>
      </c>
      <c r="B129" s="5" t="s">
        <v>664</v>
      </c>
      <c r="C129" s="5" t="s">
        <v>112</v>
      </c>
      <c r="D129" s="5" t="s">
        <v>739</v>
      </c>
      <c r="E129" s="5"/>
      <c r="F129" t="s">
        <v>816</v>
      </c>
      <c r="G129" s="4" t="s">
        <v>816</v>
      </c>
      <c r="H129" s="306" t="s">
        <v>826</v>
      </c>
      <c r="K129" t="s">
        <v>744</v>
      </c>
      <c r="L129" t="s">
        <v>669</v>
      </c>
    </row>
    <row r="130" spans="1:13">
      <c r="A130" s="5">
        <v>129</v>
      </c>
      <c r="B130" s="5" t="s">
        <v>664</v>
      </c>
      <c r="C130" s="5" t="s">
        <v>112</v>
      </c>
      <c r="D130" s="5" t="s">
        <v>739</v>
      </c>
      <c r="E130" s="5"/>
      <c r="F130" t="s">
        <v>816</v>
      </c>
      <c r="G130" s="4" t="s">
        <v>816</v>
      </c>
      <c r="H130" s="306" t="s">
        <v>827</v>
      </c>
      <c r="K130" t="s">
        <v>744</v>
      </c>
      <c r="L130" t="s">
        <v>669</v>
      </c>
    </row>
    <row r="131" spans="1:13">
      <c r="A131" s="5">
        <v>130</v>
      </c>
      <c r="B131" s="5" t="s">
        <v>664</v>
      </c>
      <c r="C131" s="5" t="s">
        <v>112</v>
      </c>
      <c r="D131" s="5" t="s">
        <v>739</v>
      </c>
      <c r="E131" s="5"/>
      <c r="F131" t="s">
        <v>816</v>
      </c>
      <c r="G131" s="4" t="s">
        <v>816</v>
      </c>
      <c r="H131" s="306" t="s">
        <v>828</v>
      </c>
      <c r="K131" t="s">
        <v>744</v>
      </c>
      <c r="L131" t="s">
        <v>669</v>
      </c>
    </row>
    <row r="132" spans="1:13">
      <c r="A132" s="5">
        <v>131</v>
      </c>
      <c r="B132" s="5" t="s">
        <v>664</v>
      </c>
      <c r="C132" s="5" t="s">
        <v>112</v>
      </c>
      <c r="D132" s="5" t="s">
        <v>739</v>
      </c>
      <c r="E132" s="5"/>
      <c r="F132" t="s">
        <v>816</v>
      </c>
      <c r="G132" s="4" t="s">
        <v>816</v>
      </c>
      <c r="H132" s="306" t="s">
        <v>829</v>
      </c>
      <c r="K132" t="s">
        <v>744</v>
      </c>
      <c r="L132" t="s">
        <v>669</v>
      </c>
    </row>
    <row r="133" spans="1:13" s="5" customFormat="1" ht="36">
      <c r="A133" s="5">
        <v>132</v>
      </c>
      <c r="B133" s="5" t="s">
        <v>664</v>
      </c>
      <c r="C133" s="5" t="s">
        <v>112</v>
      </c>
      <c r="D133" s="5" t="s">
        <v>739</v>
      </c>
      <c r="F133" t="s">
        <v>830</v>
      </c>
      <c r="G133" s="4" t="s">
        <v>830</v>
      </c>
      <c r="H133" s="305" t="s">
        <v>831</v>
      </c>
      <c r="I133" s="433"/>
      <c r="L133" t="s">
        <v>669</v>
      </c>
      <c r="M133" s="3"/>
    </row>
    <row r="134" spans="1:13" s="5" customFormat="1" ht="36">
      <c r="A134" s="5">
        <v>133</v>
      </c>
      <c r="B134" s="5" t="s">
        <v>664</v>
      </c>
      <c r="C134" s="5" t="s">
        <v>112</v>
      </c>
      <c r="D134" s="5" t="s">
        <v>739</v>
      </c>
      <c r="F134" t="s">
        <v>832</v>
      </c>
      <c r="G134" s="4" t="s">
        <v>832</v>
      </c>
      <c r="H134" s="305" t="s">
        <v>833</v>
      </c>
      <c r="I134" s="433"/>
      <c r="L134" t="s">
        <v>669</v>
      </c>
      <c r="M134" s="3"/>
    </row>
    <row r="135" spans="1:13" ht="36">
      <c r="A135" s="5">
        <v>134</v>
      </c>
      <c r="B135" s="5" t="s">
        <v>834</v>
      </c>
      <c r="C135" s="5" t="s">
        <v>835</v>
      </c>
      <c r="D135" s="5" t="s">
        <v>836</v>
      </c>
      <c r="E135" s="5"/>
      <c r="F135" t="s">
        <v>837</v>
      </c>
      <c r="G135" s="4" t="s">
        <v>837</v>
      </c>
      <c r="H135" s="305" t="s">
        <v>838</v>
      </c>
      <c r="I135" s="433"/>
      <c r="J135" s="5"/>
      <c r="L135" t="s">
        <v>669</v>
      </c>
    </row>
    <row r="136" spans="1:13" ht="36">
      <c r="A136" s="5">
        <v>135</v>
      </c>
      <c r="B136" s="5" t="s">
        <v>834</v>
      </c>
      <c r="C136" s="5" t="s">
        <v>835</v>
      </c>
      <c r="D136" s="5" t="s">
        <v>836</v>
      </c>
      <c r="E136" s="5"/>
      <c r="F136" t="s">
        <v>837</v>
      </c>
      <c r="G136" s="4" t="s">
        <v>837</v>
      </c>
      <c r="H136" s="305" t="s">
        <v>839</v>
      </c>
      <c r="I136" s="433"/>
      <c r="J136" s="5"/>
      <c r="L136" t="s">
        <v>669</v>
      </c>
    </row>
    <row r="137" spans="1:13" ht="36">
      <c r="A137" s="5">
        <v>136</v>
      </c>
      <c r="B137" s="5" t="s">
        <v>834</v>
      </c>
      <c r="C137" s="5" t="s">
        <v>835</v>
      </c>
      <c r="D137" s="5" t="s">
        <v>836</v>
      </c>
      <c r="E137" s="5"/>
      <c r="F137" t="s">
        <v>837</v>
      </c>
      <c r="G137" s="4" t="s">
        <v>837</v>
      </c>
      <c r="H137" s="305" t="s">
        <v>840</v>
      </c>
      <c r="I137" s="433"/>
      <c r="J137" s="5"/>
      <c r="L137" t="s">
        <v>669</v>
      </c>
    </row>
    <row r="138" spans="1:13" ht="36">
      <c r="A138" s="5">
        <v>137</v>
      </c>
      <c r="B138" s="5" t="s">
        <v>834</v>
      </c>
      <c r="C138" s="5" t="s">
        <v>835</v>
      </c>
      <c r="D138" s="5" t="s">
        <v>836</v>
      </c>
      <c r="E138" s="5"/>
      <c r="F138" t="s">
        <v>837</v>
      </c>
      <c r="G138" s="4" t="s">
        <v>837</v>
      </c>
      <c r="H138" s="305" t="s">
        <v>841</v>
      </c>
      <c r="I138" s="433"/>
      <c r="J138" s="5"/>
      <c r="L138" t="s">
        <v>669</v>
      </c>
    </row>
    <row r="139" spans="1:13" ht="36">
      <c r="A139" s="5">
        <v>138</v>
      </c>
      <c r="B139" s="5" t="s">
        <v>834</v>
      </c>
      <c r="C139" s="5" t="s">
        <v>835</v>
      </c>
      <c r="D139" s="5" t="s">
        <v>836</v>
      </c>
      <c r="E139" s="5"/>
      <c r="F139" t="s">
        <v>837</v>
      </c>
      <c r="G139" s="4" t="s">
        <v>837</v>
      </c>
      <c r="H139" s="305" t="s">
        <v>842</v>
      </c>
      <c r="I139" s="433"/>
      <c r="J139" s="5"/>
      <c r="L139" t="s">
        <v>669</v>
      </c>
    </row>
    <row r="140" spans="1:13" ht="36">
      <c r="A140" s="5">
        <v>139</v>
      </c>
      <c r="B140" s="5" t="s">
        <v>834</v>
      </c>
      <c r="C140" s="5" t="s">
        <v>835</v>
      </c>
      <c r="D140" s="5" t="s">
        <v>836</v>
      </c>
      <c r="E140" s="5"/>
      <c r="F140" t="s">
        <v>837</v>
      </c>
      <c r="G140" s="4" t="s">
        <v>837</v>
      </c>
      <c r="H140" s="305" t="s">
        <v>843</v>
      </c>
      <c r="I140" s="433"/>
      <c r="J140" s="5"/>
      <c r="L140" t="s">
        <v>669</v>
      </c>
    </row>
    <row r="141" spans="1:13" ht="36">
      <c r="A141" s="5">
        <v>140</v>
      </c>
      <c r="B141" s="5" t="s">
        <v>834</v>
      </c>
      <c r="C141" s="5" t="s">
        <v>835</v>
      </c>
      <c r="D141" s="5" t="s">
        <v>836</v>
      </c>
      <c r="E141" s="5"/>
      <c r="F141" t="s">
        <v>837</v>
      </c>
      <c r="G141" s="4" t="s">
        <v>837</v>
      </c>
      <c r="H141" s="305" t="s">
        <v>844</v>
      </c>
      <c r="I141" s="433"/>
      <c r="J141" s="5"/>
      <c r="L141" t="s">
        <v>669</v>
      </c>
    </row>
    <row r="142" spans="1:13" ht="36">
      <c r="A142" s="5">
        <v>141</v>
      </c>
      <c r="B142" s="5" t="s">
        <v>834</v>
      </c>
      <c r="C142" s="5" t="s">
        <v>835</v>
      </c>
      <c r="D142" s="5" t="s">
        <v>836</v>
      </c>
      <c r="E142" s="5"/>
      <c r="F142" t="s">
        <v>837</v>
      </c>
      <c r="G142" s="4" t="s">
        <v>837</v>
      </c>
      <c r="H142" s="305" t="s">
        <v>845</v>
      </c>
      <c r="I142" s="433"/>
      <c r="J142" s="5"/>
      <c r="L142" t="s">
        <v>669</v>
      </c>
    </row>
    <row r="143" spans="1:13" ht="36">
      <c r="A143" s="5">
        <v>142</v>
      </c>
      <c r="B143" s="5" t="s">
        <v>834</v>
      </c>
      <c r="C143" s="5" t="s">
        <v>835</v>
      </c>
      <c r="D143" s="5" t="s">
        <v>836</v>
      </c>
      <c r="E143" s="5"/>
      <c r="F143" t="s">
        <v>837</v>
      </c>
      <c r="G143" s="4" t="s">
        <v>837</v>
      </c>
      <c r="H143" s="305" t="s">
        <v>846</v>
      </c>
      <c r="I143" s="433"/>
      <c r="J143" s="5"/>
      <c r="L143" t="s">
        <v>669</v>
      </c>
    </row>
    <row r="144" spans="1:13" ht="36">
      <c r="A144" s="5">
        <v>143</v>
      </c>
      <c r="B144" s="5" t="s">
        <v>834</v>
      </c>
      <c r="C144" s="5" t="s">
        <v>835</v>
      </c>
      <c r="D144" s="5" t="s">
        <v>836</v>
      </c>
      <c r="E144" s="5"/>
      <c r="F144" t="s">
        <v>837</v>
      </c>
      <c r="G144" s="4" t="s">
        <v>837</v>
      </c>
      <c r="H144" s="305" t="s">
        <v>847</v>
      </c>
      <c r="I144" s="433"/>
      <c r="J144" s="5"/>
      <c r="L144" t="s">
        <v>669</v>
      </c>
    </row>
    <row r="145" spans="1:12" ht="36">
      <c r="A145" s="5">
        <v>144</v>
      </c>
      <c r="B145" s="5" t="s">
        <v>834</v>
      </c>
      <c r="C145" s="5" t="s">
        <v>835</v>
      </c>
      <c r="D145" s="5" t="s">
        <v>836</v>
      </c>
      <c r="E145" s="5"/>
      <c r="F145" t="s">
        <v>837</v>
      </c>
      <c r="G145" s="4" t="s">
        <v>837</v>
      </c>
      <c r="H145" s="305" t="s">
        <v>848</v>
      </c>
      <c r="I145" s="433"/>
      <c r="J145" s="5"/>
      <c r="L145" t="s">
        <v>669</v>
      </c>
    </row>
    <row r="146" spans="1:12" ht="36">
      <c r="A146" s="5">
        <v>145</v>
      </c>
      <c r="B146" s="5" t="s">
        <v>834</v>
      </c>
      <c r="C146" s="5" t="s">
        <v>835</v>
      </c>
      <c r="D146" s="5" t="s">
        <v>836</v>
      </c>
      <c r="E146" s="5"/>
      <c r="F146" t="s">
        <v>837</v>
      </c>
      <c r="G146" s="4" t="s">
        <v>837</v>
      </c>
      <c r="H146" s="305" t="s">
        <v>849</v>
      </c>
      <c r="I146" s="433"/>
      <c r="J146" s="5"/>
      <c r="L146" t="s">
        <v>669</v>
      </c>
    </row>
    <row r="147" spans="1:12">
      <c r="A147" s="5">
        <v>146</v>
      </c>
      <c r="B147" s="5" t="s">
        <v>834</v>
      </c>
      <c r="C147" s="5" t="s">
        <v>112</v>
      </c>
      <c r="D147" s="5" t="s">
        <v>665</v>
      </c>
      <c r="E147" s="5"/>
      <c r="F147" t="s">
        <v>850</v>
      </c>
      <c r="G147" s="4" t="s">
        <v>850</v>
      </c>
      <c r="H147" s="305" t="s">
        <v>851</v>
      </c>
      <c r="I147" s="433"/>
      <c r="J147" s="5"/>
      <c r="L147" t="s">
        <v>669</v>
      </c>
    </row>
    <row r="148" spans="1:12">
      <c r="A148" s="5">
        <v>147</v>
      </c>
      <c r="B148" s="5" t="s">
        <v>834</v>
      </c>
      <c r="C148" s="5" t="s">
        <v>112</v>
      </c>
      <c r="D148" s="5" t="s">
        <v>665</v>
      </c>
      <c r="E148" s="5"/>
      <c r="F148" t="s">
        <v>852</v>
      </c>
      <c r="G148" s="4" t="s">
        <v>852</v>
      </c>
      <c r="H148" s="305" t="s">
        <v>853</v>
      </c>
      <c r="I148" s="433"/>
      <c r="J148" s="5"/>
      <c r="L148" t="s">
        <v>669</v>
      </c>
    </row>
    <row r="149" spans="1:12">
      <c r="A149" s="5">
        <v>148</v>
      </c>
      <c r="B149" s="5" t="s">
        <v>834</v>
      </c>
      <c r="C149" s="5" t="s">
        <v>112</v>
      </c>
      <c r="D149" s="5" t="s">
        <v>665</v>
      </c>
      <c r="E149" s="5"/>
      <c r="F149" t="s">
        <v>854</v>
      </c>
      <c r="G149" s="4" t="s">
        <v>854</v>
      </c>
      <c r="H149" s="305" t="s">
        <v>855</v>
      </c>
      <c r="I149" s="433"/>
      <c r="J149" s="5"/>
      <c r="L149" t="s">
        <v>669</v>
      </c>
    </row>
    <row r="150" spans="1:12">
      <c r="A150" s="5">
        <v>149</v>
      </c>
      <c r="B150" s="5" t="s">
        <v>834</v>
      </c>
      <c r="C150" s="5" t="s">
        <v>112</v>
      </c>
      <c r="D150" s="5" t="s">
        <v>665</v>
      </c>
      <c r="E150" s="5"/>
      <c r="F150" t="s">
        <v>856</v>
      </c>
      <c r="G150" s="4" t="s">
        <v>856</v>
      </c>
      <c r="H150" s="305" t="s">
        <v>857</v>
      </c>
      <c r="I150" s="433"/>
      <c r="J150" s="5"/>
      <c r="L150" t="s">
        <v>669</v>
      </c>
    </row>
    <row r="151" spans="1:12">
      <c r="A151" s="5">
        <v>150</v>
      </c>
      <c r="B151" s="5" t="s">
        <v>834</v>
      </c>
      <c r="C151" s="5" t="s">
        <v>112</v>
      </c>
      <c r="D151" s="5" t="s">
        <v>665</v>
      </c>
      <c r="E151" s="5"/>
      <c r="F151" t="s">
        <v>858</v>
      </c>
      <c r="G151" s="4" t="s">
        <v>858</v>
      </c>
      <c r="H151" s="305" t="s">
        <v>859</v>
      </c>
      <c r="I151" s="433"/>
      <c r="J151" s="5"/>
      <c r="L151" t="s">
        <v>669</v>
      </c>
    </row>
    <row r="152" spans="1:12">
      <c r="A152" s="5">
        <v>151</v>
      </c>
      <c r="B152" s="5" t="s">
        <v>834</v>
      </c>
      <c r="C152" s="5" t="s">
        <v>112</v>
      </c>
      <c r="D152" s="5" t="s">
        <v>665</v>
      </c>
      <c r="E152" s="5"/>
      <c r="F152" t="s">
        <v>858</v>
      </c>
      <c r="G152" s="4" t="s">
        <v>858</v>
      </c>
      <c r="H152" s="305" t="s">
        <v>860</v>
      </c>
      <c r="I152" s="433"/>
      <c r="J152" s="5"/>
      <c r="L152" t="s">
        <v>669</v>
      </c>
    </row>
    <row r="153" spans="1:12">
      <c r="A153" s="5">
        <v>152</v>
      </c>
      <c r="B153" s="5" t="s">
        <v>834</v>
      </c>
      <c r="C153" s="5" t="s">
        <v>112</v>
      </c>
      <c r="D153" s="5" t="s">
        <v>665</v>
      </c>
      <c r="E153" s="5"/>
      <c r="F153" t="s">
        <v>858</v>
      </c>
      <c r="G153" s="4" t="s">
        <v>858</v>
      </c>
      <c r="H153" s="305" t="s">
        <v>861</v>
      </c>
      <c r="I153" s="433"/>
      <c r="J153" s="5"/>
      <c r="L153" t="s">
        <v>669</v>
      </c>
    </row>
    <row r="154" spans="1:12">
      <c r="A154" s="5">
        <v>153</v>
      </c>
      <c r="B154" s="5" t="s">
        <v>834</v>
      </c>
      <c r="C154" s="5" t="s">
        <v>112</v>
      </c>
      <c r="D154" s="5" t="s">
        <v>665</v>
      </c>
      <c r="E154" s="5"/>
      <c r="F154" t="s">
        <v>858</v>
      </c>
      <c r="G154" s="4" t="s">
        <v>858</v>
      </c>
      <c r="H154" s="305" t="s">
        <v>862</v>
      </c>
      <c r="I154" s="433"/>
      <c r="J154" s="5"/>
      <c r="L154" t="s">
        <v>669</v>
      </c>
    </row>
    <row r="155" spans="1:12" ht="36">
      <c r="A155" s="5">
        <v>154</v>
      </c>
      <c r="B155" s="5" t="s">
        <v>834</v>
      </c>
      <c r="C155" s="5" t="s">
        <v>112</v>
      </c>
      <c r="D155" s="5" t="s">
        <v>665</v>
      </c>
      <c r="E155" s="5"/>
      <c r="F155" t="s">
        <v>858</v>
      </c>
      <c r="G155" s="4" t="s">
        <v>858</v>
      </c>
      <c r="H155" s="305" t="s">
        <v>863</v>
      </c>
      <c r="I155" s="433"/>
      <c r="J155" s="5"/>
      <c r="L155" t="s">
        <v>669</v>
      </c>
    </row>
    <row r="156" spans="1:12" ht="36">
      <c r="A156" s="5">
        <v>155</v>
      </c>
      <c r="B156" s="5" t="s">
        <v>834</v>
      </c>
      <c r="C156" s="5" t="s">
        <v>112</v>
      </c>
      <c r="D156" s="5" t="s">
        <v>665</v>
      </c>
      <c r="E156" s="5"/>
      <c r="F156" t="s">
        <v>858</v>
      </c>
      <c r="G156" s="4" t="s">
        <v>858</v>
      </c>
      <c r="H156" s="305" t="s">
        <v>864</v>
      </c>
      <c r="I156" s="433"/>
      <c r="J156" s="5"/>
      <c r="L156" t="s">
        <v>669</v>
      </c>
    </row>
    <row r="157" spans="1:12" ht="36">
      <c r="A157" s="5">
        <v>156</v>
      </c>
      <c r="B157" s="5" t="s">
        <v>834</v>
      </c>
      <c r="C157" s="5" t="s">
        <v>112</v>
      </c>
      <c r="D157" s="5" t="s">
        <v>665</v>
      </c>
      <c r="E157" s="5"/>
      <c r="F157" t="s">
        <v>858</v>
      </c>
      <c r="G157" s="4" t="s">
        <v>858</v>
      </c>
      <c r="H157" s="305" t="s">
        <v>865</v>
      </c>
      <c r="I157" s="433"/>
      <c r="J157" s="5"/>
      <c r="L157" t="s">
        <v>669</v>
      </c>
    </row>
    <row r="158" spans="1:12">
      <c r="A158" s="5">
        <v>157</v>
      </c>
      <c r="B158" s="5" t="s">
        <v>834</v>
      </c>
      <c r="C158" s="5" t="s">
        <v>112</v>
      </c>
      <c r="D158" s="5" t="s">
        <v>665</v>
      </c>
      <c r="E158" s="5"/>
      <c r="F158" t="s">
        <v>858</v>
      </c>
      <c r="G158" s="4" t="s">
        <v>858</v>
      </c>
      <c r="H158" s="305" t="s">
        <v>866</v>
      </c>
      <c r="I158" s="433"/>
      <c r="J158" s="5"/>
      <c r="L158" t="s">
        <v>669</v>
      </c>
    </row>
    <row r="159" spans="1:12">
      <c r="A159" s="5">
        <v>158</v>
      </c>
      <c r="B159" s="5" t="s">
        <v>834</v>
      </c>
      <c r="C159" s="5" t="s">
        <v>112</v>
      </c>
      <c r="D159" s="5" t="s">
        <v>665</v>
      </c>
      <c r="E159" s="5"/>
      <c r="F159" t="s">
        <v>858</v>
      </c>
      <c r="G159" s="4" t="s">
        <v>858</v>
      </c>
      <c r="H159" s="305" t="s">
        <v>867</v>
      </c>
      <c r="I159" s="433"/>
      <c r="J159" s="5"/>
      <c r="L159" t="s">
        <v>669</v>
      </c>
    </row>
    <row r="160" spans="1:12">
      <c r="A160" s="5">
        <v>159</v>
      </c>
      <c r="B160" s="5" t="s">
        <v>834</v>
      </c>
      <c r="C160" s="5" t="s">
        <v>112</v>
      </c>
      <c r="D160" s="5" t="s">
        <v>665</v>
      </c>
      <c r="E160" s="5"/>
      <c r="F160" t="s">
        <v>858</v>
      </c>
      <c r="G160" s="4" t="s">
        <v>858</v>
      </c>
      <c r="H160" s="305" t="s">
        <v>868</v>
      </c>
      <c r="I160" s="433"/>
      <c r="J160" s="5"/>
      <c r="L160" t="s">
        <v>669</v>
      </c>
    </row>
    <row r="161" spans="1:12">
      <c r="A161" s="5">
        <v>160</v>
      </c>
      <c r="B161" s="5" t="s">
        <v>834</v>
      </c>
      <c r="C161" s="5" t="s">
        <v>112</v>
      </c>
      <c r="D161" s="5" t="s">
        <v>665</v>
      </c>
      <c r="E161" s="5"/>
      <c r="F161" t="s">
        <v>858</v>
      </c>
      <c r="G161" s="4" t="s">
        <v>858</v>
      </c>
      <c r="H161" s="305" t="s">
        <v>869</v>
      </c>
      <c r="I161" s="433"/>
      <c r="J161" s="5"/>
      <c r="L161" t="s">
        <v>669</v>
      </c>
    </row>
    <row r="162" spans="1:12">
      <c r="A162" s="5">
        <v>161</v>
      </c>
      <c r="B162" s="5" t="s">
        <v>834</v>
      </c>
      <c r="C162" s="5" t="s">
        <v>112</v>
      </c>
      <c r="D162" s="5" t="s">
        <v>665</v>
      </c>
      <c r="E162" s="5"/>
      <c r="F162" t="s">
        <v>858</v>
      </c>
      <c r="G162" s="4" t="s">
        <v>858</v>
      </c>
      <c r="H162" s="305" t="s">
        <v>870</v>
      </c>
      <c r="I162" s="433"/>
      <c r="J162" s="5"/>
      <c r="L162" t="s">
        <v>669</v>
      </c>
    </row>
    <row r="163" spans="1:12">
      <c r="A163" s="5">
        <v>162</v>
      </c>
      <c r="B163" s="5" t="s">
        <v>834</v>
      </c>
      <c r="C163" s="5" t="s">
        <v>112</v>
      </c>
      <c r="D163" s="5" t="s">
        <v>665</v>
      </c>
      <c r="E163" s="5"/>
      <c r="F163" t="s">
        <v>858</v>
      </c>
      <c r="G163" s="4" t="s">
        <v>858</v>
      </c>
      <c r="H163" s="305" t="s">
        <v>871</v>
      </c>
      <c r="I163" s="433"/>
      <c r="J163" s="5"/>
      <c r="L163" t="s">
        <v>669</v>
      </c>
    </row>
    <row r="164" spans="1:12">
      <c r="A164" s="5">
        <v>163</v>
      </c>
      <c r="B164" s="5" t="s">
        <v>834</v>
      </c>
      <c r="C164" s="5" t="s">
        <v>112</v>
      </c>
      <c r="D164" s="5" t="s">
        <v>665</v>
      </c>
      <c r="E164" s="5"/>
      <c r="F164" t="s">
        <v>858</v>
      </c>
      <c r="G164" s="4" t="s">
        <v>858</v>
      </c>
      <c r="H164" s="305" t="s">
        <v>872</v>
      </c>
      <c r="I164" s="433"/>
      <c r="J164" s="5"/>
      <c r="L164" t="s">
        <v>669</v>
      </c>
    </row>
    <row r="165" spans="1:12" ht="36">
      <c r="A165" s="5">
        <v>164</v>
      </c>
      <c r="B165" s="5" t="s">
        <v>834</v>
      </c>
      <c r="C165" s="5" t="s">
        <v>112</v>
      </c>
      <c r="D165" s="5" t="s">
        <v>665</v>
      </c>
      <c r="E165" s="5"/>
      <c r="F165" t="s">
        <v>858</v>
      </c>
      <c r="G165" s="4" t="s">
        <v>858</v>
      </c>
      <c r="H165" s="305" t="s">
        <v>873</v>
      </c>
      <c r="I165" s="433"/>
      <c r="J165" s="5"/>
      <c r="L165" t="s">
        <v>669</v>
      </c>
    </row>
    <row r="166" spans="1:12">
      <c r="A166" s="5">
        <v>165</v>
      </c>
      <c r="B166" s="5" t="s">
        <v>834</v>
      </c>
      <c r="C166" s="5" t="s">
        <v>112</v>
      </c>
      <c r="D166" s="5" t="s">
        <v>665</v>
      </c>
      <c r="E166" s="5"/>
      <c r="F166" t="s">
        <v>858</v>
      </c>
      <c r="G166" s="4" t="s">
        <v>858</v>
      </c>
      <c r="H166" s="305" t="s">
        <v>874</v>
      </c>
      <c r="I166" s="433"/>
      <c r="J166" s="5"/>
      <c r="L166" t="s">
        <v>669</v>
      </c>
    </row>
    <row r="167" spans="1:12">
      <c r="A167" s="5">
        <v>166</v>
      </c>
      <c r="B167" s="5" t="s">
        <v>834</v>
      </c>
      <c r="C167" s="5" t="s">
        <v>112</v>
      </c>
      <c r="D167" s="5" t="s">
        <v>665</v>
      </c>
      <c r="E167" s="5"/>
      <c r="F167" t="s">
        <v>858</v>
      </c>
      <c r="G167" s="4" t="s">
        <v>858</v>
      </c>
      <c r="H167" s="305" t="s">
        <v>875</v>
      </c>
      <c r="I167" s="433"/>
      <c r="J167" s="5"/>
      <c r="L167" t="s">
        <v>669</v>
      </c>
    </row>
    <row r="168" spans="1:12" ht="36">
      <c r="A168" s="5">
        <v>167</v>
      </c>
      <c r="B168" s="5" t="s">
        <v>834</v>
      </c>
      <c r="C168" s="5" t="s">
        <v>112</v>
      </c>
      <c r="D168" s="5" t="s">
        <v>665</v>
      </c>
      <c r="E168" s="5"/>
      <c r="F168" t="s">
        <v>858</v>
      </c>
      <c r="G168" s="4" t="s">
        <v>858</v>
      </c>
      <c r="H168" s="305" t="s">
        <v>876</v>
      </c>
      <c r="I168" s="433"/>
      <c r="J168" s="5"/>
      <c r="L168" t="s">
        <v>669</v>
      </c>
    </row>
    <row r="169" spans="1:12">
      <c r="A169" s="5">
        <v>168</v>
      </c>
      <c r="B169" s="5" t="s">
        <v>834</v>
      </c>
      <c r="C169" s="5" t="s">
        <v>112</v>
      </c>
      <c r="D169" s="5" t="s">
        <v>665</v>
      </c>
      <c r="E169" s="5"/>
      <c r="F169" t="s">
        <v>858</v>
      </c>
      <c r="G169" s="4" t="s">
        <v>858</v>
      </c>
      <c r="H169" s="305" t="s">
        <v>877</v>
      </c>
      <c r="I169" s="433"/>
      <c r="J169" s="5"/>
      <c r="L169" t="s">
        <v>669</v>
      </c>
    </row>
    <row r="170" spans="1:12">
      <c r="A170" s="5">
        <v>169</v>
      </c>
      <c r="B170" s="5" t="s">
        <v>834</v>
      </c>
      <c r="C170" s="5" t="s">
        <v>112</v>
      </c>
      <c r="D170" s="5" t="s">
        <v>665</v>
      </c>
      <c r="E170" s="5"/>
      <c r="F170" t="s">
        <v>858</v>
      </c>
      <c r="G170" s="4" t="s">
        <v>858</v>
      </c>
      <c r="H170" s="305" t="s">
        <v>878</v>
      </c>
      <c r="I170" s="433"/>
      <c r="J170" s="5"/>
      <c r="L170" t="s">
        <v>669</v>
      </c>
    </row>
    <row r="171" spans="1:12">
      <c r="A171" s="5">
        <v>170</v>
      </c>
      <c r="B171" s="5" t="s">
        <v>834</v>
      </c>
      <c r="C171" s="5" t="s">
        <v>112</v>
      </c>
      <c r="D171" s="5" t="s">
        <v>665</v>
      </c>
      <c r="E171" s="5"/>
      <c r="F171" t="s">
        <v>858</v>
      </c>
      <c r="G171" s="4" t="s">
        <v>858</v>
      </c>
      <c r="H171" s="305" t="s">
        <v>879</v>
      </c>
      <c r="I171" s="433"/>
      <c r="J171" s="5"/>
      <c r="L171" t="s">
        <v>669</v>
      </c>
    </row>
    <row r="172" spans="1:12">
      <c r="A172" s="5">
        <v>171</v>
      </c>
      <c r="B172" s="5" t="s">
        <v>834</v>
      </c>
      <c r="C172" s="5" t="s">
        <v>112</v>
      </c>
      <c r="D172" s="5" t="s">
        <v>665</v>
      </c>
      <c r="E172" s="5"/>
      <c r="F172" t="s">
        <v>858</v>
      </c>
      <c r="G172" s="4" t="s">
        <v>858</v>
      </c>
      <c r="H172" s="305" t="s">
        <v>880</v>
      </c>
      <c r="I172" s="433"/>
      <c r="J172" s="5"/>
      <c r="L172" t="s">
        <v>669</v>
      </c>
    </row>
    <row r="173" spans="1:12">
      <c r="A173" s="5">
        <v>172</v>
      </c>
      <c r="B173" s="5" t="s">
        <v>834</v>
      </c>
      <c r="C173" s="5" t="s">
        <v>112</v>
      </c>
      <c r="D173" s="5" t="s">
        <v>665</v>
      </c>
      <c r="E173" s="5"/>
      <c r="F173" t="s">
        <v>858</v>
      </c>
      <c r="G173" s="4" t="s">
        <v>858</v>
      </c>
      <c r="H173" s="305" t="s">
        <v>881</v>
      </c>
      <c r="I173" s="433"/>
      <c r="J173" s="5"/>
      <c r="L173" t="s">
        <v>669</v>
      </c>
    </row>
    <row r="174" spans="1:12">
      <c r="A174" s="5">
        <v>173</v>
      </c>
      <c r="B174" s="5" t="s">
        <v>834</v>
      </c>
      <c r="C174" s="5" t="s">
        <v>112</v>
      </c>
      <c r="D174" s="5" t="s">
        <v>665</v>
      </c>
      <c r="E174" s="5"/>
      <c r="F174" t="s">
        <v>858</v>
      </c>
      <c r="G174" s="4" t="s">
        <v>858</v>
      </c>
      <c r="H174" s="305" t="s">
        <v>882</v>
      </c>
      <c r="I174" s="433"/>
      <c r="J174" s="5"/>
      <c r="L174" t="s">
        <v>669</v>
      </c>
    </row>
    <row r="175" spans="1:12">
      <c r="A175" s="5">
        <v>174</v>
      </c>
      <c r="B175" s="5" t="s">
        <v>834</v>
      </c>
      <c r="C175" s="5" t="s">
        <v>112</v>
      </c>
      <c r="D175" s="5" t="s">
        <v>665</v>
      </c>
      <c r="E175" s="5"/>
      <c r="F175" t="s">
        <v>858</v>
      </c>
      <c r="G175" s="4" t="s">
        <v>858</v>
      </c>
      <c r="H175" s="305" t="s">
        <v>743</v>
      </c>
      <c r="I175" s="433"/>
      <c r="J175" s="5"/>
      <c r="L175" t="s">
        <v>669</v>
      </c>
    </row>
    <row r="176" spans="1:12">
      <c r="A176" s="5">
        <v>175</v>
      </c>
      <c r="B176" s="5" t="s">
        <v>834</v>
      </c>
      <c r="C176" s="5" t="s">
        <v>112</v>
      </c>
      <c r="D176" s="5" t="s">
        <v>665</v>
      </c>
      <c r="E176" s="5"/>
      <c r="F176" t="s">
        <v>858</v>
      </c>
      <c r="G176" s="4" t="s">
        <v>858</v>
      </c>
      <c r="H176" s="305" t="s">
        <v>883</v>
      </c>
      <c r="I176" s="433"/>
      <c r="J176" s="5"/>
      <c r="L176" t="s">
        <v>669</v>
      </c>
    </row>
    <row r="177" spans="1:12">
      <c r="A177" s="5">
        <v>176</v>
      </c>
      <c r="B177" s="5" t="s">
        <v>834</v>
      </c>
      <c r="C177" s="5" t="s">
        <v>112</v>
      </c>
      <c r="D177" s="5" t="s">
        <v>665</v>
      </c>
      <c r="E177" s="5"/>
      <c r="F177" t="s">
        <v>884</v>
      </c>
      <c r="G177" s="4" t="s">
        <v>884</v>
      </c>
      <c r="H177" s="305" t="s">
        <v>885</v>
      </c>
      <c r="I177" s="433"/>
      <c r="J177" s="5"/>
      <c r="L177" t="s">
        <v>669</v>
      </c>
    </row>
    <row r="178" spans="1:12">
      <c r="A178" s="5">
        <v>177</v>
      </c>
      <c r="B178" s="5" t="s">
        <v>834</v>
      </c>
      <c r="C178" s="5" t="s">
        <v>112</v>
      </c>
      <c r="D178" s="5" t="s">
        <v>665</v>
      </c>
      <c r="E178" s="5"/>
      <c r="F178" t="s">
        <v>884</v>
      </c>
      <c r="G178" s="4" t="s">
        <v>884</v>
      </c>
      <c r="H178" s="305" t="s">
        <v>886</v>
      </c>
      <c r="I178" s="433"/>
      <c r="J178" s="5"/>
      <c r="L178" t="s">
        <v>669</v>
      </c>
    </row>
    <row r="179" spans="1:12">
      <c r="A179" s="5">
        <v>178</v>
      </c>
      <c r="B179" s="5" t="s">
        <v>834</v>
      </c>
      <c r="C179" s="5" t="s">
        <v>112</v>
      </c>
      <c r="D179" s="5" t="s">
        <v>665</v>
      </c>
      <c r="E179" s="5"/>
      <c r="F179" t="s">
        <v>884</v>
      </c>
      <c r="G179" s="4" t="s">
        <v>884</v>
      </c>
      <c r="H179" s="305" t="s">
        <v>887</v>
      </c>
      <c r="I179" s="433"/>
      <c r="J179" s="5"/>
      <c r="L179" t="s">
        <v>669</v>
      </c>
    </row>
    <row r="180" spans="1:12" ht="36">
      <c r="A180" s="5">
        <v>179</v>
      </c>
      <c r="B180" s="5" t="s">
        <v>834</v>
      </c>
      <c r="C180" s="5" t="s">
        <v>112</v>
      </c>
      <c r="D180" s="5" t="s">
        <v>665</v>
      </c>
      <c r="E180" s="5"/>
      <c r="F180" t="s">
        <v>888</v>
      </c>
      <c r="G180" s="4" t="s">
        <v>888</v>
      </c>
      <c r="H180" s="305" t="s">
        <v>889</v>
      </c>
      <c r="I180" s="433"/>
      <c r="J180" s="5"/>
      <c r="L180" t="s">
        <v>669</v>
      </c>
    </row>
    <row r="181" spans="1:12">
      <c r="A181" s="5">
        <v>180</v>
      </c>
      <c r="B181" s="5" t="s">
        <v>834</v>
      </c>
      <c r="C181" s="5" t="s">
        <v>112</v>
      </c>
      <c r="D181" s="5" t="s">
        <v>665</v>
      </c>
      <c r="E181" s="5"/>
      <c r="F181" t="s">
        <v>890</v>
      </c>
      <c r="G181" s="4" t="s">
        <v>890</v>
      </c>
      <c r="H181" s="305" t="s">
        <v>859</v>
      </c>
      <c r="I181" s="433"/>
      <c r="J181" s="5"/>
      <c r="L181" t="s">
        <v>669</v>
      </c>
    </row>
    <row r="182" spans="1:12">
      <c r="A182" s="5">
        <v>181</v>
      </c>
      <c r="B182" s="5" t="s">
        <v>834</v>
      </c>
      <c r="C182" s="5" t="s">
        <v>112</v>
      </c>
      <c r="D182" s="5" t="s">
        <v>665</v>
      </c>
      <c r="E182" s="5"/>
      <c r="F182" t="s">
        <v>891</v>
      </c>
      <c r="G182" s="4" t="s">
        <v>891</v>
      </c>
      <c r="H182" s="305" t="s">
        <v>892</v>
      </c>
      <c r="I182" s="433"/>
      <c r="J182" s="5"/>
      <c r="L182" t="s">
        <v>669</v>
      </c>
    </row>
    <row r="183" spans="1:12">
      <c r="A183" s="5">
        <v>182</v>
      </c>
      <c r="B183" s="5" t="s">
        <v>834</v>
      </c>
      <c r="C183" s="5" t="s">
        <v>112</v>
      </c>
      <c r="D183" s="5" t="s">
        <v>665</v>
      </c>
      <c r="E183" s="5"/>
      <c r="F183" t="s">
        <v>893</v>
      </c>
      <c r="G183" s="4" t="s">
        <v>893</v>
      </c>
      <c r="H183" s="305" t="s">
        <v>894</v>
      </c>
      <c r="I183" s="433"/>
      <c r="J183" s="5"/>
      <c r="L183" t="s">
        <v>669</v>
      </c>
    </row>
    <row r="184" spans="1:12">
      <c r="A184" s="5">
        <v>183</v>
      </c>
      <c r="B184" s="5" t="s">
        <v>834</v>
      </c>
      <c r="C184" s="5" t="s">
        <v>112</v>
      </c>
      <c r="D184" s="5" t="s">
        <v>665</v>
      </c>
      <c r="E184" s="5"/>
      <c r="F184" t="s">
        <v>893</v>
      </c>
      <c r="G184" s="4" t="s">
        <v>893</v>
      </c>
      <c r="H184" s="305" t="s">
        <v>895</v>
      </c>
      <c r="I184" s="433"/>
      <c r="J184" s="5"/>
      <c r="L184" t="s">
        <v>669</v>
      </c>
    </row>
    <row r="185" spans="1:12">
      <c r="A185" s="5">
        <v>184</v>
      </c>
      <c r="B185" s="5" t="s">
        <v>834</v>
      </c>
      <c r="C185" s="5" t="s">
        <v>112</v>
      </c>
      <c r="D185" s="5" t="s">
        <v>665</v>
      </c>
      <c r="E185" s="5"/>
      <c r="F185" t="s">
        <v>893</v>
      </c>
      <c r="G185" s="4" t="s">
        <v>893</v>
      </c>
      <c r="H185" s="305" t="s">
        <v>896</v>
      </c>
      <c r="I185" s="433"/>
      <c r="J185" s="5"/>
      <c r="L185" t="s">
        <v>669</v>
      </c>
    </row>
    <row r="186" spans="1:12">
      <c r="A186" s="5">
        <v>185</v>
      </c>
      <c r="B186" s="5" t="s">
        <v>834</v>
      </c>
      <c r="C186" s="5" t="s">
        <v>112</v>
      </c>
      <c r="D186" s="5" t="s">
        <v>665</v>
      </c>
      <c r="E186" s="5"/>
      <c r="F186" t="s">
        <v>893</v>
      </c>
      <c r="G186" s="4" t="s">
        <v>893</v>
      </c>
      <c r="H186" s="305" t="s">
        <v>897</v>
      </c>
      <c r="I186" s="433"/>
      <c r="J186" s="5"/>
      <c r="L186" t="s">
        <v>669</v>
      </c>
    </row>
    <row r="187" spans="1:12">
      <c r="A187" s="5">
        <v>186</v>
      </c>
      <c r="B187" s="5" t="s">
        <v>834</v>
      </c>
      <c r="C187" s="5" t="s">
        <v>112</v>
      </c>
      <c r="D187" s="5" t="s">
        <v>665</v>
      </c>
      <c r="E187" s="5"/>
      <c r="F187" t="s">
        <v>893</v>
      </c>
      <c r="G187" s="4" t="s">
        <v>893</v>
      </c>
      <c r="H187" s="305" t="s">
        <v>898</v>
      </c>
      <c r="I187" s="433"/>
      <c r="J187" s="5"/>
      <c r="L187" t="s">
        <v>669</v>
      </c>
    </row>
    <row r="188" spans="1:12">
      <c r="A188" s="5">
        <v>187</v>
      </c>
      <c r="B188" s="5" t="s">
        <v>834</v>
      </c>
      <c r="C188" s="5" t="s">
        <v>112</v>
      </c>
      <c r="D188" s="5" t="s">
        <v>665</v>
      </c>
      <c r="E188" s="5"/>
      <c r="F188" t="s">
        <v>893</v>
      </c>
      <c r="G188" s="4" t="s">
        <v>893</v>
      </c>
      <c r="H188" s="305" t="s">
        <v>899</v>
      </c>
      <c r="I188" s="433"/>
      <c r="J188" s="5"/>
      <c r="L188" t="s">
        <v>669</v>
      </c>
    </row>
    <row r="189" spans="1:12">
      <c r="A189" s="5">
        <v>188</v>
      </c>
      <c r="B189" s="5" t="s">
        <v>834</v>
      </c>
      <c r="C189" s="5" t="s">
        <v>112</v>
      </c>
      <c r="D189" s="5" t="s">
        <v>665</v>
      </c>
      <c r="E189" s="5"/>
      <c r="F189" t="s">
        <v>893</v>
      </c>
      <c r="G189" s="4" t="s">
        <v>893</v>
      </c>
      <c r="H189" s="305" t="s">
        <v>900</v>
      </c>
      <c r="I189" s="433"/>
      <c r="J189" s="5"/>
      <c r="L189" t="s">
        <v>669</v>
      </c>
    </row>
    <row r="190" spans="1:12">
      <c r="A190" s="5">
        <v>189</v>
      </c>
      <c r="B190" s="5" t="s">
        <v>834</v>
      </c>
      <c r="C190" s="5" t="s">
        <v>112</v>
      </c>
      <c r="D190" s="5" t="s">
        <v>665</v>
      </c>
      <c r="E190" s="5"/>
      <c r="F190" t="s">
        <v>893</v>
      </c>
      <c r="G190" s="4" t="s">
        <v>893</v>
      </c>
      <c r="H190" s="305" t="s">
        <v>901</v>
      </c>
      <c r="I190" s="433"/>
      <c r="J190" s="5"/>
      <c r="L190" t="s">
        <v>669</v>
      </c>
    </row>
    <row r="191" spans="1:12">
      <c r="A191" s="5">
        <v>190</v>
      </c>
      <c r="B191" s="5" t="s">
        <v>834</v>
      </c>
      <c r="C191" s="5" t="s">
        <v>112</v>
      </c>
      <c r="D191" s="5" t="s">
        <v>665</v>
      </c>
      <c r="E191" s="5"/>
      <c r="F191" t="s">
        <v>893</v>
      </c>
      <c r="G191" s="4" t="s">
        <v>893</v>
      </c>
      <c r="H191" s="305" t="s">
        <v>902</v>
      </c>
      <c r="I191" s="433"/>
      <c r="J191" s="5"/>
      <c r="L191" t="s">
        <v>669</v>
      </c>
    </row>
    <row r="192" spans="1:12">
      <c r="A192" s="5">
        <v>191</v>
      </c>
      <c r="B192" s="5" t="s">
        <v>834</v>
      </c>
      <c r="C192" s="5" t="s">
        <v>112</v>
      </c>
      <c r="D192" s="5" t="s">
        <v>665</v>
      </c>
      <c r="E192" s="5"/>
      <c r="F192" t="s">
        <v>893</v>
      </c>
      <c r="G192" s="4" t="s">
        <v>893</v>
      </c>
      <c r="H192" s="305" t="s">
        <v>903</v>
      </c>
      <c r="I192" s="433"/>
      <c r="J192" s="5"/>
      <c r="L192" t="s">
        <v>669</v>
      </c>
    </row>
    <row r="193" spans="1:14">
      <c r="A193" s="5">
        <v>192</v>
      </c>
      <c r="B193" s="5" t="s">
        <v>834</v>
      </c>
      <c r="C193" s="5" t="s">
        <v>112</v>
      </c>
      <c r="D193" s="5" t="s">
        <v>665</v>
      </c>
      <c r="E193" s="5"/>
      <c r="F193" t="s">
        <v>893</v>
      </c>
      <c r="G193" s="4" t="s">
        <v>893</v>
      </c>
      <c r="H193" s="305" t="s">
        <v>904</v>
      </c>
      <c r="I193" s="433"/>
      <c r="J193" s="5"/>
      <c r="L193" t="s">
        <v>669</v>
      </c>
    </row>
    <row r="194" spans="1:14">
      <c r="A194" s="5">
        <v>193</v>
      </c>
      <c r="B194" s="5" t="s">
        <v>834</v>
      </c>
      <c r="C194" s="5" t="s">
        <v>112</v>
      </c>
      <c r="D194" s="5" t="s">
        <v>665</v>
      </c>
      <c r="E194" s="5"/>
      <c r="F194" t="s">
        <v>905</v>
      </c>
      <c r="G194" s="4" t="s">
        <v>905</v>
      </c>
      <c r="H194" s="305" t="s">
        <v>906</v>
      </c>
      <c r="I194" s="433"/>
      <c r="J194" s="5"/>
      <c r="L194" t="s">
        <v>669</v>
      </c>
    </row>
    <row r="195" spans="1:14">
      <c r="A195" s="5">
        <v>194</v>
      </c>
      <c r="B195" s="5" t="s">
        <v>834</v>
      </c>
      <c r="C195" s="5" t="s">
        <v>112</v>
      </c>
      <c r="D195" s="5" t="s">
        <v>665</v>
      </c>
      <c r="E195" s="5"/>
      <c r="F195" t="s">
        <v>907</v>
      </c>
      <c r="G195" s="4" t="s">
        <v>907</v>
      </c>
      <c r="H195" s="305" t="s">
        <v>908</v>
      </c>
      <c r="I195" s="433"/>
      <c r="J195" s="5"/>
      <c r="L195" t="s">
        <v>669</v>
      </c>
    </row>
    <row r="196" spans="1:14" ht="36">
      <c r="A196" s="5">
        <v>195</v>
      </c>
      <c r="B196" s="5" t="s">
        <v>96</v>
      </c>
      <c r="C196" s="5" t="s">
        <v>835</v>
      </c>
      <c r="D196" s="5" t="s">
        <v>909</v>
      </c>
      <c r="E196" s="5"/>
      <c r="F196" t="s">
        <v>910</v>
      </c>
      <c r="G196" s="4" t="s">
        <v>910</v>
      </c>
      <c r="H196" s="305" t="s">
        <v>911</v>
      </c>
      <c r="I196" s="433"/>
      <c r="J196" s="5"/>
      <c r="L196" t="s">
        <v>669</v>
      </c>
    </row>
    <row r="197" spans="1:14" ht="36">
      <c r="A197" s="5">
        <v>196</v>
      </c>
      <c r="B197" s="5" t="s">
        <v>96</v>
      </c>
      <c r="C197" s="5" t="s">
        <v>835</v>
      </c>
      <c r="D197" s="5" t="s">
        <v>909</v>
      </c>
      <c r="E197" s="5"/>
      <c r="F197" t="s">
        <v>912</v>
      </c>
      <c r="G197" s="4" t="s">
        <v>912</v>
      </c>
      <c r="H197" s="305"/>
      <c r="I197" s="433"/>
      <c r="J197" s="5"/>
      <c r="L197" t="s">
        <v>669</v>
      </c>
    </row>
    <row r="198" spans="1:14" ht="36">
      <c r="A198" s="5">
        <v>197</v>
      </c>
      <c r="B198" s="5" t="s">
        <v>834</v>
      </c>
      <c r="C198" s="5" t="s">
        <v>112</v>
      </c>
      <c r="D198" s="5" t="s">
        <v>913</v>
      </c>
      <c r="E198" s="5"/>
      <c r="G198" s="4" t="s">
        <v>914</v>
      </c>
      <c r="H198" s="306" t="s">
        <v>915</v>
      </c>
      <c r="I198" s="436"/>
      <c r="J198" s="4"/>
      <c r="L198" t="s">
        <v>669</v>
      </c>
    </row>
    <row r="199" spans="1:14">
      <c r="A199" s="5">
        <v>198</v>
      </c>
      <c r="B199" s="5" t="s">
        <v>834</v>
      </c>
      <c r="C199" s="5" t="s">
        <v>112</v>
      </c>
      <c r="D199" s="5" t="s">
        <v>913</v>
      </c>
      <c r="E199" s="5"/>
      <c r="G199" s="4" t="s">
        <v>916</v>
      </c>
      <c r="H199" s="306" t="s">
        <v>917</v>
      </c>
      <c r="L199" t="s">
        <v>669</v>
      </c>
    </row>
    <row r="200" spans="1:14" ht="36">
      <c r="A200" s="5">
        <v>199</v>
      </c>
      <c r="B200" s="5" t="s">
        <v>96</v>
      </c>
      <c r="C200" s="5" t="s">
        <v>112</v>
      </c>
      <c r="D200" s="5" t="s">
        <v>918</v>
      </c>
      <c r="E200" s="5"/>
      <c r="G200" s="4" t="s">
        <v>919</v>
      </c>
      <c r="H200" s="306" t="s">
        <v>920</v>
      </c>
      <c r="L200" t="s">
        <v>669</v>
      </c>
    </row>
    <row r="201" spans="1:14">
      <c r="A201" s="5">
        <v>200</v>
      </c>
      <c r="B201" s="5" t="s">
        <v>834</v>
      </c>
      <c r="C201" s="5" t="s">
        <v>112</v>
      </c>
      <c r="D201" s="5" t="s">
        <v>665</v>
      </c>
      <c r="E201" s="5"/>
      <c r="G201" s="4" t="s">
        <v>850</v>
      </c>
      <c r="H201" s="306" t="s">
        <v>851</v>
      </c>
      <c r="L201" t="s">
        <v>669</v>
      </c>
    </row>
    <row r="202" spans="1:14">
      <c r="A202" s="5">
        <v>201</v>
      </c>
      <c r="B202" s="5" t="s">
        <v>834</v>
      </c>
      <c r="C202" s="5" t="s">
        <v>112</v>
      </c>
      <c r="D202" s="5" t="s">
        <v>665</v>
      </c>
      <c r="E202" s="5"/>
      <c r="G202" s="4" t="s">
        <v>852</v>
      </c>
      <c r="H202" s="306" t="s">
        <v>853</v>
      </c>
      <c r="L202" t="s">
        <v>669</v>
      </c>
    </row>
    <row r="203" spans="1:14">
      <c r="A203" s="5">
        <v>202</v>
      </c>
      <c r="B203" s="5" t="s">
        <v>834</v>
      </c>
      <c r="C203" s="5" t="s">
        <v>112</v>
      </c>
      <c r="D203" s="5" t="s">
        <v>665</v>
      </c>
      <c r="E203" s="5"/>
      <c r="G203" s="4" t="s">
        <v>854</v>
      </c>
      <c r="H203" s="306" t="s">
        <v>855</v>
      </c>
      <c r="I203" s="436"/>
      <c r="J203" s="4"/>
      <c r="L203" t="s">
        <v>669</v>
      </c>
    </row>
    <row r="204" spans="1:14">
      <c r="A204" s="5">
        <v>203</v>
      </c>
      <c r="B204" s="5" t="s">
        <v>834</v>
      </c>
      <c r="C204" s="5" t="s">
        <v>112</v>
      </c>
      <c r="D204" s="5" t="s">
        <v>665</v>
      </c>
      <c r="E204" s="5"/>
      <c r="G204" s="4" t="s">
        <v>856</v>
      </c>
      <c r="H204" s="306" t="s">
        <v>110</v>
      </c>
      <c r="L204" t="s">
        <v>669</v>
      </c>
    </row>
    <row r="205" spans="1:14">
      <c r="A205" s="5">
        <v>204</v>
      </c>
      <c r="B205" s="5" t="s">
        <v>834</v>
      </c>
      <c r="C205" s="5" t="s">
        <v>112</v>
      </c>
      <c r="D205" s="5" t="s">
        <v>665</v>
      </c>
      <c r="E205" s="5"/>
      <c r="G205" s="4" t="s">
        <v>858</v>
      </c>
      <c r="H205" s="306" t="s">
        <v>921</v>
      </c>
      <c r="L205" t="s">
        <v>669</v>
      </c>
    </row>
    <row r="206" spans="1:14">
      <c r="A206" s="5">
        <v>205</v>
      </c>
      <c r="B206" s="5" t="s">
        <v>834</v>
      </c>
      <c r="C206" s="5" t="s">
        <v>112</v>
      </c>
      <c r="D206" s="5" t="s">
        <v>665</v>
      </c>
      <c r="E206" s="5"/>
      <c r="G206" s="4" t="s">
        <v>858</v>
      </c>
      <c r="H206" s="306" t="s">
        <v>922</v>
      </c>
      <c r="L206" t="s">
        <v>669</v>
      </c>
    </row>
    <row r="207" spans="1:14" ht="36">
      <c r="A207" s="5">
        <v>206</v>
      </c>
      <c r="B207" s="5" t="s">
        <v>834</v>
      </c>
      <c r="C207" s="5" t="s">
        <v>112</v>
      </c>
      <c r="D207" s="5" t="s">
        <v>665</v>
      </c>
      <c r="E207" s="5"/>
      <c r="G207" s="4" t="s">
        <v>858</v>
      </c>
      <c r="H207" s="306" t="s">
        <v>923</v>
      </c>
      <c r="L207" t="s">
        <v>669</v>
      </c>
    </row>
    <row r="208" spans="1:14">
      <c r="A208" s="5">
        <v>207</v>
      </c>
      <c r="B208" s="5" t="s">
        <v>834</v>
      </c>
      <c r="C208" s="5" t="s">
        <v>112</v>
      </c>
      <c r="D208" s="5" t="s">
        <v>665</v>
      </c>
      <c r="E208" s="5"/>
      <c r="G208" s="4" t="s">
        <v>858</v>
      </c>
      <c r="H208" s="306" t="s">
        <v>924</v>
      </c>
      <c r="L208" t="s">
        <v>669</v>
      </c>
      <c r="N208" t="s">
        <v>925</v>
      </c>
    </row>
    <row r="209" spans="1:14" ht="36">
      <c r="A209" s="5">
        <v>208</v>
      </c>
      <c r="B209" s="5" t="s">
        <v>834</v>
      </c>
      <c r="C209" s="5" t="s">
        <v>112</v>
      </c>
      <c r="D209" s="5" t="s">
        <v>665</v>
      </c>
      <c r="E209" s="5"/>
      <c r="G209" s="4" t="s">
        <v>858</v>
      </c>
      <c r="H209" s="306" t="s">
        <v>926</v>
      </c>
      <c r="L209" t="s">
        <v>669</v>
      </c>
      <c r="N209" t="s">
        <v>925</v>
      </c>
    </row>
    <row r="210" spans="1:14" ht="36">
      <c r="A210" s="5">
        <v>209</v>
      </c>
      <c r="B210" s="5" t="s">
        <v>834</v>
      </c>
      <c r="C210" s="5" t="s">
        <v>112</v>
      </c>
      <c r="D210" s="5" t="s">
        <v>665</v>
      </c>
      <c r="E210" s="5"/>
      <c r="G210" s="4" t="s">
        <v>858</v>
      </c>
      <c r="H210" s="306" t="s">
        <v>927</v>
      </c>
      <c r="L210" t="s">
        <v>669</v>
      </c>
    </row>
    <row r="211" spans="1:14" ht="36">
      <c r="A211" s="5">
        <v>210</v>
      </c>
      <c r="B211" s="5" t="s">
        <v>834</v>
      </c>
      <c r="C211" s="5" t="s">
        <v>112</v>
      </c>
      <c r="D211" s="5" t="s">
        <v>665</v>
      </c>
      <c r="E211" s="5"/>
      <c r="G211" s="4" t="s">
        <v>858</v>
      </c>
      <c r="H211" s="306" t="s">
        <v>928</v>
      </c>
      <c r="L211" t="s">
        <v>669</v>
      </c>
    </row>
    <row r="212" spans="1:14">
      <c r="A212" s="5">
        <v>211</v>
      </c>
      <c r="B212" s="5" t="s">
        <v>834</v>
      </c>
      <c r="C212" s="5" t="s">
        <v>112</v>
      </c>
      <c r="D212" s="5" t="s">
        <v>665</v>
      </c>
      <c r="E212" s="5"/>
      <c r="G212" s="4" t="s">
        <v>858</v>
      </c>
      <c r="H212" s="306" t="s">
        <v>929</v>
      </c>
      <c r="L212" t="s">
        <v>669</v>
      </c>
    </row>
    <row r="213" spans="1:14">
      <c r="A213" s="5">
        <v>212</v>
      </c>
      <c r="B213" s="5" t="s">
        <v>834</v>
      </c>
      <c r="C213" s="5" t="s">
        <v>112</v>
      </c>
      <c r="D213" s="5" t="s">
        <v>665</v>
      </c>
      <c r="E213" s="5"/>
      <c r="G213" s="4" t="s">
        <v>858</v>
      </c>
      <c r="H213" s="306" t="s">
        <v>930</v>
      </c>
      <c r="L213" t="s">
        <v>669</v>
      </c>
    </row>
    <row r="214" spans="1:14">
      <c r="A214" s="5">
        <v>213</v>
      </c>
      <c r="B214" s="5" t="s">
        <v>834</v>
      </c>
      <c r="C214" s="5" t="s">
        <v>112</v>
      </c>
      <c r="D214" s="5" t="s">
        <v>665</v>
      </c>
      <c r="E214" s="5"/>
      <c r="G214" s="4" t="s">
        <v>858</v>
      </c>
      <c r="H214" s="306" t="s">
        <v>931</v>
      </c>
      <c r="L214" t="s">
        <v>669</v>
      </c>
    </row>
    <row r="215" spans="1:14">
      <c r="A215" s="5">
        <v>214</v>
      </c>
      <c r="B215" s="5" t="s">
        <v>834</v>
      </c>
      <c r="C215" s="5" t="s">
        <v>112</v>
      </c>
      <c r="D215" s="5" t="s">
        <v>665</v>
      </c>
      <c r="E215" s="5"/>
      <c r="G215" s="4" t="s">
        <v>858</v>
      </c>
      <c r="H215" s="306" t="s">
        <v>932</v>
      </c>
      <c r="L215" t="s">
        <v>669</v>
      </c>
    </row>
    <row r="216" spans="1:14">
      <c r="A216" s="5">
        <v>215</v>
      </c>
      <c r="B216" s="5" t="s">
        <v>834</v>
      </c>
      <c r="C216" s="5" t="s">
        <v>112</v>
      </c>
      <c r="D216" s="5" t="s">
        <v>665</v>
      </c>
      <c r="E216" s="5"/>
      <c r="G216" s="4" t="s">
        <v>858</v>
      </c>
      <c r="H216" s="306" t="s">
        <v>933</v>
      </c>
      <c r="L216" t="s">
        <v>669</v>
      </c>
    </row>
    <row r="217" spans="1:14">
      <c r="A217" s="5">
        <v>216</v>
      </c>
      <c r="B217" s="5" t="s">
        <v>834</v>
      </c>
      <c r="C217" s="5" t="s">
        <v>112</v>
      </c>
      <c r="D217" s="5" t="s">
        <v>665</v>
      </c>
      <c r="E217" s="5"/>
      <c r="G217" s="4" t="s">
        <v>858</v>
      </c>
      <c r="H217" s="306" t="s">
        <v>934</v>
      </c>
      <c r="L217" t="s">
        <v>669</v>
      </c>
    </row>
    <row r="218" spans="1:14">
      <c r="A218" s="5">
        <v>217</v>
      </c>
      <c r="B218" s="5" t="s">
        <v>834</v>
      </c>
      <c r="C218" s="5" t="s">
        <v>112</v>
      </c>
      <c r="D218" s="5" t="s">
        <v>665</v>
      </c>
      <c r="E218" s="5"/>
      <c r="G218" s="4" t="s">
        <v>858</v>
      </c>
      <c r="H218" s="306" t="s">
        <v>935</v>
      </c>
      <c r="L218" t="s">
        <v>669</v>
      </c>
    </row>
    <row r="219" spans="1:14" ht="36">
      <c r="A219" s="5">
        <v>218</v>
      </c>
      <c r="B219" s="5" t="s">
        <v>834</v>
      </c>
      <c r="C219" s="5" t="s">
        <v>112</v>
      </c>
      <c r="D219" s="5" t="s">
        <v>665</v>
      </c>
      <c r="E219" s="5"/>
      <c r="G219" s="4" t="s">
        <v>858</v>
      </c>
      <c r="H219" s="306" t="s">
        <v>936</v>
      </c>
      <c r="L219" t="s">
        <v>669</v>
      </c>
    </row>
    <row r="220" spans="1:14">
      <c r="A220" s="5">
        <v>219</v>
      </c>
      <c r="B220" s="5" t="s">
        <v>834</v>
      </c>
      <c r="C220" s="5" t="s">
        <v>112</v>
      </c>
      <c r="D220" s="5" t="s">
        <v>665</v>
      </c>
      <c r="E220" s="5"/>
      <c r="G220" s="4" t="s">
        <v>858</v>
      </c>
      <c r="H220" s="306" t="s">
        <v>937</v>
      </c>
      <c r="L220" t="s">
        <v>669</v>
      </c>
    </row>
    <row r="221" spans="1:14">
      <c r="A221" s="5">
        <v>220</v>
      </c>
      <c r="B221" s="5" t="s">
        <v>834</v>
      </c>
      <c r="C221" s="5" t="s">
        <v>112</v>
      </c>
      <c r="D221" s="5" t="s">
        <v>665</v>
      </c>
      <c r="E221" s="5"/>
      <c r="G221" s="4" t="s">
        <v>858</v>
      </c>
      <c r="H221" s="306" t="s">
        <v>938</v>
      </c>
      <c r="L221" t="s">
        <v>669</v>
      </c>
    </row>
    <row r="222" spans="1:14" ht="36">
      <c r="A222" s="5">
        <v>221</v>
      </c>
      <c r="B222" s="5" t="s">
        <v>834</v>
      </c>
      <c r="C222" s="5" t="s">
        <v>112</v>
      </c>
      <c r="D222" s="5" t="s">
        <v>665</v>
      </c>
      <c r="E222" s="5"/>
      <c r="G222" s="4" t="s">
        <v>858</v>
      </c>
      <c r="H222" s="306" t="s">
        <v>939</v>
      </c>
      <c r="L222" t="s">
        <v>669</v>
      </c>
    </row>
    <row r="223" spans="1:14" ht="36">
      <c r="A223" s="5">
        <v>222</v>
      </c>
      <c r="B223" s="5" t="s">
        <v>834</v>
      </c>
      <c r="C223" s="5" t="s">
        <v>112</v>
      </c>
      <c r="D223" s="5" t="s">
        <v>665</v>
      </c>
      <c r="E223" s="5"/>
      <c r="G223" s="4" t="s">
        <v>858</v>
      </c>
      <c r="H223" s="306" t="s">
        <v>940</v>
      </c>
      <c r="L223" t="s">
        <v>669</v>
      </c>
    </row>
    <row r="224" spans="1:14">
      <c r="A224" s="5">
        <v>223</v>
      </c>
      <c r="B224" s="5" t="s">
        <v>834</v>
      </c>
      <c r="C224" s="5" t="s">
        <v>112</v>
      </c>
      <c r="D224" s="5" t="s">
        <v>665</v>
      </c>
      <c r="E224" s="5"/>
      <c r="G224" s="4" t="s">
        <v>858</v>
      </c>
      <c r="H224" s="306" t="s">
        <v>941</v>
      </c>
      <c r="L224" t="s">
        <v>669</v>
      </c>
    </row>
    <row r="225" spans="1:12">
      <c r="A225" s="5">
        <v>224</v>
      </c>
      <c r="B225" s="5" t="s">
        <v>834</v>
      </c>
      <c r="C225" s="5" t="s">
        <v>112</v>
      </c>
      <c r="D225" s="5" t="s">
        <v>665</v>
      </c>
      <c r="E225" s="5"/>
      <c r="G225" s="4" t="s">
        <v>858</v>
      </c>
      <c r="H225" s="306" t="s">
        <v>942</v>
      </c>
      <c r="L225" t="s">
        <v>669</v>
      </c>
    </row>
    <row r="226" spans="1:12">
      <c r="A226" s="5">
        <v>225</v>
      </c>
      <c r="B226" s="5" t="s">
        <v>834</v>
      </c>
      <c r="C226" s="5" t="s">
        <v>112</v>
      </c>
      <c r="D226" s="5" t="s">
        <v>665</v>
      </c>
      <c r="E226" s="5"/>
      <c r="G226" s="4" t="s">
        <v>858</v>
      </c>
      <c r="H226" s="306" t="s">
        <v>943</v>
      </c>
      <c r="L226" t="s">
        <v>669</v>
      </c>
    </row>
    <row r="227" spans="1:12">
      <c r="A227" s="5">
        <v>226</v>
      </c>
      <c r="B227" s="5" t="s">
        <v>834</v>
      </c>
      <c r="C227" s="5" t="s">
        <v>112</v>
      </c>
      <c r="D227" s="5" t="s">
        <v>665</v>
      </c>
      <c r="E227" s="5"/>
      <c r="G227" s="4" t="s">
        <v>858</v>
      </c>
      <c r="H227" s="306" t="s">
        <v>944</v>
      </c>
      <c r="L227" t="s">
        <v>669</v>
      </c>
    </row>
    <row r="228" spans="1:12">
      <c r="A228" s="5">
        <v>227</v>
      </c>
      <c r="B228" s="5" t="s">
        <v>834</v>
      </c>
      <c r="C228" s="5" t="s">
        <v>112</v>
      </c>
      <c r="D228" s="5" t="s">
        <v>665</v>
      </c>
      <c r="E228" s="5"/>
      <c r="G228" s="4" t="s">
        <v>858</v>
      </c>
      <c r="H228" s="306" t="s">
        <v>945</v>
      </c>
      <c r="L228" t="s">
        <v>669</v>
      </c>
    </row>
    <row r="229" spans="1:12">
      <c r="A229" s="5">
        <v>228</v>
      </c>
      <c r="B229" s="5" t="s">
        <v>834</v>
      </c>
      <c r="C229" s="5" t="s">
        <v>112</v>
      </c>
      <c r="D229" s="5" t="s">
        <v>665</v>
      </c>
      <c r="E229" s="5"/>
      <c r="G229" s="4" t="s">
        <v>858</v>
      </c>
      <c r="H229" s="306" t="s">
        <v>946</v>
      </c>
      <c r="L229" t="s">
        <v>669</v>
      </c>
    </row>
    <row r="230" spans="1:12">
      <c r="A230" s="5">
        <v>229</v>
      </c>
      <c r="B230" s="5" t="s">
        <v>834</v>
      </c>
      <c r="C230" s="5" t="s">
        <v>112</v>
      </c>
      <c r="D230" s="5" t="s">
        <v>665</v>
      </c>
      <c r="E230" s="5"/>
      <c r="G230" s="4" t="s">
        <v>858</v>
      </c>
      <c r="H230" s="306" t="s">
        <v>947</v>
      </c>
      <c r="L230" t="s">
        <v>669</v>
      </c>
    </row>
    <row r="231" spans="1:12">
      <c r="A231" s="5">
        <v>230</v>
      </c>
      <c r="B231" s="5" t="s">
        <v>834</v>
      </c>
      <c r="C231" s="5" t="s">
        <v>112</v>
      </c>
      <c r="D231" s="5" t="s">
        <v>665</v>
      </c>
      <c r="E231" s="5"/>
      <c r="G231" s="4" t="s">
        <v>858</v>
      </c>
      <c r="H231" s="306" t="s">
        <v>948</v>
      </c>
      <c r="L231" t="s">
        <v>669</v>
      </c>
    </row>
    <row r="232" spans="1:12" ht="36">
      <c r="A232" s="5">
        <v>231</v>
      </c>
      <c r="B232" s="5" t="s">
        <v>664</v>
      </c>
      <c r="C232" s="5" t="s">
        <v>112</v>
      </c>
      <c r="D232" s="5" t="s">
        <v>739</v>
      </c>
      <c r="E232" s="5"/>
      <c r="G232" s="6" t="s">
        <v>949</v>
      </c>
      <c r="H232" s="311" t="s">
        <v>950</v>
      </c>
      <c r="I232" s="435"/>
      <c r="J232" s="9"/>
      <c r="L232" t="s">
        <v>669</v>
      </c>
    </row>
    <row r="233" spans="1:12" ht="36">
      <c r="A233" s="5">
        <v>232</v>
      </c>
      <c r="B233" s="5" t="s">
        <v>96</v>
      </c>
      <c r="C233" s="5" t="s">
        <v>112</v>
      </c>
      <c r="D233" s="5" t="s">
        <v>739</v>
      </c>
      <c r="E233" s="5"/>
      <c r="G233" s="4" t="s">
        <v>951</v>
      </c>
      <c r="H233" s="306" t="s">
        <v>952</v>
      </c>
      <c r="L233" t="s">
        <v>669</v>
      </c>
    </row>
    <row r="234" spans="1:12">
      <c r="A234" s="5">
        <v>233</v>
      </c>
      <c r="B234" s="5" t="s">
        <v>96</v>
      </c>
      <c r="C234" s="5" t="s">
        <v>112</v>
      </c>
      <c r="D234" s="5" t="s">
        <v>739</v>
      </c>
      <c r="E234" s="5"/>
      <c r="G234" s="4" t="s">
        <v>953</v>
      </c>
      <c r="H234" s="305" t="s">
        <v>954</v>
      </c>
      <c r="I234" s="433"/>
      <c r="J234" s="5"/>
      <c r="L234" t="s">
        <v>669</v>
      </c>
    </row>
    <row r="235" spans="1:12">
      <c r="A235" s="5">
        <v>234</v>
      </c>
      <c r="B235" s="5" t="s">
        <v>834</v>
      </c>
      <c r="C235" s="5" t="s">
        <v>112</v>
      </c>
      <c r="D235" s="5" t="s">
        <v>739</v>
      </c>
      <c r="E235" s="5"/>
      <c r="G235" s="270" t="s">
        <v>955</v>
      </c>
      <c r="H235" s="305" t="s">
        <v>956</v>
      </c>
      <c r="I235" s="433"/>
      <c r="J235" s="5"/>
      <c r="L235" t="s">
        <v>669</v>
      </c>
    </row>
    <row r="236" spans="1:12">
      <c r="A236" s="5">
        <v>235</v>
      </c>
      <c r="B236" s="5" t="s">
        <v>834</v>
      </c>
      <c r="C236" s="5" t="s">
        <v>112</v>
      </c>
      <c r="D236" s="5" t="s">
        <v>739</v>
      </c>
      <c r="E236" s="5"/>
      <c r="G236" s="270" t="s">
        <v>955</v>
      </c>
      <c r="H236" s="305" t="s">
        <v>957</v>
      </c>
      <c r="I236" s="433"/>
      <c r="J236" s="5"/>
      <c r="L236" t="s">
        <v>669</v>
      </c>
    </row>
    <row r="237" spans="1:12">
      <c r="A237" s="5">
        <v>236</v>
      </c>
      <c r="B237" s="5" t="s">
        <v>834</v>
      </c>
      <c r="C237" s="5" t="s">
        <v>112</v>
      </c>
      <c r="D237" s="5" t="s">
        <v>739</v>
      </c>
      <c r="E237" s="5"/>
      <c r="G237" s="270" t="s">
        <v>955</v>
      </c>
      <c r="H237" s="305" t="s">
        <v>958</v>
      </c>
      <c r="I237" s="433"/>
      <c r="J237" s="5"/>
      <c r="L237" t="s">
        <v>669</v>
      </c>
    </row>
    <row r="238" spans="1:12">
      <c r="A238" s="5">
        <v>237</v>
      </c>
      <c r="B238" s="5" t="s">
        <v>834</v>
      </c>
      <c r="C238" s="5" t="s">
        <v>112</v>
      </c>
      <c r="D238" s="5" t="s">
        <v>739</v>
      </c>
      <c r="E238" s="5"/>
      <c r="G238" s="270" t="s">
        <v>955</v>
      </c>
      <c r="H238" s="305" t="s">
        <v>959</v>
      </c>
      <c r="I238" s="433"/>
      <c r="J238" s="5"/>
      <c r="L238" t="s">
        <v>669</v>
      </c>
    </row>
    <row r="239" spans="1:12">
      <c r="A239" s="5">
        <v>238</v>
      </c>
      <c r="B239" s="5" t="s">
        <v>834</v>
      </c>
      <c r="C239" s="5" t="s">
        <v>112</v>
      </c>
      <c r="D239" s="5" t="s">
        <v>739</v>
      </c>
      <c r="E239" s="5"/>
      <c r="G239" s="270" t="s">
        <v>955</v>
      </c>
      <c r="H239" s="305" t="s">
        <v>960</v>
      </c>
      <c r="I239" s="433"/>
      <c r="J239" s="5"/>
      <c r="L239" t="s">
        <v>669</v>
      </c>
    </row>
    <row r="240" spans="1:12">
      <c r="A240" s="5">
        <v>239</v>
      </c>
      <c r="B240" s="5" t="s">
        <v>834</v>
      </c>
      <c r="C240" s="5" t="s">
        <v>112</v>
      </c>
      <c r="D240" s="5" t="s">
        <v>739</v>
      </c>
      <c r="E240" s="5"/>
      <c r="G240" s="270" t="s">
        <v>955</v>
      </c>
      <c r="H240" s="305" t="s">
        <v>961</v>
      </c>
      <c r="I240" s="433"/>
      <c r="J240" s="5"/>
      <c r="L240" t="s">
        <v>669</v>
      </c>
    </row>
    <row r="241" spans="1:14">
      <c r="A241" s="5">
        <v>240</v>
      </c>
      <c r="B241" s="5" t="s">
        <v>834</v>
      </c>
      <c r="C241" s="5" t="s">
        <v>112</v>
      </c>
      <c r="D241" s="5" t="s">
        <v>739</v>
      </c>
      <c r="E241" s="5"/>
      <c r="G241" s="270" t="s">
        <v>955</v>
      </c>
      <c r="H241" s="305" t="s">
        <v>962</v>
      </c>
      <c r="I241" s="433"/>
      <c r="J241" s="5"/>
      <c r="L241" t="s">
        <v>669</v>
      </c>
    </row>
    <row r="242" spans="1:14">
      <c r="A242" s="5">
        <v>241</v>
      </c>
      <c r="B242" s="5" t="s">
        <v>834</v>
      </c>
      <c r="C242" s="5" t="s">
        <v>112</v>
      </c>
      <c r="D242" s="5" t="s">
        <v>739</v>
      </c>
      <c r="E242" s="5"/>
      <c r="G242" s="270" t="s">
        <v>121</v>
      </c>
      <c r="H242" s="305" t="s">
        <v>963</v>
      </c>
      <c r="I242" s="433"/>
      <c r="J242" s="5"/>
      <c r="K242" s="5" t="s">
        <v>964</v>
      </c>
      <c r="L242" t="s">
        <v>669</v>
      </c>
      <c r="M242" s="3"/>
    </row>
    <row r="243" spans="1:14">
      <c r="A243" s="5">
        <v>242</v>
      </c>
      <c r="B243" s="5" t="s">
        <v>834</v>
      </c>
      <c r="C243" s="5" t="s">
        <v>112</v>
      </c>
      <c r="D243" s="5" t="s">
        <v>739</v>
      </c>
      <c r="E243" s="5"/>
      <c r="G243" s="270" t="s">
        <v>121</v>
      </c>
      <c r="H243" s="305" t="s">
        <v>965</v>
      </c>
      <c r="I243" s="433"/>
      <c r="J243" s="5"/>
      <c r="K243" s="5" t="s">
        <v>964</v>
      </c>
      <c r="L243" t="s">
        <v>669</v>
      </c>
      <c r="M243" s="3"/>
    </row>
    <row r="244" spans="1:14">
      <c r="A244" s="5">
        <v>243</v>
      </c>
      <c r="B244" s="5" t="s">
        <v>834</v>
      </c>
      <c r="C244" s="5" t="s">
        <v>112</v>
      </c>
      <c r="D244" s="5" t="s">
        <v>739</v>
      </c>
      <c r="E244" s="5"/>
      <c r="G244" s="270" t="s">
        <v>121</v>
      </c>
      <c r="H244" s="305" t="s">
        <v>966</v>
      </c>
      <c r="I244" s="433"/>
      <c r="J244" s="5"/>
      <c r="K244" s="5" t="s">
        <v>964</v>
      </c>
      <c r="L244" t="s">
        <v>669</v>
      </c>
      <c r="M244" s="3"/>
    </row>
    <row r="245" spans="1:14">
      <c r="A245" s="5">
        <v>244</v>
      </c>
      <c r="B245" s="5" t="s">
        <v>834</v>
      </c>
      <c r="C245" s="5" t="s">
        <v>112</v>
      </c>
      <c r="D245" s="5" t="s">
        <v>739</v>
      </c>
      <c r="E245" s="5"/>
      <c r="G245" s="270" t="s">
        <v>121</v>
      </c>
      <c r="H245" s="305" t="s">
        <v>967</v>
      </c>
      <c r="I245" s="433"/>
      <c r="J245" s="5"/>
      <c r="K245" s="5" t="s">
        <v>964</v>
      </c>
      <c r="L245" t="s">
        <v>669</v>
      </c>
      <c r="M245" s="3"/>
    </row>
    <row r="246" spans="1:14">
      <c r="A246" s="5">
        <v>245</v>
      </c>
      <c r="B246" s="5" t="s">
        <v>834</v>
      </c>
      <c r="C246" s="5" t="s">
        <v>112</v>
      </c>
      <c r="D246" s="5" t="s">
        <v>739</v>
      </c>
      <c r="E246" s="5"/>
      <c r="G246" s="270" t="s">
        <v>121</v>
      </c>
      <c r="H246" s="305" t="s">
        <v>968</v>
      </c>
      <c r="I246" s="433"/>
      <c r="J246" s="5"/>
      <c r="K246" s="5" t="s">
        <v>964</v>
      </c>
      <c r="L246" t="s">
        <v>669</v>
      </c>
      <c r="M246" s="3"/>
    </row>
    <row r="247" spans="1:14">
      <c r="A247" s="5">
        <v>246</v>
      </c>
      <c r="B247" s="5" t="s">
        <v>834</v>
      </c>
      <c r="C247" s="5" t="s">
        <v>112</v>
      </c>
      <c r="D247" s="5" t="s">
        <v>739</v>
      </c>
      <c r="E247" s="5"/>
      <c r="G247" s="270" t="s">
        <v>121</v>
      </c>
      <c r="H247" s="305" t="s">
        <v>969</v>
      </c>
      <c r="I247" s="433"/>
      <c r="J247" s="5"/>
      <c r="K247" s="5" t="s">
        <v>964</v>
      </c>
      <c r="L247" t="s">
        <v>669</v>
      </c>
      <c r="M247" s="3"/>
    </row>
    <row r="248" spans="1:14">
      <c r="A248" s="5">
        <v>247</v>
      </c>
      <c r="B248" s="5" t="s">
        <v>834</v>
      </c>
      <c r="C248" s="5" t="s">
        <v>112</v>
      </c>
      <c r="D248" s="5" t="s">
        <v>739</v>
      </c>
      <c r="E248" s="5"/>
      <c r="G248" s="270" t="s">
        <v>121</v>
      </c>
      <c r="H248" s="305" t="s">
        <v>970</v>
      </c>
      <c r="I248" s="433"/>
      <c r="J248" s="5"/>
      <c r="K248" s="5" t="s">
        <v>964</v>
      </c>
      <c r="L248" t="s">
        <v>669</v>
      </c>
      <c r="M248" s="3"/>
    </row>
    <row r="249" spans="1:14">
      <c r="A249" s="5">
        <v>248</v>
      </c>
      <c r="B249" s="5" t="s">
        <v>834</v>
      </c>
      <c r="C249" s="5" t="s">
        <v>112</v>
      </c>
      <c r="D249" s="5" t="s">
        <v>739</v>
      </c>
      <c r="E249" s="5"/>
      <c r="G249" s="270" t="s">
        <v>121</v>
      </c>
      <c r="H249" s="305" t="s">
        <v>971</v>
      </c>
      <c r="I249" s="433"/>
      <c r="J249" s="5"/>
      <c r="K249" s="5" t="s">
        <v>964</v>
      </c>
      <c r="L249" t="s">
        <v>669</v>
      </c>
      <c r="M249" s="3"/>
    </row>
    <row r="250" spans="1:14">
      <c r="A250" s="5">
        <v>249</v>
      </c>
      <c r="B250" s="5" t="s">
        <v>834</v>
      </c>
      <c r="C250" s="5" t="s">
        <v>112</v>
      </c>
      <c r="D250" s="5" t="s">
        <v>739</v>
      </c>
      <c r="E250" s="5"/>
      <c r="G250" s="270" t="s">
        <v>121</v>
      </c>
      <c r="H250" s="305" t="s">
        <v>972</v>
      </c>
      <c r="I250" s="433"/>
      <c r="J250" s="5"/>
      <c r="K250" s="5" t="s">
        <v>964</v>
      </c>
      <c r="L250" t="s">
        <v>669</v>
      </c>
      <c r="M250" s="3"/>
    </row>
    <row r="251" spans="1:14">
      <c r="A251" s="5">
        <v>250</v>
      </c>
      <c r="B251" s="5" t="s">
        <v>834</v>
      </c>
      <c r="C251" s="5" t="s">
        <v>112</v>
      </c>
      <c r="D251" s="5" t="s">
        <v>739</v>
      </c>
      <c r="E251" s="5"/>
      <c r="G251" s="270" t="s">
        <v>121</v>
      </c>
      <c r="H251" s="305" t="s">
        <v>973</v>
      </c>
      <c r="I251" s="433"/>
      <c r="J251" s="5"/>
      <c r="K251" s="5" t="s">
        <v>964</v>
      </c>
      <c r="L251" t="s">
        <v>669</v>
      </c>
      <c r="M251" s="3"/>
    </row>
    <row r="252" spans="1:14">
      <c r="A252" s="5">
        <v>251</v>
      </c>
      <c r="B252" s="5" t="s">
        <v>834</v>
      </c>
      <c r="C252" s="5" t="s">
        <v>112</v>
      </c>
      <c r="D252" s="5" t="s">
        <v>739</v>
      </c>
      <c r="E252" s="5"/>
      <c r="G252" s="270" t="s">
        <v>121</v>
      </c>
      <c r="H252" s="305" t="s">
        <v>974</v>
      </c>
      <c r="I252" s="433"/>
      <c r="J252" s="5"/>
      <c r="K252" s="5" t="s">
        <v>964</v>
      </c>
      <c r="L252" t="s">
        <v>669</v>
      </c>
      <c r="M252" s="3"/>
    </row>
    <row r="253" spans="1:14">
      <c r="A253" s="5">
        <v>252</v>
      </c>
      <c r="B253" s="5" t="s">
        <v>834</v>
      </c>
      <c r="C253" s="5" t="s">
        <v>112</v>
      </c>
      <c r="D253" s="5" t="s">
        <v>739</v>
      </c>
      <c r="E253" s="5"/>
      <c r="G253" s="270" t="s">
        <v>975</v>
      </c>
      <c r="H253" s="312" t="s">
        <v>976</v>
      </c>
      <c r="I253" s="437"/>
      <c r="J253" s="69"/>
      <c r="K253" s="5" t="s">
        <v>964</v>
      </c>
      <c r="L253" t="s">
        <v>669</v>
      </c>
      <c r="M253" s="3"/>
    </row>
    <row r="254" spans="1:14" ht="31.8">
      <c r="A254" s="5">
        <v>253</v>
      </c>
      <c r="B254" s="5" t="s">
        <v>664</v>
      </c>
      <c r="C254" s="5" t="s">
        <v>112</v>
      </c>
      <c r="D254" s="5" t="s">
        <v>739</v>
      </c>
      <c r="E254" s="5"/>
      <c r="G254" s="451" t="s">
        <v>977</v>
      </c>
      <c r="H254" s="313" t="s">
        <v>978</v>
      </c>
      <c r="I254" s="438"/>
      <c r="J254" s="70"/>
      <c r="K254" s="5" t="s">
        <v>964</v>
      </c>
      <c r="L254" t="s">
        <v>669</v>
      </c>
      <c r="M254" s="3" t="s">
        <v>979</v>
      </c>
      <c r="N254" t="s">
        <v>980</v>
      </c>
    </row>
    <row r="255" spans="1:14" ht="31.8">
      <c r="A255" s="5">
        <v>254</v>
      </c>
      <c r="B255" s="5" t="s">
        <v>664</v>
      </c>
      <c r="C255" s="5" t="s">
        <v>112</v>
      </c>
      <c r="D255" s="5" t="s">
        <v>739</v>
      </c>
      <c r="E255" s="5"/>
      <c r="G255" s="451" t="s">
        <v>977</v>
      </c>
      <c r="H255" s="313" t="s">
        <v>981</v>
      </c>
      <c r="I255" s="438"/>
      <c r="J255" s="70"/>
      <c r="K255" s="5" t="s">
        <v>964</v>
      </c>
      <c r="L255" t="s">
        <v>669</v>
      </c>
      <c r="M255" s="3" t="s">
        <v>979</v>
      </c>
      <c r="N255" t="s">
        <v>982</v>
      </c>
    </row>
    <row r="256" spans="1:14" ht="31.8">
      <c r="A256" s="5">
        <v>255</v>
      </c>
      <c r="B256" s="5" t="s">
        <v>664</v>
      </c>
      <c r="C256" s="5" t="s">
        <v>112</v>
      </c>
      <c r="D256" s="5" t="s">
        <v>739</v>
      </c>
      <c r="E256" s="5"/>
      <c r="G256" s="451" t="s">
        <v>977</v>
      </c>
      <c r="H256" s="313" t="s">
        <v>983</v>
      </c>
      <c r="I256" s="438"/>
      <c r="J256" s="70"/>
      <c r="K256" s="5" t="s">
        <v>964</v>
      </c>
      <c r="L256" t="s">
        <v>669</v>
      </c>
      <c r="M256" s="3" t="s">
        <v>979</v>
      </c>
    </row>
    <row r="257" spans="1:14" ht="31.8">
      <c r="A257" s="5">
        <v>256</v>
      </c>
      <c r="B257" s="5" t="s">
        <v>664</v>
      </c>
      <c r="C257" s="5" t="s">
        <v>112</v>
      </c>
      <c r="D257" s="5" t="s">
        <v>739</v>
      </c>
      <c r="E257" s="5"/>
      <c r="G257" s="451" t="s">
        <v>977</v>
      </c>
      <c r="H257" s="313" t="s">
        <v>984</v>
      </c>
      <c r="I257" s="438"/>
      <c r="J257" s="70"/>
      <c r="K257" s="5" t="s">
        <v>964</v>
      </c>
      <c r="L257" t="s">
        <v>669</v>
      </c>
      <c r="M257" s="3" t="s">
        <v>979</v>
      </c>
      <c r="N257" t="s">
        <v>982</v>
      </c>
    </row>
    <row r="258" spans="1:14" ht="31.8">
      <c r="A258" s="5">
        <v>257</v>
      </c>
      <c r="B258" s="5" t="s">
        <v>664</v>
      </c>
      <c r="C258" s="5" t="s">
        <v>112</v>
      </c>
      <c r="D258" s="5" t="s">
        <v>739</v>
      </c>
      <c r="E258" s="5"/>
      <c r="G258" s="451" t="s">
        <v>977</v>
      </c>
      <c r="H258" s="313" t="s">
        <v>557</v>
      </c>
      <c r="I258" s="438"/>
      <c r="J258" s="70"/>
      <c r="K258" s="5" t="s">
        <v>964</v>
      </c>
      <c r="L258" t="s">
        <v>669</v>
      </c>
      <c r="M258" s="3" t="s">
        <v>985</v>
      </c>
      <c r="N258" t="s">
        <v>986</v>
      </c>
    </row>
    <row r="259" spans="1:14" ht="43.2">
      <c r="A259" s="5">
        <v>258</v>
      </c>
      <c r="B259" s="5" t="s">
        <v>664</v>
      </c>
      <c r="C259" s="5" t="s">
        <v>112</v>
      </c>
      <c r="D259" s="5" t="s">
        <v>739</v>
      </c>
      <c r="E259" s="5"/>
      <c r="G259" s="451" t="s">
        <v>977</v>
      </c>
      <c r="H259" s="313" t="s">
        <v>987</v>
      </c>
      <c r="I259" s="438"/>
      <c r="J259" s="70"/>
      <c r="K259" s="5" t="s">
        <v>964</v>
      </c>
      <c r="L259" t="s">
        <v>669</v>
      </c>
      <c r="M259" s="3" t="s">
        <v>985</v>
      </c>
    </row>
    <row r="260" spans="1:14" ht="31.8">
      <c r="A260" s="5">
        <v>259</v>
      </c>
      <c r="B260" s="5" t="s">
        <v>664</v>
      </c>
      <c r="C260" s="5" t="s">
        <v>112</v>
      </c>
      <c r="D260" s="5" t="s">
        <v>739</v>
      </c>
      <c r="E260" s="5"/>
      <c r="G260" s="451" t="s">
        <v>977</v>
      </c>
      <c r="H260" s="313" t="s">
        <v>988</v>
      </c>
      <c r="I260" s="438"/>
      <c r="J260" s="70"/>
      <c r="K260" s="5" t="s">
        <v>964</v>
      </c>
      <c r="L260" t="s">
        <v>669</v>
      </c>
      <c r="M260" s="3" t="s">
        <v>979</v>
      </c>
    </row>
    <row r="261" spans="1:14" ht="31.8">
      <c r="A261" s="5">
        <v>260</v>
      </c>
      <c r="B261" s="5" t="s">
        <v>664</v>
      </c>
      <c r="C261" s="5" t="s">
        <v>112</v>
      </c>
      <c r="D261" s="5" t="s">
        <v>739</v>
      </c>
      <c r="E261" s="5"/>
      <c r="G261" s="451" t="s">
        <v>977</v>
      </c>
      <c r="H261" s="313" t="s">
        <v>989</v>
      </c>
      <c r="I261" s="438"/>
      <c r="J261" s="70"/>
      <c r="K261" s="5" t="s">
        <v>964</v>
      </c>
      <c r="L261" t="s">
        <v>669</v>
      </c>
      <c r="M261" s="3" t="s">
        <v>979</v>
      </c>
      <c r="N261" t="s">
        <v>990</v>
      </c>
    </row>
    <row r="262" spans="1:14" ht="31.8">
      <c r="A262" s="5">
        <v>261</v>
      </c>
      <c r="B262" s="5" t="s">
        <v>664</v>
      </c>
      <c r="C262" s="5" t="s">
        <v>112</v>
      </c>
      <c r="D262" s="5" t="s">
        <v>739</v>
      </c>
      <c r="E262" s="5"/>
      <c r="G262" s="451" t="s">
        <v>977</v>
      </c>
      <c r="H262" s="313" t="s">
        <v>991</v>
      </c>
      <c r="I262" s="438"/>
      <c r="J262" s="70"/>
      <c r="K262" s="5" t="s">
        <v>964</v>
      </c>
      <c r="L262" t="s">
        <v>669</v>
      </c>
      <c r="M262" s="3" t="s">
        <v>979</v>
      </c>
    </row>
    <row r="263" spans="1:14" ht="43.2">
      <c r="A263" s="5">
        <v>262</v>
      </c>
      <c r="B263" s="5" t="s">
        <v>664</v>
      </c>
      <c r="C263" s="5" t="s">
        <v>112</v>
      </c>
      <c r="D263" s="5" t="s">
        <v>739</v>
      </c>
      <c r="E263" s="5"/>
      <c r="G263" s="451" t="s">
        <v>977</v>
      </c>
      <c r="H263" s="313" t="s">
        <v>992</v>
      </c>
      <c r="I263" s="438"/>
      <c r="J263" s="70"/>
      <c r="K263" s="5" t="s">
        <v>964</v>
      </c>
      <c r="L263" t="s">
        <v>669</v>
      </c>
      <c r="M263" s="3" t="s">
        <v>979</v>
      </c>
    </row>
    <row r="264" spans="1:14" ht="31.8">
      <c r="A264" s="5">
        <v>263</v>
      </c>
      <c r="B264" s="5" t="s">
        <v>664</v>
      </c>
      <c r="C264" s="5" t="s">
        <v>112</v>
      </c>
      <c r="D264" s="5" t="s">
        <v>739</v>
      </c>
      <c r="E264" s="5"/>
      <c r="G264" s="451" t="s">
        <v>993</v>
      </c>
      <c r="H264" s="313" t="s">
        <v>994</v>
      </c>
      <c r="I264" s="438"/>
      <c r="J264" s="70"/>
      <c r="K264" s="5" t="s">
        <v>964</v>
      </c>
      <c r="L264" t="s">
        <v>669</v>
      </c>
      <c r="M264" s="3"/>
    </row>
    <row r="265" spans="1:14" ht="31.8">
      <c r="A265" s="5">
        <v>264</v>
      </c>
      <c r="B265" s="5" t="s">
        <v>664</v>
      </c>
      <c r="C265" s="5" t="s">
        <v>112</v>
      </c>
      <c r="D265" s="5" t="s">
        <v>739</v>
      </c>
      <c r="E265" s="5"/>
      <c r="G265" s="452" t="s">
        <v>993</v>
      </c>
      <c r="H265" s="314" t="s">
        <v>995</v>
      </c>
      <c r="I265" s="439"/>
      <c r="J265" s="71"/>
      <c r="K265" s="5" t="s">
        <v>964</v>
      </c>
      <c r="L265" t="s">
        <v>669</v>
      </c>
      <c r="M265" s="3"/>
    </row>
    <row r="266" spans="1:14" ht="31.8">
      <c r="A266" s="5">
        <v>265</v>
      </c>
      <c r="B266" s="5" t="s">
        <v>664</v>
      </c>
      <c r="C266" s="5" t="s">
        <v>112</v>
      </c>
      <c r="D266" s="5" t="s">
        <v>739</v>
      </c>
      <c r="E266" s="5"/>
      <c r="G266" s="452" t="s">
        <v>993</v>
      </c>
      <c r="H266" s="313" t="s">
        <v>996</v>
      </c>
      <c r="I266" s="438"/>
      <c r="J266" s="70"/>
      <c r="K266" s="5" t="s">
        <v>964</v>
      </c>
      <c r="L266" t="s">
        <v>669</v>
      </c>
      <c r="M266" s="3"/>
    </row>
    <row r="267" spans="1:14" ht="31.8">
      <c r="A267" s="5">
        <v>266</v>
      </c>
      <c r="B267" s="5" t="s">
        <v>664</v>
      </c>
      <c r="C267" s="5" t="s">
        <v>112</v>
      </c>
      <c r="D267" s="5" t="s">
        <v>739</v>
      </c>
      <c r="E267" s="5"/>
      <c r="G267" s="452" t="s">
        <v>993</v>
      </c>
      <c r="H267" s="313" t="s">
        <v>997</v>
      </c>
      <c r="I267" s="438"/>
      <c r="J267" s="70"/>
      <c r="K267" s="5" t="s">
        <v>964</v>
      </c>
      <c r="L267" t="s">
        <v>669</v>
      </c>
      <c r="M267" s="3"/>
    </row>
    <row r="268" spans="1:14" ht="31.8">
      <c r="A268" s="5">
        <v>267</v>
      </c>
      <c r="B268" s="5" t="s">
        <v>664</v>
      </c>
      <c r="C268" s="5" t="s">
        <v>112</v>
      </c>
      <c r="D268" s="5" t="s">
        <v>739</v>
      </c>
      <c r="E268" s="5"/>
      <c r="G268" s="452" t="s">
        <v>993</v>
      </c>
      <c r="H268" s="313" t="s">
        <v>998</v>
      </c>
      <c r="I268" s="438"/>
      <c r="J268" s="70"/>
      <c r="K268" s="5" t="s">
        <v>964</v>
      </c>
      <c r="L268" t="s">
        <v>669</v>
      </c>
      <c r="M268" s="3"/>
    </row>
    <row r="269" spans="1:14" ht="43.2">
      <c r="A269" s="5">
        <v>268</v>
      </c>
      <c r="B269" s="5" t="s">
        <v>664</v>
      </c>
      <c r="C269" s="5" t="s">
        <v>112</v>
      </c>
      <c r="D269" s="5" t="s">
        <v>739</v>
      </c>
      <c r="E269" s="5"/>
      <c r="G269" s="452" t="s">
        <v>993</v>
      </c>
      <c r="H269" s="313" t="s">
        <v>999</v>
      </c>
      <c r="I269" s="438"/>
      <c r="J269" s="70"/>
      <c r="K269" s="5" t="s">
        <v>964</v>
      </c>
      <c r="L269" t="s">
        <v>669</v>
      </c>
      <c r="M269" s="3"/>
    </row>
    <row r="270" spans="1:14" ht="43.2">
      <c r="A270" s="5">
        <v>269</v>
      </c>
      <c r="B270" s="5" t="s">
        <v>664</v>
      </c>
      <c r="C270" s="5" t="s">
        <v>112</v>
      </c>
      <c r="D270" s="5" t="s">
        <v>739</v>
      </c>
      <c r="E270" s="5"/>
      <c r="G270" s="452" t="s">
        <v>993</v>
      </c>
      <c r="H270" s="313" t="s">
        <v>1000</v>
      </c>
      <c r="I270" s="438"/>
      <c r="J270" s="70"/>
      <c r="K270" s="5" t="s">
        <v>964</v>
      </c>
      <c r="L270" t="s">
        <v>669</v>
      </c>
      <c r="M270" s="3"/>
    </row>
    <row r="271" spans="1:14" ht="31.8">
      <c r="A271" s="5">
        <v>270</v>
      </c>
      <c r="B271" s="5" t="s">
        <v>664</v>
      </c>
      <c r="C271" s="5" t="s">
        <v>112</v>
      </c>
      <c r="D271" s="5" t="s">
        <v>739</v>
      </c>
      <c r="E271" s="5"/>
      <c r="G271" s="452" t="s">
        <v>993</v>
      </c>
      <c r="H271" s="313" t="s">
        <v>1001</v>
      </c>
      <c r="I271" s="438"/>
      <c r="J271" s="70"/>
      <c r="K271" s="5" t="s">
        <v>964</v>
      </c>
      <c r="L271" t="s">
        <v>669</v>
      </c>
      <c r="M271" s="3"/>
    </row>
    <row r="272" spans="1:14" ht="43.2">
      <c r="A272" s="5">
        <v>271</v>
      </c>
      <c r="B272" s="5" t="s">
        <v>664</v>
      </c>
      <c r="C272" s="5" t="s">
        <v>112</v>
      </c>
      <c r="D272" s="5" t="s">
        <v>739</v>
      </c>
      <c r="E272" s="5"/>
      <c r="G272" s="452" t="s">
        <v>993</v>
      </c>
      <c r="H272" s="313" t="s">
        <v>1002</v>
      </c>
      <c r="I272" s="438"/>
      <c r="J272" s="70"/>
      <c r="K272" s="5" t="s">
        <v>964</v>
      </c>
      <c r="L272" t="s">
        <v>669</v>
      </c>
      <c r="M272" s="3"/>
    </row>
    <row r="273" spans="1:14" ht="31.8">
      <c r="A273" s="5">
        <v>272</v>
      </c>
      <c r="B273" s="5" t="s">
        <v>664</v>
      </c>
      <c r="C273" s="5" t="s">
        <v>112</v>
      </c>
      <c r="D273" s="5" t="s">
        <v>739</v>
      </c>
      <c r="E273" s="5"/>
      <c r="G273" s="452" t="s">
        <v>1003</v>
      </c>
      <c r="H273" s="313" t="s">
        <v>347</v>
      </c>
      <c r="I273" s="438"/>
      <c r="J273" s="70"/>
      <c r="K273" s="5" t="s">
        <v>964</v>
      </c>
      <c r="L273" t="s">
        <v>669</v>
      </c>
      <c r="M273" s="3"/>
      <c r="N273" t="s">
        <v>1004</v>
      </c>
    </row>
    <row r="274" spans="1:14" ht="64.8">
      <c r="A274" s="5">
        <v>273</v>
      </c>
      <c r="B274" s="5" t="s">
        <v>664</v>
      </c>
      <c r="C274" s="5" t="s">
        <v>112</v>
      </c>
      <c r="D274" s="5" t="s">
        <v>739</v>
      </c>
      <c r="E274" s="5"/>
      <c r="G274" s="452" t="s">
        <v>993</v>
      </c>
      <c r="H274" s="313" t="s">
        <v>1005</v>
      </c>
      <c r="I274" s="438"/>
      <c r="J274" s="70"/>
      <c r="K274" s="5" t="s">
        <v>964</v>
      </c>
      <c r="L274" t="s">
        <v>669</v>
      </c>
      <c r="M274" s="3"/>
    </row>
    <row r="275" spans="1:14" ht="31.8">
      <c r="A275" s="5">
        <v>274</v>
      </c>
      <c r="B275" s="5" t="s">
        <v>664</v>
      </c>
      <c r="C275" s="5" t="s">
        <v>112</v>
      </c>
      <c r="D275" s="5" t="s">
        <v>739</v>
      </c>
      <c r="E275" s="5"/>
      <c r="G275" s="451" t="s">
        <v>1006</v>
      </c>
      <c r="H275" s="313" t="s">
        <v>1007</v>
      </c>
      <c r="I275" s="438"/>
      <c r="J275" s="70"/>
      <c r="K275" s="5" t="s">
        <v>964</v>
      </c>
      <c r="L275" t="s">
        <v>669</v>
      </c>
      <c r="M275" s="3"/>
    </row>
    <row r="276" spans="1:14" ht="43.2">
      <c r="A276" s="5">
        <v>275</v>
      </c>
      <c r="B276" s="5" t="s">
        <v>664</v>
      </c>
      <c r="C276" s="5" t="s">
        <v>112</v>
      </c>
      <c r="D276" s="5" t="s">
        <v>739</v>
      </c>
      <c r="E276" s="5"/>
      <c r="G276" s="451" t="s">
        <v>1006</v>
      </c>
      <c r="H276" s="313" t="s">
        <v>1008</v>
      </c>
      <c r="I276" s="438"/>
      <c r="J276" s="70"/>
      <c r="K276" s="5" t="s">
        <v>964</v>
      </c>
      <c r="L276" t="s">
        <v>669</v>
      </c>
      <c r="M276" s="3"/>
    </row>
    <row r="277" spans="1:14" ht="43.2">
      <c r="A277" s="5">
        <v>276</v>
      </c>
      <c r="B277" s="5" t="s">
        <v>664</v>
      </c>
      <c r="C277" s="5" t="s">
        <v>112</v>
      </c>
      <c r="D277" s="5" t="s">
        <v>739</v>
      </c>
      <c r="E277" s="5"/>
      <c r="G277" s="451" t="s">
        <v>1006</v>
      </c>
      <c r="H277" s="313" t="s">
        <v>1009</v>
      </c>
      <c r="I277" s="438"/>
      <c r="J277" s="70"/>
      <c r="K277" s="5" t="s">
        <v>964</v>
      </c>
      <c r="L277" t="s">
        <v>669</v>
      </c>
      <c r="M277" s="3"/>
    </row>
    <row r="278" spans="1:14" ht="31.8">
      <c r="A278" s="5">
        <v>277</v>
      </c>
      <c r="B278" s="5" t="s">
        <v>664</v>
      </c>
      <c r="C278" s="5" t="s">
        <v>112</v>
      </c>
      <c r="D278" s="5" t="s">
        <v>739</v>
      </c>
      <c r="E278" s="5"/>
      <c r="G278" s="451" t="s">
        <v>1006</v>
      </c>
      <c r="H278" s="313" t="s">
        <v>1010</v>
      </c>
      <c r="I278" s="438"/>
      <c r="J278" s="70"/>
      <c r="K278" s="5" t="s">
        <v>964</v>
      </c>
      <c r="L278" t="s">
        <v>669</v>
      </c>
      <c r="M278" s="3"/>
    </row>
    <row r="279" spans="1:14" ht="31.8">
      <c r="A279" s="5">
        <v>278</v>
      </c>
      <c r="B279" s="5" t="s">
        <v>664</v>
      </c>
      <c r="C279" s="5" t="s">
        <v>112</v>
      </c>
      <c r="D279" s="5" t="s">
        <v>739</v>
      </c>
      <c r="E279" s="5"/>
      <c r="G279" s="451" t="s">
        <v>1006</v>
      </c>
      <c r="H279" s="313" t="s">
        <v>1011</v>
      </c>
      <c r="I279" s="438"/>
      <c r="J279" s="70"/>
      <c r="K279" s="5" t="s">
        <v>964</v>
      </c>
      <c r="L279" t="s">
        <v>669</v>
      </c>
      <c r="M279" s="3"/>
    </row>
    <row r="280" spans="1:14" ht="31.8">
      <c r="A280" s="5">
        <v>279</v>
      </c>
      <c r="B280" s="5" t="s">
        <v>664</v>
      </c>
      <c r="C280" s="5" t="s">
        <v>112</v>
      </c>
      <c r="D280" s="5" t="s">
        <v>739</v>
      </c>
      <c r="E280" s="5"/>
      <c r="G280" s="451" t="s">
        <v>1006</v>
      </c>
      <c r="H280" s="313" t="s">
        <v>1012</v>
      </c>
      <c r="I280" s="438"/>
      <c r="J280" s="70"/>
      <c r="K280" s="5" t="s">
        <v>964</v>
      </c>
      <c r="L280" t="s">
        <v>669</v>
      </c>
      <c r="M280" s="3"/>
    </row>
    <row r="281" spans="1:14" ht="31.8">
      <c r="A281" s="5">
        <v>280</v>
      </c>
      <c r="B281" s="5" t="s">
        <v>664</v>
      </c>
      <c r="C281" s="5" t="s">
        <v>112</v>
      </c>
      <c r="D281" s="5" t="s">
        <v>739</v>
      </c>
      <c r="E281" s="5"/>
      <c r="G281" s="451" t="s">
        <v>1006</v>
      </c>
      <c r="H281" s="313" t="s">
        <v>1013</v>
      </c>
      <c r="I281" s="438"/>
      <c r="J281" s="70"/>
      <c r="K281" s="5" t="s">
        <v>964</v>
      </c>
      <c r="L281" t="s">
        <v>669</v>
      </c>
      <c r="M281" s="3"/>
    </row>
    <row r="282" spans="1:14" ht="31.8">
      <c r="A282" s="5">
        <v>281</v>
      </c>
      <c r="B282" s="5" t="s">
        <v>664</v>
      </c>
      <c r="C282" s="5" t="s">
        <v>112</v>
      </c>
      <c r="D282" s="5" t="s">
        <v>739</v>
      </c>
      <c r="E282" s="5"/>
      <c r="G282" s="451" t="s">
        <v>1006</v>
      </c>
      <c r="H282" s="313" t="s">
        <v>1014</v>
      </c>
      <c r="I282" s="438"/>
      <c r="J282" s="70"/>
      <c r="K282" s="5" t="s">
        <v>964</v>
      </c>
      <c r="L282" t="s">
        <v>669</v>
      </c>
      <c r="M282" s="3"/>
    </row>
    <row r="283" spans="1:14" ht="31.8">
      <c r="A283" s="5">
        <v>282</v>
      </c>
      <c r="B283" s="5" t="s">
        <v>664</v>
      </c>
      <c r="C283" s="5" t="s">
        <v>112</v>
      </c>
      <c r="D283" s="5" t="s">
        <v>739</v>
      </c>
      <c r="E283" s="5"/>
      <c r="G283" s="451" t="s">
        <v>1006</v>
      </c>
      <c r="H283" s="313" t="s">
        <v>1015</v>
      </c>
      <c r="I283" s="438"/>
      <c r="J283" s="70"/>
      <c r="K283" s="5" t="s">
        <v>964</v>
      </c>
      <c r="L283" t="s">
        <v>669</v>
      </c>
      <c r="M283" s="3"/>
    </row>
    <row r="284" spans="1:14" ht="31.8">
      <c r="A284" s="5">
        <v>283</v>
      </c>
      <c r="B284" s="5" t="s">
        <v>664</v>
      </c>
      <c r="C284" s="5" t="s">
        <v>112</v>
      </c>
      <c r="D284" s="5" t="s">
        <v>739</v>
      </c>
      <c r="E284" s="5"/>
      <c r="G284" s="451" t="s">
        <v>1006</v>
      </c>
      <c r="H284" s="313" t="s">
        <v>1016</v>
      </c>
      <c r="I284" s="438"/>
      <c r="J284" s="70"/>
      <c r="K284" s="5" t="s">
        <v>964</v>
      </c>
      <c r="L284" t="s">
        <v>669</v>
      </c>
      <c r="M284" s="3"/>
    </row>
    <row r="285" spans="1:14" ht="31.8">
      <c r="A285" s="5">
        <v>284</v>
      </c>
      <c r="B285" s="5" t="s">
        <v>664</v>
      </c>
      <c r="C285" s="5" t="s">
        <v>112</v>
      </c>
      <c r="D285" s="5" t="s">
        <v>739</v>
      </c>
      <c r="E285" s="5"/>
      <c r="G285" s="451" t="s">
        <v>1017</v>
      </c>
      <c r="H285" s="313" t="s">
        <v>1018</v>
      </c>
      <c r="I285" s="438"/>
      <c r="J285" s="70"/>
      <c r="K285" s="5" t="s">
        <v>964</v>
      </c>
      <c r="L285" t="s">
        <v>669</v>
      </c>
      <c r="M285" s="3"/>
    </row>
    <row r="286" spans="1:14" ht="31.8">
      <c r="A286" s="5">
        <v>285</v>
      </c>
      <c r="B286" s="5" t="s">
        <v>664</v>
      </c>
      <c r="C286" s="5" t="s">
        <v>112</v>
      </c>
      <c r="D286" s="5" t="s">
        <v>739</v>
      </c>
      <c r="E286" s="5"/>
      <c r="G286" s="451" t="s">
        <v>1017</v>
      </c>
      <c r="H286" s="313" t="s">
        <v>571</v>
      </c>
      <c r="I286" s="438"/>
      <c r="J286" s="70"/>
      <c r="K286" s="5" t="s">
        <v>964</v>
      </c>
      <c r="L286" t="s">
        <v>669</v>
      </c>
      <c r="M286" s="3"/>
    </row>
    <row r="287" spans="1:14" ht="31.8">
      <c r="A287" s="5">
        <v>286</v>
      </c>
      <c r="B287" s="5" t="s">
        <v>664</v>
      </c>
      <c r="C287" s="5" t="s">
        <v>112</v>
      </c>
      <c r="D287" s="5" t="s">
        <v>739</v>
      </c>
      <c r="E287" s="5"/>
      <c r="G287" s="451" t="s">
        <v>1017</v>
      </c>
      <c r="H287" s="313" t="s">
        <v>1019</v>
      </c>
      <c r="I287" s="438"/>
      <c r="J287" s="70"/>
      <c r="K287" s="5" t="s">
        <v>964</v>
      </c>
      <c r="L287" t="s">
        <v>669</v>
      </c>
      <c r="M287" s="3"/>
    </row>
    <row r="288" spans="1:14" ht="31.8">
      <c r="A288" s="5">
        <v>287</v>
      </c>
      <c r="B288" s="5" t="s">
        <v>664</v>
      </c>
      <c r="C288" s="5" t="s">
        <v>112</v>
      </c>
      <c r="D288" s="5" t="s">
        <v>739</v>
      </c>
      <c r="E288" s="5"/>
      <c r="G288" s="451" t="s">
        <v>1017</v>
      </c>
      <c r="H288" s="313" t="s">
        <v>1020</v>
      </c>
      <c r="I288" s="438"/>
      <c r="J288" s="70"/>
      <c r="K288" s="5" t="s">
        <v>964</v>
      </c>
      <c r="L288" t="s">
        <v>669</v>
      </c>
      <c r="M288" s="3"/>
    </row>
    <row r="289" spans="1:13" ht="31.8">
      <c r="A289" s="5">
        <v>288</v>
      </c>
      <c r="B289" s="5" t="s">
        <v>664</v>
      </c>
      <c r="C289" s="5" t="s">
        <v>112</v>
      </c>
      <c r="D289" s="5" t="s">
        <v>739</v>
      </c>
      <c r="E289" s="5"/>
      <c r="G289" s="451" t="s">
        <v>1017</v>
      </c>
      <c r="H289" s="313" t="s">
        <v>1021</v>
      </c>
      <c r="I289" s="438"/>
      <c r="J289" s="70"/>
      <c r="K289" s="5" t="s">
        <v>964</v>
      </c>
      <c r="L289" t="s">
        <v>669</v>
      </c>
      <c r="M289" s="3"/>
    </row>
    <row r="290" spans="1:13" ht="31.8">
      <c r="A290" s="5">
        <v>289</v>
      </c>
      <c r="B290" s="5" t="s">
        <v>664</v>
      </c>
      <c r="C290" s="5" t="s">
        <v>112</v>
      </c>
      <c r="D290" s="5" t="s">
        <v>739</v>
      </c>
      <c r="E290" s="5"/>
      <c r="G290" s="451" t="s">
        <v>1017</v>
      </c>
      <c r="H290" s="313" t="s">
        <v>1022</v>
      </c>
      <c r="I290" s="438"/>
      <c r="J290" s="70"/>
      <c r="K290" s="5" t="s">
        <v>964</v>
      </c>
      <c r="L290" t="s">
        <v>669</v>
      </c>
      <c r="M290" s="3"/>
    </row>
    <row r="291" spans="1:13" ht="31.8">
      <c r="A291" s="5">
        <v>290</v>
      </c>
      <c r="B291" s="5" t="s">
        <v>664</v>
      </c>
      <c r="C291" s="5" t="s">
        <v>112</v>
      </c>
      <c r="D291" s="5" t="s">
        <v>739</v>
      </c>
      <c r="E291" s="5"/>
      <c r="G291" s="451" t="s">
        <v>1017</v>
      </c>
      <c r="H291" s="313" t="s">
        <v>1023</v>
      </c>
      <c r="I291" s="438"/>
      <c r="J291" s="70"/>
      <c r="K291" s="5" t="s">
        <v>964</v>
      </c>
      <c r="L291" t="s">
        <v>669</v>
      </c>
      <c r="M291" s="3"/>
    </row>
    <row r="292" spans="1:13" ht="43.2">
      <c r="A292" s="5">
        <v>291</v>
      </c>
      <c r="B292" s="5" t="s">
        <v>664</v>
      </c>
      <c r="C292" s="5" t="s">
        <v>112</v>
      </c>
      <c r="D292" s="5" t="s">
        <v>739</v>
      </c>
      <c r="E292" s="5"/>
      <c r="G292" s="451" t="s">
        <v>1017</v>
      </c>
      <c r="H292" s="313" t="s">
        <v>1024</v>
      </c>
      <c r="I292" s="438"/>
      <c r="J292" s="70"/>
      <c r="K292" s="5" t="s">
        <v>964</v>
      </c>
      <c r="L292" t="s">
        <v>669</v>
      </c>
      <c r="M292" s="3"/>
    </row>
    <row r="293" spans="1:13" ht="31.8">
      <c r="A293" s="5">
        <v>292</v>
      </c>
      <c r="B293" s="5" t="s">
        <v>664</v>
      </c>
      <c r="C293" s="5" t="s">
        <v>112</v>
      </c>
      <c r="D293" s="5" t="s">
        <v>739</v>
      </c>
      <c r="E293" s="5"/>
      <c r="G293" s="451" t="s">
        <v>1017</v>
      </c>
      <c r="H293" s="313" t="s">
        <v>1025</v>
      </c>
      <c r="I293" s="438"/>
      <c r="J293" s="70"/>
      <c r="K293" s="5" t="s">
        <v>964</v>
      </c>
      <c r="L293" t="s">
        <v>669</v>
      </c>
      <c r="M293" s="3"/>
    </row>
    <row r="294" spans="1:13" ht="31.8">
      <c r="A294" s="5">
        <v>293</v>
      </c>
      <c r="B294" s="5" t="s">
        <v>664</v>
      </c>
      <c r="C294" s="5" t="s">
        <v>112</v>
      </c>
      <c r="D294" s="5" t="s">
        <v>739</v>
      </c>
      <c r="E294" s="5"/>
      <c r="G294" s="451" t="s">
        <v>1017</v>
      </c>
      <c r="H294" s="313" t="s">
        <v>1026</v>
      </c>
      <c r="I294" s="438"/>
      <c r="J294" s="70"/>
      <c r="K294" s="5" t="s">
        <v>964</v>
      </c>
      <c r="L294" t="s">
        <v>669</v>
      </c>
      <c r="M294" s="3"/>
    </row>
    <row r="295" spans="1:13" ht="31.8">
      <c r="A295" s="5">
        <v>294</v>
      </c>
      <c r="B295" s="5" t="s">
        <v>664</v>
      </c>
      <c r="C295" s="5" t="s">
        <v>112</v>
      </c>
      <c r="D295" s="5" t="s">
        <v>739</v>
      </c>
      <c r="E295" s="5"/>
      <c r="G295" s="451" t="s">
        <v>1027</v>
      </c>
      <c r="H295" s="313" t="s">
        <v>1028</v>
      </c>
      <c r="I295" s="438"/>
      <c r="J295" s="70"/>
      <c r="K295" s="5" t="s">
        <v>964</v>
      </c>
      <c r="L295" t="s">
        <v>669</v>
      </c>
      <c r="M295" s="3"/>
    </row>
    <row r="296" spans="1:13" ht="31.8">
      <c r="A296" s="5">
        <v>295</v>
      </c>
      <c r="B296" s="5" t="s">
        <v>664</v>
      </c>
      <c r="C296" s="5" t="s">
        <v>112</v>
      </c>
      <c r="D296" s="5" t="s">
        <v>739</v>
      </c>
      <c r="E296" s="5"/>
      <c r="G296" s="451" t="s">
        <v>1027</v>
      </c>
      <c r="H296" s="313" t="s">
        <v>1029</v>
      </c>
      <c r="I296" s="438"/>
      <c r="J296" s="70"/>
      <c r="K296" s="5" t="s">
        <v>964</v>
      </c>
      <c r="L296" t="s">
        <v>669</v>
      </c>
      <c r="M296" s="3"/>
    </row>
    <row r="297" spans="1:13" ht="31.8">
      <c r="A297" s="5">
        <v>296</v>
      </c>
      <c r="B297" s="5" t="s">
        <v>664</v>
      </c>
      <c r="C297" s="5" t="s">
        <v>112</v>
      </c>
      <c r="D297" s="5" t="s">
        <v>739</v>
      </c>
      <c r="E297" s="5"/>
      <c r="G297" s="451" t="s">
        <v>1027</v>
      </c>
      <c r="H297" s="313" t="s">
        <v>1030</v>
      </c>
      <c r="I297" s="438"/>
      <c r="J297" s="70"/>
      <c r="K297" s="5" t="s">
        <v>964</v>
      </c>
      <c r="L297" t="s">
        <v>669</v>
      </c>
      <c r="M297" s="3"/>
    </row>
    <row r="298" spans="1:13" ht="31.8">
      <c r="A298" s="5">
        <v>297</v>
      </c>
      <c r="B298" s="5" t="s">
        <v>664</v>
      </c>
      <c r="C298" s="5" t="s">
        <v>112</v>
      </c>
      <c r="D298" s="5" t="s">
        <v>739</v>
      </c>
      <c r="E298" s="5"/>
      <c r="G298" s="451" t="s">
        <v>1027</v>
      </c>
      <c r="H298" s="313" t="s">
        <v>1031</v>
      </c>
      <c r="I298" s="438"/>
      <c r="J298" s="70"/>
      <c r="K298" s="5" t="s">
        <v>964</v>
      </c>
      <c r="L298" t="s">
        <v>669</v>
      </c>
      <c r="M298" s="3"/>
    </row>
    <row r="299" spans="1:13" ht="31.8">
      <c r="A299" s="5">
        <v>298</v>
      </c>
      <c r="B299" s="5" t="s">
        <v>664</v>
      </c>
      <c r="C299" s="5" t="s">
        <v>112</v>
      </c>
      <c r="D299" s="5" t="s">
        <v>739</v>
      </c>
      <c r="E299" s="5"/>
      <c r="G299" s="451" t="s">
        <v>1027</v>
      </c>
      <c r="H299" s="313" t="s">
        <v>1032</v>
      </c>
      <c r="I299" s="438"/>
      <c r="J299" s="70"/>
      <c r="K299" s="5" t="s">
        <v>964</v>
      </c>
      <c r="L299" t="s">
        <v>669</v>
      </c>
      <c r="M299" s="3"/>
    </row>
    <row r="300" spans="1:13" ht="31.8">
      <c r="A300" s="5">
        <v>299</v>
      </c>
      <c r="B300" s="5" t="s">
        <v>664</v>
      </c>
      <c r="C300" s="5" t="s">
        <v>112</v>
      </c>
      <c r="D300" s="5" t="s">
        <v>739</v>
      </c>
      <c r="E300" s="5"/>
      <c r="G300" s="451" t="s">
        <v>1027</v>
      </c>
      <c r="H300" s="313" t="s">
        <v>1033</v>
      </c>
      <c r="I300" s="438"/>
      <c r="J300" s="70"/>
      <c r="K300" s="5" t="s">
        <v>964</v>
      </c>
      <c r="L300" t="s">
        <v>669</v>
      </c>
      <c r="M300" s="3"/>
    </row>
    <row r="301" spans="1:13" ht="31.8">
      <c r="A301" s="5">
        <v>300</v>
      </c>
      <c r="B301" s="5" t="s">
        <v>664</v>
      </c>
      <c r="C301" s="5" t="s">
        <v>112</v>
      </c>
      <c r="D301" s="5" t="s">
        <v>739</v>
      </c>
      <c r="E301" s="5"/>
      <c r="G301" s="451" t="s">
        <v>1027</v>
      </c>
      <c r="H301" s="313" t="s">
        <v>1034</v>
      </c>
      <c r="I301" s="438"/>
      <c r="J301" s="70"/>
      <c r="K301" s="5" t="s">
        <v>964</v>
      </c>
      <c r="L301" t="s">
        <v>669</v>
      </c>
      <c r="M301" s="3"/>
    </row>
    <row r="302" spans="1:13" ht="31.8">
      <c r="A302" s="5">
        <v>301</v>
      </c>
      <c r="B302" s="5" t="s">
        <v>664</v>
      </c>
      <c r="C302" s="5" t="s">
        <v>112</v>
      </c>
      <c r="D302" s="5" t="s">
        <v>739</v>
      </c>
      <c r="E302" s="5"/>
      <c r="G302" s="451" t="s">
        <v>1027</v>
      </c>
      <c r="H302" s="313" t="s">
        <v>1035</v>
      </c>
      <c r="I302" s="438"/>
      <c r="J302" s="70"/>
      <c r="K302" s="5" t="s">
        <v>964</v>
      </c>
      <c r="L302" t="s">
        <v>669</v>
      </c>
      <c r="M302" s="3"/>
    </row>
    <row r="303" spans="1:13" ht="31.8">
      <c r="A303" s="5">
        <v>302</v>
      </c>
      <c r="B303" s="5" t="s">
        <v>664</v>
      </c>
      <c r="C303" s="5" t="s">
        <v>112</v>
      </c>
      <c r="D303" s="5" t="s">
        <v>739</v>
      </c>
      <c r="E303" s="5"/>
      <c r="G303" s="451" t="s">
        <v>1027</v>
      </c>
      <c r="H303" s="313" t="s">
        <v>1036</v>
      </c>
      <c r="I303" s="438"/>
      <c r="J303" s="70"/>
      <c r="K303" s="5" t="s">
        <v>964</v>
      </c>
      <c r="L303" t="s">
        <v>669</v>
      </c>
      <c r="M303" s="3"/>
    </row>
    <row r="304" spans="1:13" ht="31.8">
      <c r="A304" s="5">
        <v>303</v>
      </c>
      <c r="B304" s="5" t="s">
        <v>664</v>
      </c>
      <c r="C304" s="5" t="s">
        <v>112</v>
      </c>
      <c r="D304" s="5" t="s">
        <v>739</v>
      </c>
      <c r="E304" s="5"/>
      <c r="G304" s="451" t="s">
        <v>1027</v>
      </c>
      <c r="H304" s="313" t="s">
        <v>642</v>
      </c>
      <c r="I304" s="438"/>
      <c r="J304" s="70"/>
      <c r="K304" s="5" t="s">
        <v>964</v>
      </c>
      <c r="L304" t="s">
        <v>669</v>
      </c>
      <c r="M304" s="3"/>
    </row>
    <row r="305" spans="1:13" ht="43.2">
      <c r="A305" s="5">
        <v>304</v>
      </c>
      <c r="B305" s="5" t="s">
        <v>664</v>
      </c>
      <c r="C305" s="5" t="s">
        <v>112</v>
      </c>
      <c r="D305" s="5" t="s">
        <v>739</v>
      </c>
      <c r="E305" s="5"/>
      <c r="G305" s="451" t="s">
        <v>1037</v>
      </c>
      <c r="H305" s="313" t="s">
        <v>1038</v>
      </c>
      <c r="I305" s="438"/>
      <c r="J305" s="70"/>
      <c r="K305" s="5" t="s">
        <v>964</v>
      </c>
      <c r="L305" t="s">
        <v>669</v>
      </c>
      <c r="M305" s="3"/>
    </row>
    <row r="306" spans="1:13" ht="31.8">
      <c r="A306" s="5">
        <v>305</v>
      </c>
      <c r="B306" s="5" t="s">
        <v>664</v>
      </c>
      <c r="C306" s="5" t="s">
        <v>112</v>
      </c>
      <c r="D306" s="5" t="s">
        <v>739</v>
      </c>
      <c r="E306" s="5"/>
      <c r="G306" s="451" t="s">
        <v>1037</v>
      </c>
      <c r="H306" s="313" t="s">
        <v>1039</v>
      </c>
      <c r="I306" s="438"/>
      <c r="J306" s="70"/>
      <c r="K306" s="5" t="s">
        <v>964</v>
      </c>
      <c r="L306" t="s">
        <v>669</v>
      </c>
      <c r="M306" s="3"/>
    </row>
    <row r="307" spans="1:13" ht="31.8">
      <c r="A307" s="5">
        <v>306</v>
      </c>
      <c r="B307" s="5" t="s">
        <v>664</v>
      </c>
      <c r="C307" s="5" t="s">
        <v>112</v>
      </c>
      <c r="D307" s="5" t="s">
        <v>739</v>
      </c>
      <c r="E307" s="5"/>
      <c r="G307" s="451" t="s">
        <v>1037</v>
      </c>
      <c r="H307" s="313" t="s">
        <v>1040</v>
      </c>
      <c r="I307" s="438"/>
      <c r="J307" s="70"/>
      <c r="K307" s="5" t="s">
        <v>964</v>
      </c>
      <c r="L307" t="s">
        <v>669</v>
      </c>
      <c r="M307" s="3"/>
    </row>
    <row r="308" spans="1:13" ht="31.8">
      <c r="A308" s="5">
        <v>307</v>
      </c>
      <c r="B308" s="5" t="s">
        <v>664</v>
      </c>
      <c r="C308" s="5" t="s">
        <v>112</v>
      </c>
      <c r="D308" s="5" t="s">
        <v>739</v>
      </c>
      <c r="E308" s="5"/>
      <c r="G308" s="451" t="s">
        <v>1037</v>
      </c>
      <c r="H308" s="313" t="s">
        <v>1041</v>
      </c>
      <c r="I308" s="438"/>
      <c r="J308" s="70"/>
      <c r="K308" s="5" t="s">
        <v>964</v>
      </c>
      <c r="L308" t="s">
        <v>669</v>
      </c>
      <c r="M308" s="3"/>
    </row>
    <row r="309" spans="1:13" ht="31.8">
      <c r="A309" s="5">
        <v>308</v>
      </c>
      <c r="B309" s="5" t="s">
        <v>664</v>
      </c>
      <c r="C309" s="5" t="s">
        <v>112</v>
      </c>
      <c r="D309" s="5" t="s">
        <v>739</v>
      </c>
      <c r="E309" s="5"/>
      <c r="G309" s="451" t="s">
        <v>1037</v>
      </c>
      <c r="H309" s="313" t="s">
        <v>1042</v>
      </c>
      <c r="I309" s="438"/>
      <c r="J309" s="70"/>
      <c r="K309" s="5" t="s">
        <v>964</v>
      </c>
      <c r="L309" t="s">
        <v>669</v>
      </c>
      <c r="M309" s="3"/>
    </row>
    <row r="310" spans="1:13" ht="31.8">
      <c r="A310" s="5">
        <v>309</v>
      </c>
      <c r="B310" s="5" t="s">
        <v>664</v>
      </c>
      <c r="C310" s="5" t="s">
        <v>112</v>
      </c>
      <c r="D310" s="5" t="s">
        <v>739</v>
      </c>
      <c r="E310" s="5"/>
      <c r="G310" s="451" t="s">
        <v>1037</v>
      </c>
      <c r="H310" s="313" t="s">
        <v>1043</v>
      </c>
      <c r="I310" s="438"/>
      <c r="J310" s="70"/>
      <c r="K310" s="5" t="s">
        <v>964</v>
      </c>
      <c r="L310" t="s">
        <v>669</v>
      </c>
      <c r="M310" s="3"/>
    </row>
    <row r="311" spans="1:13" ht="31.8">
      <c r="A311" s="5">
        <v>310</v>
      </c>
      <c r="B311" s="5" t="s">
        <v>664</v>
      </c>
      <c r="C311" s="5" t="s">
        <v>112</v>
      </c>
      <c r="D311" s="5" t="s">
        <v>739</v>
      </c>
      <c r="E311" s="5"/>
      <c r="G311" s="451" t="s">
        <v>1037</v>
      </c>
      <c r="H311" s="313" t="s">
        <v>1044</v>
      </c>
      <c r="I311" s="438"/>
      <c r="J311" s="70"/>
      <c r="K311" s="5" t="s">
        <v>964</v>
      </c>
      <c r="L311" t="s">
        <v>669</v>
      </c>
      <c r="M311" s="3"/>
    </row>
    <row r="312" spans="1:13" ht="31.8">
      <c r="A312" s="5">
        <v>311</v>
      </c>
      <c r="B312" s="5" t="s">
        <v>664</v>
      </c>
      <c r="C312" s="5" t="s">
        <v>112</v>
      </c>
      <c r="D312" s="5" t="s">
        <v>739</v>
      </c>
      <c r="E312" s="5"/>
      <c r="G312" s="451" t="s">
        <v>1037</v>
      </c>
      <c r="H312" s="313" t="s">
        <v>1045</v>
      </c>
      <c r="I312" s="438"/>
      <c r="J312" s="70"/>
      <c r="K312" s="5" t="s">
        <v>964</v>
      </c>
      <c r="L312" t="s">
        <v>669</v>
      </c>
      <c r="M312" s="3"/>
    </row>
    <row r="313" spans="1:13" ht="31.8">
      <c r="A313" s="5">
        <v>312</v>
      </c>
      <c r="B313" s="5" t="s">
        <v>664</v>
      </c>
      <c r="C313" s="5" t="s">
        <v>112</v>
      </c>
      <c r="D313" s="5" t="s">
        <v>739</v>
      </c>
      <c r="E313" s="5"/>
      <c r="G313" s="451" t="s">
        <v>1037</v>
      </c>
      <c r="H313" s="313" t="s">
        <v>1046</v>
      </c>
      <c r="I313" s="438"/>
      <c r="J313" s="70"/>
      <c r="K313" s="5" t="s">
        <v>964</v>
      </c>
      <c r="L313" t="s">
        <v>669</v>
      </c>
      <c r="M313" s="3"/>
    </row>
    <row r="314" spans="1:13" ht="31.8">
      <c r="A314" s="5">
        <v>313</v>
      </c>
      <c r="B314" s="5" t="s">
        <v>664</v>
      </c>
      <c r="C314" s="5" t="s">
        <v>112</v>
      </c>
      <c r="D314" s="5" t="s">
        <v>739</v>
      </c>
      <c r="E314" s="5"/>
      <c r="G314" s="451" t="s">
        <v>1037</v>
      </c>
      <c r="H314" s="313" t="s">
        <v>1047</v>
      </c>
      <c r="I314" s="438"/>
      <c r="J314" s="70"/>
      <c r="K314" s="5" t="s">
        <v>964</v>
      </c>
      <c r="L314" t="s">
        <v>669</v>
      </c>
      <c r="M314" s="3"/>
    </row>
    <row r="315" spans="1:13" ht="31.8">
      <c r="A315" s="5">
        <v>314</v>
      </c>
      <c r="B315" s="5" t="s">
        <v>664</v>
      </c>
      <c r="C315" s="5" t="s">
        <v>112</v>
      </c>
      <c r="D315" s="5" t="s">
        <v>739</v>
      </c>
      <c r="E315" s="5"/>
      <c r="G315" s="451" t="s">
        <v>1048</v>
      </c>
      <c r="H315" s="313" t="s">
        <v>1049</v>
      </c>
      <c r="I315" s="438"/>
      <c r="J315" s="70"/>
      <c r="K315" s="5" t="s">
        <v>964</v>
      </c>
      <c r="L315" t="s">
        <v>669</v>
      </c>
      <c r="M315" s="3"/>
    </row>
    <row r="316" spans="1:13" ht="43.2">
      <c r="A316" s="5">
        <v>315</v>
      </c>
      <c r="B316" s="5" t="s">
        <v>664</v>
      </c>
      <c r="C316" s="5" t="s">
        <v>112</v>
      </c>
      <c r="D316" s="5" t="s">
        <v>739</v>
      </c>
      <c r="E316" s="5"/>
      <c r="G316" s="451" t="s">
        <v>1048</v>
      </c>
      <c r="H316" s="313" t="s">
        <v>1050</v>
      </c>
      <c r="I316" s="438"/>
      <c r="J316" s="70"/>
      <c r="K316" s="5" t="s">
        <v>964</v>
      </c>
      <c r="L316" t="s">
        <v>669</v>
      </c>
      <c r="M316" s="3"/>
    </row>
    <row r="317" spans="1:13" ht="31.8">
      <c r="A317" s="5">
        <v>316</v>
      </c>
      <c r="B317" s="5" t="s">
        <v>664</v>
      </c>
      <c r="C317" s="5" t="s">
        <v>112</v>
      </c>
      <c r="D317" s="5" t="s">
        <v>739</v>
      </c>
      <c r="E317" s="5"/>
      <c r="G317" s="451" t="s">
        <v>1048</v>
      </c>
      <c r="H317" s="313" t="s">
        <v>1051</v>
      </c>
      <c r="I317" s="438"/>
      <c r="J317" s="70"/>
      <c r="K317" s="5" t="s">
        <v>964</v>
      </c>
      <c r="L317" t="s">
        <v>669</v>
      </c>
      <c r="M317" s="3"/>
    </row>
    <row r="318" spans="1:13" ht="31.8">
      <c r="A318" s="5">
        <v>317</v>
      </c>
      <c r="B318" s="5" t="s">
        <v>664</v>
      </c>
      <c r="C318" s="5" t="s">
        <v>112</v>
      </c>
      <c r="D318" s="5" t="s">
        <v>739</v>
      </c>
      <c r="E318" s="5"/>
      <c r="G318" s="451" t="s">
        <v>1048</v>
      </c>
      <c r="H318" s="313" t="s">
        <v>1052</v>
      </c>
      <c r="I318" s="438"/>
      <c r="J318" s="70"/>
      <c r="K318" s="5" t="s">
        <v>964</v>
      </c>
      <c r="L318" t="s">
        <v>669</v>
      </c>
      <c r="M318" s="3"/>
    </row>
    <row r="319" spans="1:13" ht="31.8">
      <c r="A319" s="5">
        <v>318</v>
      </c>
      <c r="B319" s="5" t="s">
        <v>664</v>
      </c>
      <c r="C319" s="5" t="s">
        <v>112</v>
      </c>
      <c r="D319" s="5" t="s">
        <v>739</v>
      </c>
      <c r="E319" s="5"/>
      <c r="G319" s="451" t="s">
        <v>1048</v>
      </c>
      <c r="H319" s="313" t="s">
        <v>1053</v>
      </c>
      <c r="I319" s="438"/>
      <c r="J319" s="70"/>
      <c r="K319" s="5" t="s">
        <v>964</v>
      </c>
      <c r="L319" t="s">
        <v>669</v>
      </c>
      <c r="M319" s="3"/>
    </row>
    <row r="320" spans="1:13" ht="31.8">
      <c r="A320" s="5">
        <v>319</v>
      </c>
      <c r="B320" s="5" t="s">
        <v>664</v>
      </c>
      <c r="C320" s="5" t="s">
        <v>112</v>
      </c>
      <c r="D320" s="5" t="s">
        <v>739</v>
      </c>
      <c r="E320" s="5"/>
      <c r="G320" s="451" t="s">
        <v>1048</v>
      </c>
      <c r="H320" s="313" t="s">
        <v>1054</v>
      </c>
      <c r="I320" s="438"/>
      <c r="J320" s="70"/>
      <c r="K320" s="5" t="s">
        <v>964</v>
      </c>
      <c r="L320" t="s">
        <v>669</v>
      </c>
      <c r="M320" s="3"/>
    </row>
    <row r="321" spans="1:13" ht="31.8">
      <c r="A321" s="5">
        <v>320</v>
      </c>
      <c r="B321" s="5" t="s">
        <v>664</v>
      </c>
      <c r="C321" s="5" t="s">
        <v>112</v>
      </c>
      <c r="D321" s="5" t="s">
        <v>739</v>
      </c>
      <c r="E321" s="5"/>
      <c r="G321" s="451" t="s">
        <v>1048</v>
      </c>
      <c r="H321" s="313" t="s">
        <v>1055</v>
      </c>
      <c r="I321" s="438"/>
      <c r="J321" s="70"/>
      <c r="K321" s="5" t="s">
        <v>964</v>
      </c>
      <c r="L321" t="s">
        <v>669</v>
      </c>
      <c r="M321" s="3"/>
    </row>
    <row r="322" spans="1:13" ht="31.8">
      <c r="A322" s="5">
        <v>321</v>
      </c>
      <c r="B322" s="5" t="s">
        <v>664</v>
      </c>
      <c r="C322" s="5" t="s">
        <v>112</v>
      </c>
      <c r="D322" s="5" t="s">
        <v>739</v>
      </c>
      <c r="E322" s="5"/>
      <c r="G322" s="451" t="s">
        <v>1048</v>
      </c>
      <c r="H322" s="313" t="s">
        <v>1056</v>
      </c>
      <c r="I322" s="438"/>
      <c r="J322" s="70"/>
      <c r="K322" s="5" t="s">
        <v>964</v>
      </c>
      <c r="L322" t="s">
        <v>669</v>
      </c>
      <c r="M322" s="3"/>
    </row>
    <row r="323" spans="1:13" ht="31.8">
      <c r="A323" s="5">
        <v>322</v>
      </c>
      <c r="B323" s="5" t="s">
        <v>664</v>
      </c>
      <c r="C323" s="5" t="s">
        <v>112</v>
      </c>
      <c r="D323" s="5" t="s">
        <v>739</v>
      </c>
      <c r="E323" s="5"/>
      <c r="G323" s="451" t="s">
        <v>1048</v>
      </c>
      <c r="H323" s="313" t="s">
        <v>1057</v>
      </c>
      <c r="I323" s="438"/>
      <c r="J323" s="70"/>
      <c r="K323" s="5" t="s">
        <v>964</v>
      </c>
      <c r="L323" t="s">
        <v>669</v>
      </c>
      <c r="M323" s="3"/>
    </row>
    <row r="324" spans="1:13" ht="31.8">
      <c r="A324" s="5">
        <v>323</v>
      </c>
      <c r="B324" s="5" t="s">
        <v>664</v>
      </c>
      <c r="C324" s="5" t="s">
        <v>112</v>
      </c>
      <c r="D324" s="5" t="s">
        <v>739</v>
      </c>
      <c r="E324" s="5"/>
      <c r="G324" s="451" t="s">
        <v>1048</v>
      </c>
      <c r="H324" s="313" t="s">
        <v>547</v>
      </c>
      <c r="I324" s="438"/>
      <c r="J324" s="70"/>
      <c r="K324" s="5" t="s">
        <v>964</v>
      </c>
      <c r="L324" t="s">
        <v>669</v>
      </c>
      <c r="M324" s="3"/>
    </row>
    <row r="325" spans="1:13" ht="31.8">
      <c r="A325" s="5">
        <v>324</v>
      </c>
      <c r="B325" s="5" t="s">
        <v>664</v>
      </c>
      <c r="C325" s="5" t="s">
        <v>112</v>
      </c>
      <c r="D325" s="5" t="s">
        <v>739</v>
      </c>
      <c r="E325" s="5"/>
      <c r="G325" s="451" t="s">
        <v>1058</v>
      </c>
      <c r="H325" s="313" t="s">
        <v>1059</v>
      </c>
      <c r="I325" s="438"/>
      <c r="J325" s="70"/>
      <c r="K325" s="5" t="s">
        <v>964</v>
      </c>
      <c r="L325" t="s">
        <v>669</v>
      </c>
      <c r="M325" s="3"/>
    </row>
    <row r="326" spans="1:13" ht="31.8">
      <c r="A326" s="5">
        <v>325</v>
      </c>
      <c r="B326" s="5" t="s">
        <v>664</v>
      </c>
      <c r="C326" s="5" t="s">
        <v>112</v>
      </c>
      <c r="D326" s="5" t="s">
        <v>739</v>
      </c>
      <c r="E326" s="5"/>
      <c r="G326" s="451" t="s">
        <v>1058</v>
      </c>
      <c r="H326" s="313" t="s">
        <v>1060</v>
      </c>
      <c r="I326" s="438"/>
      <c r="J326" s="70"/>
      <c r="K326" s="5" t="s">
        <v>964</v>
      </c>
      <c r="L326" t="s">
        <v>669</v>
      </c>
      <c r="M326" s="3"/>
    </row>
    <row r="327" spans="1:13" ht="31.8">
      <c r="A327" s="5">
        <v>326</v>
      </c>
      <c r="B327" s="5" t="s">
        <v>664</v>
      </c>
      <c r="C327" s="5" t="s">
        <v>112</v>
      </c>
      <c r="D327" s="5" t="s">
        <v>739</v>
      </c>
      <c r="E327" s="5"/>
      <c r="G327" s="451" t="s">
        <v>1058</v>
      </c>
      <c r="H327" s="313" t="s">
        <v>1061</v>
      </c>
      <c r="I327" s="438"/>
      <c r="J327" s="70"/>
      <c r="K327" s="5" t="s">
        <v>964</v>
      </c>
      <c r="L327" t="s">
        <v>669</v>
      </c>
      <c r="M327" s="3"/>
    </row>
    <row r="328" spans="1:13" ht="31.8">
      <c r="A328" s="5">
        <v>327</v>
      </c>
      <c r="B328" s="5" t="s">
        <v>664</v>
      </c>
      <c r="C328" s="5" t="s">
        <v>112</v>
      </c>
      <c r="D328" s="5" t="s">
        <v>739</v>
      </c>
      <c r="E328" s="5"/>
      <c r="G328" s="451" t="s">
        <v>1058</v>
      </c>
      <c r="H328" s="313" t="s">
        <v>1062</v>
      </c>
      <c r="I328" s="438"/>
      <c r="J328" s="70"/>
      <c r="K328" s="5" t="s">
        <v>964</v>
      </c>
      <c r="L328" t="s">
        <v>669</v>
      </c>
      <c r="M328" s="3"/>
    </row>
    <row r="329" spans="1:13" ht="31.8">
      <c r="A329" s="5">
        <v>328</v>
      </c>
      <c r="B329" s="5" t="s">
        <v>664</v>
      </c>
      <c r="C329" s="5" t="s">
        <v>112</v>
      </c>
      <c r="D329" s="5" t="s">
        <v>739</v>
      </c>
      <c r="E329" s="5"/>
      <c r="G329" s="451" t="s">
        <v>1058</v>
      </c>
      <c r="H329" s="313" t="s">
        <v>1063</v>
      </c>
      <c r="I329" s="438"/>
      <c r="J329" s="70"/>
      <c r="K329" s="5" t="s">
        <v>964</v>
      </c>
      <c r="L329" t="s">
        <v>669</v>
      </c>
      <c r="M329" s="3"/>
    </row>
    <row r="330" spans="1:13" ht="31.8">
      <c r="A330" s="5">
        <v>329</v>
      </c>
      <c r="B330" s="5" t="s">
        <v>664</v>
      </c>
      <c r="C330" s="5" t="s">
        <v>112</v>
      </c>
      <c r="D330" s="5" t="s">
        <v>739</v>
      </c>
      <c r="E330" s="5"/>
      <c r="G330" s="451" t="s">
        <v>1058</v>
      </c>
      <c r="H330" s="313" t="s">
        <v>1064</v>
      </c>
      <c r="I330" s="438"/>
      <c r="J330" s="70"/>
      <c r="K330" s="5" t="s">
        <v>964</v>
      </c>
      <c r="L330" t="s">
        <v>669</v>
      </c>
      <c r="M330" s="3"/>
    </row>
    <row r="331" spans="1:13" ht="43.2">
      <c r="A331" s="5">
        <v>330</v>
      </c>
      <c r="B331" s="5" t="s">
        <v>664</v>
      </c>
      <c r="C331" s="5" t="s">
        <v>112</v>
      </c>
      <c r="D331" s="5" t="s">
        <v>739</v>
      </c>
      <c r="E331" s="5"/>
      <c r="G331" s="451" t="s">
        <v>1058</v>
      </c>
      <c r="H331" s="313" t="s">
        <v>1065</v>
      </c>
      <c r="I331" s="438"/>
      <c r="J331" s="70"/>
      <c r="K331" s="5" t="s">
        <v>964</v>
      </c>
      <c r="L331" t="s">
        <v>669</v>
      </c>
      <c r="M331" s="3"/>
    </row>
    <row r="332" spans="1:13" ht="31.8">
      <c r="A332" s="5">
        <v>331</v>
      </c>
      <c r="B332" s="5" t="s">
        <v>664</v>
      </c>
      <c r="C332" s="5" t="s">
        <v>112</v>
      </c>
      <c r="D332" s="5" t="s">
        <v>739</v>
      </c>
      <c r="E332" s="5"/>
      <c r="G332" s="451" t="s">
        <v>1058</v>
      </c>
      <c r="H332" s="313" t="s">
        <v>1066</v>
      </c>
      <c r="I332" s="438"/>
      <c r="J332" s="70"/>
      <c r="K332" s="5" t="s">
        <v>964</v>
      </c>
      <c r="L332" t="s">
        <v>669</v>
      </c>
      <c r="M332" s="3"/>
    </row>
    <row r="333" spans="1:13" ht="31.8">
      <c r="A333" s="5">
        <v>332</v>
      </c>
      <c r="B333" s="5" t="s">
        <v>664</v>
      </c>
      <c r="C333" s="5" t="s">
        <v>112</v>
      </c>
      <c r="D333" s="5" t="s">
        <v>739</v>
      </c>
      <c r="E333" s="5"/>
      <c r="G333" s="451" t="s">
        <v>1058</v>
      </c>
      <c r="H333" s="313" t="s">
        <v>1067</v>
      </c>
      <c r="I333" s="438"/>
      <c r="J333" s="70"/>
      <c r="K333" s="5" t="s">
        <v>964</v>
      </c>
      <c r="L333" t="s">
        <v>669</v>
      </c>
      <c r="M333" s="3"/>
    </row>
    <row r="334" spans="1:13" ht="31.8">
      <c r="A334" s="5">
        <v>333</v>
      </c>
      <c r="B334" s="5" t="s">
        <v>664</v>
      </c>
      <c r="C334" s="5" t="s">
        <v>112</v>
      </c>
      <c r="D334" s="5" t="s">
        <v>739</v>
      </c>
      <c r="E334" s="5"/>
      <c r="G334" s="451" t="s">
        <v>1058</v>
      </c>
      <c r="H334" s="313" t="s">
        <v>1068</v>
      </c>
      <c r="I334" s="438"/>
      <c r="J334" s="70"/>
      <c r="K334" s="5" t="s">
        <v>964</v>
      </c>
      <c r="L334" t="s">
        <v>669</v>
      </c>
      <c r="M334" s="3"/>
    </row>
    <row r="335" spans="1:13" ht="36">
      <c r="A335" s="5">
        <v>334</v>
      </c>
      <c r="B335" s="5" t="s">
        <v>664</v>
      </c>
      <c r="C335" s="5" t="s">
        <v>112</v>
      </c>
      <c r="D335" s="5" t="s">
        <v>1069</v>
      </c>
      <c r="E335" s="5"/>
      <c r="G335" s="4" t="s">
        <v>1070</v>
      </c>
      <c r="H335" s="306" t="s">
        <v>1071</v>
      </c>
      <c r="K335" s="5" t="s">
        <v>964</v>
      </c>
      <c r="L335" t="s">
        <v>669</v>
      </c>
      <c r="M335" s="3"/>
    </row>
    <row r="336" spans="1:13" ht="36">
      <c r="A336" s="5">
        <v>335</v>
      </c>
      <c r="B336" s="5" t="s">
        <v>664</v>
      </c>
      <c r="C336" s="5" t="s">
        <v>112</v>
      </c>
      <c r="D336" s="5" t="s">
        <v>1069</v>
      </c>
      <c r="E336" s="5"/>
      <c r="G336" s="4" t="s">
        <v>1070</v>
      </c>
      <c r="H336" s="306" t="s">
        <v>1072</v>
      </c>
      <c r="K336" s="5" t="s">
        <v>964</v>
      </c>
      <c r="L336" t="s">
        <v>669</v>
      </c>
      <c r="M336" s="3"/>
    </row>
    <row r="337" spans="1:15" ht="36">
      <c r="A337" s="5">
        <v>336</v>
      </c>
      <c r="B337" s="5" t="s">
        <v>664</v>
      </c>
      <c r="C337" s="5" t="s">
        <v>112</v>
      </c>
      <c r="D337" s="5" t="s">
        <v>1069</v>
      </c>
      <c r="E337" s="5"/>
      <c r="G337" s="4" t="s">
        <v>1070</v>
      </c>
      <c r="H337" s="306" t="s">
        <v>1073</v>
      </c>
      <c r="K337" s="5" t="s">
        <v>964</v>
      </c>
      <c r="L337" t="s">
        <v>669</v>
      </c>
      <c r="M337" s="3"/>
    </row>
    <row r="338" spans="1:15" ht="36">
      <c r="A338" s="5">
        <v>337</v>
      </c>
      <c r="B338" s="5" t="s">
        <v>664</v>
      </c>
      <c r="C338" s="5" t="s">
        <v>112</v>
      </c>
      <c r="D338" s="5" t="s">
        <v>1069</v>
      </c>
      <c r="E338" s="5"/>
      <c r="G338" s="4" t="s">
        <v>1070</v>
      </c>
      <c r="H338" s="306" t="s">
        <v>1074</v>
      </c>
      <c r="K338" s="5" t="s">
        <v>964</v>
      </c>
      <c r="L338" t="s">
        <v>669</v>
      </c>
      <c r="M338" s="3"/>
    </row>
    <row r="339" spans="1:15" ht="36">
      <c r="A339" s="5">
        <v>338</v>
      </c>
      <c r="B339" s="5" t="s">
        <v>664</v>
      </c>
      <c r="C339" s="5" t="s">
        <v>112</v>
      </c>
      <c r="D339" s="5" t="s">
        <v>1069</v>
      </c>
      <c r="E339" s="5"/>
      <c r="G339" s="4" t="s">
        <v>1070</v>
      </c>
      <c r="H339" s="306" t="s">
        <v>941</v>
      </c>
      <c r="K339" s="5" t="s">
        <v>964</v>
      </c>
      <c r="L339" t="s">
        <v>669</v>
      </c>
      <c r="M339" s="3"/>
    </row>
    <row r="340" spans="1:15" ht="36">
      <c r="A340" s="5">
        <v>339</v>
      </c>
      <c r="B340" s="5" t="s">
        <v>664</v>
      </c>
      <c r="C340" s="5" t="s">
        <v>112</v>
      </c>
      <c r="D340" s="5" t="s">
        <v>1069</v>
      </c>
      <c r="E340" s="5"/>
      <c r="G340" s="4" t="s">
        <v>1070</v>
      </c>
      <c r="H340" s="306" t="s">
        <v>1075</v>
      </c>
      <c r="K340" s="5" t="s">
        <v>964</v>
      </c>
      <c r="L340" t="s">
        <v>669</v>
      </c>
      <c r="M340" s="3"/>
    </row>
    <row r="341" spans="1:15" ht="36">
      <c r="A341" s="5">
        <v>340</v>
      </c>
      <c r="B341" s="5" t="s">
        <v>664</v>
      </c>
      <c r="C341" s="5" t="s">
        <v>112</v>
      </c>
      <c r="D341" s="5" t="s">
        <v>1069</v>
      </c>
      <c r="E341" s="5"/>
      <c r="G341" s="4" t="s">
        <v>1070</v>
      </c>
      <c r="H341" s="306" t="s">
        <v>1076</v>
      </c>
      <c r="K341" s="5" t="s">
        <v>964</v>
      </c>
      <c r="L341" t="s">
        <v>669</v>
      </c>
      <c r="M341" s="3"/>
    </row>
    <row r="342" spans="1:15" ht="36">
      <c r="A342" s="5">
        <v>341</v>
      </c>
      <c r="B342" s="5" t="s">
        <v>664</v>
      </c>
      <c r="C342" s="5" t="s">
        <v>112</v>
      </c>
      <c r="D342" s="5" t="s">
        <v>1069</v>
      </c>
      <c r="E342" s="5"/>
      <c r="G342" s="4" t="s">
        <v>1070</v>
      </c>
      <c r="H342" s="306" t="s">
        <v>1077</v>
      </c>
      <c r="K342" s="5" t="s">
        <v>964</v>
      </c>
      <c r="L342" t="s">
        <v>669</v>
      </c>
      <c r="M342" s="3"/>
    </row>
    <row r="343" spans="1:15" ht="36">
      <c r="A343" s="5">
        <v>342</v>
      </c>
      <c r="B343" s="5" t="s">
        <v>664</v>
      </c>
      <c r="C343" s="5" t="s">
        <v>112</v>
      </c>
      <c r="D343" s="5" t="s">
        <v>1069</v>
      </c>
      <c r="E343" s="5"/>
      <c r="G343" s="4" t="s">
        <v>1070</v>
      </c>
      <c r="H343" s="306" t="s">
        <v>943</v>
      </c>
      <c r="K343" s="5" t="s">
        <v>964</v>
      </c>
      <c r="L343" t="s">
        <v>669</v>
      </c>
      <c r="M343" s="3"/>
    </row>
    <row r="344" spans="1:15" ht="36">
      <c r="A344" s="5">
        <v>343</v>
      </c>
      <c r="B344" s="5" t="s">
        <v>664</v>
      </c>
      <c r="C344" s="5" t="s">
        <v>112</v>
      </c>
      <c r="D344" s="5" t="s">
        <v>1069</v>
      </c>
      <c r="E344" s="5"/>
      <c r="G344" s="4" t="s">
        <v>1070</v>
      </c>
      <c r="H344" s="306" t="s">
        <v>1078</v>
      </c>
      <c r="K344" s="5" t="s">
        <v>964</v>
      </c>
      <c r="L344" t="s">
        <v>669</v>
      </c>
      <c r="M344" s="3"/>
    </row>
    <row r="345" spans="1:15" ht="36">
      <c r="A345" s="5">
        <v>344</v>
      </c>
      <c r="B345" s="5" t="s">
        <v>664</v>
      </c>
      <c r="C345" s="5" t="s">
        <v>112</v>
      </c>
      <c r="D345" s="5" t="s">
        <v>1069</v>
      </c>
      <c r="E345" s="5"/>
      <c r="G345" s="6" t="s">
        <v>1079</v>
      </c>
      <c r="H345" s="306" t="s">
        <v>1080</v>
      </c>
      <c r="I345" s="438" t="s">
        <v>1081</v>
      </c>
      <c r="J345" t="s">
        <v>1082</v>
      </c>
      <c r="K345" s="5" t="s">
        <v>964</v>
      </c>
      <c r="L345" t="s">
        <v>669</v>
      </c>
      <c r="M345" s="3" t="s">
        <v>1083</v>
      </c>
      <c r="N345" s="5" t="s">
        <v>1084</v>
      </c>
      <c r="O345" s="5" t="s">
        <v>1085</v>
      </c>
    </row>
    <row r="346" spans="1:15" ht="36">
      <c r="A346" s="5">
        <v>345</v>
      </c>
      <c r="B346" s="5" t="s">
        <v>664</v>
      </c>
      <c r="C346" s="5" t="s">
        <v>112</v>
      </c>
      <c r="D346" s="5" t="s">
        <v>1069</v>
      </c>
      <c r="E346" s="5"/>
      <c r="G346" s="6" t="s">
        <v>1086</v>
      </c>
      <c r="H346" s="306" t="s">
        <v>1087</v>
      </c>
      <c r="J346" t="s">
        <v>1088</v>
      </c>
      <c r="K346" s="5" t="s">
        <v>964</v>
      </c>
      <c r="L346" t="s">
        <v>669</v>
      </c>
      <c r="M346" s="3"/>
      <c r="N346" s="5" t="s">
        <v>1089</v>
      </c>
      <c r="O346" s="8" t="s">
        <v>1090</v>
      </c>
    </row>
    <row r="347" spans="1:15" ht="36">
      <c r="A347" s="5">
        <v>346</v>
      </c>
      <c r="B347" s="5" t="s">
        <v>664</v>
      </c>
      <c r="C347" s="5" t="s">
        <v>112</v>
      </c>
      <c r="D347" s="5" t="s">
        <v>1069</v>
      </c>
      <c r="E347" s="5"/>
      <c r="G347" s="6" t="s">
        <v>1086</v>
      </c>
      <c r="H347" s="306" t="s">
        <v>1091</v>
      </c>
      <c r="I347" s="438" t="s">
        <v>1092</v>
      </c>
      <c r="J347" t="s">
        <v>1093</v>
      </c>
      <c r="K347" s="5" t="s">
        <v>964</v>
      </c>
      <c r="L347" t="s">
        <v>669</v>
      </c>
      <c r="M347" s="3" t="s">
        <v>1083</v>
      </c>
      <c r="N347" s="5" t="s">
        <v>1094</v>
      </c>
      <c r="O347" s="5" t="s">
        <v>1095</v>
      </c>
    </row>
    <row r="348" spans="1:15" ht="36">
      <c r="A348" s="5">
        <v>347</v>
      </c>
      <c r="B348" s="5" t="s">
        <v>664</v>
      </c>
      <c r="C348" s="5" t="s">
        <v>112</v>
      </c>
      <c r="D348" s="5" t="s">
        <v>1069</v>
      </c>
      <c r="E348" s="5"/>
      <c r="G348" s="6" t="s">
        <v>1086</v>
      </c>
      <c r="H348" s="306" t="s">
        <v>1096</v>
      </c>
      <c r="J348" t="s">
        <v>1097</v>
      </c>
      <c r="K348" s="5" t="s">
        <v>964</v>
      </c>
      <c r="L348" t="s">
        <v>669</v>
      </c>
      <c r="M348" s="3"/>
      <c r="N348" s="5" t="s">
        <v>1089</v>
      </c>
      <c r="O348" s="8" t="s">
        <v>1090</v>
      </c>
    </row>
    <row r="349" spans="1:15" ht="36">
      <c r="A349" s="5">
        <v>348</v>
      </c>
      <c r="B349" s="5" t="s">
        <v>664</v>
      </c>
      <c r="C349" s="5" t="s">
        <v>112</v>
      </c>
      <c r="D349" s="5" t="s">
        <v>1069</v>
      </c>
      <c r="E349" s="5"/>
      <c r="G349" s="6" t="s">
        <v>1079</v>
      </c>
      <c r="H349" s="306" t="s">
        <v>1098</v>
      </c>
      <c r="I349" s="438" t="s">
        <v>1099</v>
      </c>
      <c r="J349" t="s">
        <v>1100</v>
      </c>
      <c r="K349" s="5" t="s">
        <v>964</v>
      </c>
      <c r="L349" t="s">
        <v>669</v>
      </c>
      <c r="M349" s="3" t="s">
        <v>1083</v>
      </c>
      <c r="N349" s="5" t="s">
        <v>1094</v>
      </c>
      <c r="O349" s="5" t="s">
        <v>1095</v>
      </c>
    </row>
    <row r="350" spans="1:15" ht="36">
      <c r="A350" s="5">
        <v>349</v>
      </c>
      <c r="B350" s="5" t="s">
        <v>664</v>
      </c>
      <c r="C350" s="5" t="s">
        <v>112</v>
      </c>
      <c r="D350" s="5" t="s">
        <v>1069</v>
      </c>
      <c r="E350" s="5"/>
      <c r="G350" s="6" t="s">
        <v>1086</v>
      </c>
      <c r="H350" s="306" t="s">
        <v>1101</v>
      </c>
      <c r="J350" t="s">
        <v>1102</v>
      </c>
      <c r="K350" s="5" t="s">
        <v>964</v>
      </c>
      <c r="L350" t="s">
        <v>669</v>
      </c>
      <c r="M350" s="3"/>
      <c r="N350" s="5" t="s">
        <v>1089</v>
      </c>
      <c r="O350" s="8"/>
    </row>
    <row r="351" spans="1:15" ht="36">
      <c r="A351" s="5">
        <v>350</v>
      </c>
      <c r="B351" s="5" t="s">
        <v>664</v>
      </c>
      <c r="C351" s="5" t="s">
        <v>112</v>
      </c>
      <c r="D351" s="5" t="s">
        <v>1069</v>
      </c>
      <c r="E351" s="5"/>
      <c r="G351" s="6" t="s">
        <v>1086</v>
      </c>
      <c r="H351" s="306" t="s">
        <v>1103</v>
      </c>
      <c r="J351" t="s">
        <v>1104</v>
      </c>
      <c r="K351" s="5" t="s">
        <v>964</v>
      </c>
      <c r="L351" t="s">
        <v>669</v>
      </c>
      <c r="M351" s="3"/>
      <c r="N351" s="5" t="s">
        <v>1089</v>
      </c>
      <c r="O351" s="8"/>
    </row>
    <row r="352" spans="1:15" ht="36">
      <c r="A352" s="5">
        <v>351</v>
      </c>
      <c r="B352" s="5" t="s">
        <v>664</v>
      </c>
      <c r="C352" s="5" t="s">
        <v>112</v>
      </c>
      <c r="D352" s="5" t="s">
        <v>1069</v>
      </c>
      <c r="E352" s="5"/>
      <c r="G352" s="6" t="s">
        <v>1086</v>
      </c>
      <c r="H352" s="306" t="s">
        <v>1105</v>
      </c>
      <c r="I352" s="438" t="s">
        <v>1106</v>
      </c>
      <c r="J352" t="s">
        <v>1107</v>
      </c>
      <c r="K352" s="5" t="s">
        <v>964</v>
      </c>
      <c r="L352" t="s">
        <v>669</v>
      </c>
      <c r="M352" s="3" t="s">
        <v>1083</v>
      </c>
      <c r="N352" s="5" t="s">
        <v>1094</v>
      </c>
      <c r="O352" s="5" t="s">
        <v>1085</v>
      </c>
    </row>
    <row r="353" spans="1:15" ht="36">
      <c r="A353" s="5">
        <v>352</v>
      </c>
      <c r="B353" s="5" t="s">
        <v>664</v>
      </c>
      <c r="C353" s="5" t="s">
        <v>112</v>
      </c>
      <c r="D353" s="5" t="s">
        <v>1069</v>
      </c>
      <c r="E353" s="5"/>
      <c r="G353" s="6" t="s">
        <v>1086</v>
      </c>
      <c r="H353" s="306" t="s">
        <v>1108</v>
      </c>
      <c r="I353" s="438" t="s">
        <v>1109</v>
      </c>
      <c r="J353" t="s">
        <v>1110</v>
      </c>
      <c r="K353" s="5" t="s">
        <v>964</v>
      </c>
      <c r="L353" t="s">
        <v>669</v>
      </c>
      <c r="M353" s="3" t="s">
        <v>1083</v>
      </c>
      <c r="N353" s="5" t="s">
        <v>1094</v>
      </c>
      <c r="O353" s="5" t="s">
        <v>1085</v>
      </c>
    </row>
    <row r="354" spans="1:15" ht="36">
      <c r="A354" s="5">
        <v>353</v>
      </c>
      <c r="B354" s="5" t="s">
        <v>664</v>
      </c>
      <c r="C354" s="5" t="s">
        <v>112</v>
      </c>
      <c r="D354" s="5" t="s">
        <v>1069</v>
      </c>
      <c r="E354" s="5"/>
      <c r="G354" s="6" t="s">
        <v>1079</v>
      </c>
      <c r="H354" s="306" t="s">
        <v>1111</v>
      </c>
      <c r="I354" s="438" t="s">
        <v>1112</v>
      </c>
      <c r="J354" t="s">
        <v>1113</v>
      </c>
      <c r="K354" s="5" t="s">
        <v>964</v>
      </c>
      <c r="L354" t="s">
        <v>669</v>
      </c>
      <c r="M354" s="3" t="s">
        <v>1083</v>
      </c>
      <c r="N354" s="5" t="s">
        <v>1094</v>
      </c>
      <c r="O354" s="5" t="s">
        <v>1085</v>
      </c>
    </row>
    <row r="355" spans="1:15" ht="36">
      <c r="A355" s="5">
        <v>354</v>
      </c>
      <c r="B355" s="5" t="s">
        <v>664</v>
      </c>
      <c r="C355" s="5" t="s">
        <v>112</v>
      </c>
      <c r="D355" s="5" t="s">
        <v>1069</v>
      </c>
      <c r="E355" s="5"/>
      <c r="G355" s="6" t="s">
        <v>1086</v>
      </c>
      <c r="H355" s="306" t="s">
        <v>1114</v>
      </c>
      <c r="I355" s="438" t="s">
        <v>1115</v>
      </c>
      <c r="J355" t="s">
        <v>1116</v>
      </c>
      <c r="K355" s="5" t="s">
        <v>964</v>
      </c>
      <c r="L355" t="s">
        <v>669</v>
      </c>
      <c r="M355" s="3" t="s">
        <v>1083</v>
      </c>
      <c r="N355" s="5" t="s">
        <v>1094</v>
      </c>
      <c r="O355" s="5" t="s">
        <v>1085</v>
      </c>
    </row>
    <row r="356" spans="1:15" ht="36">
      <c r="A356" s="5">
        <v>355</v>
      </c>
      <c r="B356" s="5" t="s">
        <v>96</v>
      </c>
      <c r="C356" s="5" t="s">
        <v>112</v>
      </c>
      <c r="D356" s="5" t="s">
        <v>1069</v>
      </c>
      <c r="E356" s="5"/>
      <c r="G356" s="4" t="s">
        <v>1117</v>
      </c>
      <c r="H356" s="305" t="s">
        <v>1118</v>
      </c>
      <c r="I356" s="433"/>
      <c r="J356" s="5"/>
      <c r="L356" t="s">
        <v>669</v>
      </c>
    </row>
    <row r="357" spans="1:15" ht="36">
      <c r="A357" s="5">
        <v>356</v>
      </c>
      <c r="B357" s="5" t="s">
        <v>664</v>
      </c>
      <c r="C357" s="5" t="s">
        <v>112</v>
      </c>
      <c r="D357" s="5" t="s">
        <v>1069</v>
      </c>
      <c r="E357" s="5"/>
      <c r="G357" s="4" t="s">
        <v>1119</v>
      </c>
      <c r="H357" s="306" t="s">
        <v>1120</v>
      </c>
      <c r="L357" t="s">
        <v>669</v>
      </c>
    </row>
    <row r="358" spans="1:15" ht="36">
      <c r="A358" s="5">
        <v>357</v>
      </c>
      <c r="B358" s="5" t="s">
        <v>664</v>
      </c>
      <c r="C358" s="5" t="s">
        <v>112</v>
      </c>
      <c r="D358" s="5" t="s">
        <v>1069</v>
      </c>
      <c r="E358" s="5"/>
      <c r="G358" s="4" t="s">
        <v>1121</v>
      </c>
      <c r="H358" s="306" t="s">
        <v>1122</v>
      </c>
      <c r="L358" t="s">
        <v>669</v>
      </c>
    </row>
    <row r="359" spans="1:15">
      <c r="A359" s="5">
        <v>358</v>
      </c>
      <c r="B359" s="5" t="s">
        <v>664</v>
      </c>
      <c r="C359" s="5" t="s">
        <v>112</v>
      </c>
      <c r="D359" s="5" t="s">
        <v>1069</v>
      </c>
      <c r="E359" s="5"/>
      <c r="G359" s="4" t="s">
        <v>1123</v>
      </c>
      <c r="H359" s="305" t="s">
        <v>1124</v>
      </c>
      <c r="I359" s="433"/>
      <c r="J359" s="5"/>
      <c r="L359" t="s">
        <v>669</v>
      </c>
    </row>
    <row r="360" spans="1:15" ht="36">
      <c r="A360" s="5">
        <v>359</v>
      </c>
      <c r="B360" s="5" t="s">
        <v>664</v>
      </c>
      <c r="C360" s="5" t="s">
        <v>112</v>
      </c>
      <c r="D360" s="5" t="s">
        <v>1069</v>
      </c>
      <c r="E360" s="5"/>
      <c r="G360" s="4" t="s">
        <v>1125</v>
      </c>
      <c r="H360" s="306" t="s">
        <v>1126</v>
      </c>
      <c r="L360" t="s">
        <v>669</v>
      </c>
    </row>
    <row r="361" spans="1:15" ht="36">
      <c r="A361" s="5">
        <v>360</v>
      </c>
      <c r="B361" s="5" t="s">
        <v>664</v>
      </c>
      <c r="C361" s="5" t="s">
        <v>112</v>
      </c>
      <c r="D361" s="5" t="s">
        <v>1069</v>
      </c>
      <c r="E361" s="5"/>
      <c r="G361" s="4" t="s">
        <v>1127</v>
      </c>
      <c r="H361" s="306" t="s">
        <v>1128</v>
      </c>
      <c r="L361" t="s">
        <v>669</v>
      </c>
    </row>
    <row r="362" spans="1:15" ht="36">
      <c r="A362" s="5">
        <v>361</v>
      </c>
      <c r="B362" s="5" t="s">
        <v>664</v>
      </c>
      <c r="C362" s="5" t="s">
        <v>112</v>
      </c>
      <c r="D362" s="5" t="s">
        <v>1069</v>
      </c>
      <c r="E362" s="5"/>
      <c r="G362" s="4" t="s">
        <v>1125</v>
      </c>
      <c r="H362" s="306" t="s">
        <v>1129</v>
      </c>
      <c r="L362" t="s">
        <v>669</v>
      </c>
    </row>
    <row r="363" spans="1:15" ht="36">
      <c r="A363" s="5">
        <v>362</v>
      </c>
      <c r="B363" s="5" t="s">
        <v>664</v>
      </c>
      <c r="C363" s="5" t="s">
        <v>112</v>
      </c>
      <c r="D363" s="5" t="s">
        <v>1069</v>
      </c>
      <c r="E363" s="5"/>
      <c r="G363" s="4" t="s">
        <v>1130</v>
      </c>
      <c r="H363" s="306" t="s">
        <v>1131</v>
      </c>
      <c r="I363" s="436"/>
      <c r="J363" s="4"/>
      <c r="L363" t="s">
        <v>669</v>
      </c>
    </row>
    <row r="364" spans="1:15">
      <c r="A364" s="5">
        <v>363</v>
      </c>
      <c r="B364" s="5" t="s">
        <v>664</v>
      </c>
      <c r="C364" s="5" t="s">
        <v>112</v>
      </c>
      <c r="D364" s="5" t="s">
        <v>1069</v>
      </c>
      <c r="E364" s="5"/>
      <c r="G364" s="4" t="s">
        <v>1132</v>
      </c>
      <c r="H364" s="306" t="s">
        <v>1133</v>
      </c>
      <c r="L364" t="s">
        <v>669</v>
      </c>
    </row>
    <row r="365" spans="1:15">
      <c r="A365" s="5">
        <v>364</v>
      </c>
      <c r="B365" s="5" t="s">
        <v>96</v>
      </c>
      <c r="C365" s="5" t="s">
        <v>112</v>
      </c>
      <c r="D365" s="5" t="s">
        <v>1069</v>
      </c>
      <c r="E365" s="5"/>
      <c r="G365" s="4" t="s">
        <v>1134</v>
      </c>
      <c r="H365" s="305" t="s">
        <v>1135</v>
      </c>
      <c r="I365" s="433"/>
      <c r="J365" s="5"/>
      <c r="L365" t="s">
        <v>669</v>
      </c>
    </row>
    <row r="366" spans="1:15" ht="36">
      <c r="A366" s="5">
        <v>365</v>
      </c>
      <c r="B366" s="5" t="s">
        <v>664</v>
      </c>
      <c r="C366" s="5" t="s">
        <v>112</v>
      </c>
      <c r="D366" s="5" t="s">
        <v>1069</v>
      </c>
      <c r="E366" s="5"/>
      <c r="G366" s="4" t="s">
        <v>1136</v>
      </c>
      <c r="H366" s="306" t="s">
        <v>1137</v>
      </c>
      <c r="I366" s="436"/>
      <c r="J366" s="4"/>
      <c r="K366" t="s">
        <v>659</v>
      </c>
      <c r="L366" t="s">
        <v>669</v>
      </c>
    </row>
    <row r="367" spans="1:15" ht="36">
      <c r="A367" s="5">
        <v>366</v>
      </c>
      <c r="B367" s="5" t="s">
        <v>664</v>
      </c>
      <c r="C367" s="5" t="s">
        <v>112</v>
      </c>
      <c r="D367" s="5" t="s">
        <v>1069</v>
      </c>
      <c r="E367" s="5"/>
      <c r="G367" s="4" t="s">
        <v>1136</v>
      </c>
      <c r="H367" s="306" t="s">
        <v>1138</v>
      </c>
      <c r="K367" t="s">
        <v>659</v>
      </c>
      <c r="L367" t="s">
        <v>669</v>
      </c>
    </row>
    <row r="368" spans="1:15" ht="37.200000000000003">
      <c r="A368" s="5">
        <v>367</v>
      </c>
      <c r="B368" s="5" t="s">
        <v>664</v>
      </c>
      <c r="C368" s="5" t="s">
        <v>112</v>
      </c>
      <c r="D368" s="5" t="s">
        <v>1139</v>
      </c>
      <c r="E368" s="5"/>
      <c r="G368" s="4" t="s">
        <v>1140</v>
      </c>
      <c r="H368" s="313" t="s">
        <v>1141</v>
      </c>
      <c r="I368" s="440"/>
      <c r="J368" s="72" t="s">
        <v>1142</v>
      </c>
      <c r="K368" t="s">
        <v>659</v>
      </c>
      <c r="L368" t="s">
        <v>669</v>
      </c>
    </row>
    <row r="369" spans="1:12" ht="43.2">
      <c r="A369" s="5">
        <v>368</v>
      </c>
      <c r="B369" s="5" t="s">
        <v>664</v>
      </c>
      <c r="C369" s="5" t="s">
        <v>112</v>
      </c>
      <c r="D369" s="5" t="s">
        <v>1139</v>
      </c>
      <c r="E369" s="5"/>
      <c r="G369" s="4" t="s">
        <v>1140</v>
      </c>
      <c r="H369" s="313" t="s">
        <v>1143</v>
      </c>
      <c r="I369" s="440"/>
      <c r="J369" s="72" t="s">
        <v>1144</v>
      </c>
      <c r="K369" t="s">
        <v>659</v>
      </c>
      <c r="L369" t="s">
        <v>669</v>
      </c>
    </row>
    <row r="370" spans="1:12" ht="37.200000000000003">
      <c r="A370" s="5">
        <v>369</v>
      </c>
      <c r="B370" s="5" t="s">
        <v>664</v>
      </c>
      <c r="C370" s="5" t="s">
        <v>112</v>
      </c>
      <c r="D370" s="5" t="s">
        <v>1139</v>
      </c>
      <c r="E370" s="5"/>
      <c r="G370" s="4" t="s">
        <v>1140</v>
      </c>
      <c r="H370" s="313" t="s">
        <v>1145</v>
      </c>
      <c r="I370" s="440"/>
      <c r="J370" s="72" t="s">
        <v>1146</v>
      </c>
      <c r="K370" t="s">
        <v>659</v>
      </c>
      <c r="L370" t="s">
        <v>669</v>
      </c>
    </row>
    <row r="371" spans="1:12" ht="37.200000000000003">
      <c r="A371" s="5">
        <v>370</v>
      </c>
      <c r="B371" s="5" t="s">
        <v>664</v>
      </c>
      <c r="C371" s="5" t="s">
        <v>112</v>
      </c>
      <c r="D371" s="5" t="s">
        <v>1139</v>
      </c>
      <c r="E371" s="5"/>
      <c r="G371" s="4" t="s">
        <v>1140</v>
      </c>
      <c r="H371" s="313" t="s">
        <v>1147</v>
      </c>
      <c r="I371" s="440"/>
      <c r="J371" s="72" t="s">
        <v>1148</v>
      </c>
      <c r="K371" t="s">
        <v>659</v>
      </c>
      <c r="L371" t="s">
        <v>669</v>
      </c>
    </row>
    <row r="372" spans="1:12" ht="37.200000000000003">
      <c r="A372" s="5">
        <v>371</v>
      </c>
      <c r="B372" s="5" t="s">
        <v>664</v>
      </c>
      <c r="C372" s="5" t="s">
        <v>112</v>
      </c>
      <c r="D372" s="5" t="s">
        <v>1139</v>
      </c>
      <c r="E372" s="5"/>
      <c r="G372" s="4" t="s">
        <v>1140</v>
      </c>
      <c r="H372" s="313" t="s">
        <v>1149</v>
      </c>
      <c r="I372" s="440"/>
      <c r="J372" s="72" t="s">
        <v>1150</v>
      </c>
      <c r="K372" t="s">
        <v>659</v>
      </c>
      <c r="L372" t="s">
        <v>669</v>
      </c>
    </row>
    <row r="373" spans="1:12" ht="64.8">
      <c r="A373" s="5">
        <v>372</v>
      </c>
      <c r="B373" s="5" t="s">
        <v>664</v>
      </c>
      <c r="C373" s="5" t="s">
        <v>112</v>
      </c>
      <c r="D373" s="5" t="s">
        <v>1139</v>
      </c>
      <c r="E373" s="5"/>
      <c r="G373" s="4" t="s">
        <v>1140</v>
      </c>
      <c r="H373" s="313" t="s">
        <v>1151</v>
      </c>
      <c r="I373" s="440"/>
      <c r="J373" s="72" t="s">
        <v>1152</v>
      </c>
      <c r="K373" t="s">
        <v>659</v>
      </c>
      <c r="L373" t="s">
        <v>669</v>
      </c>
    </row>
    <row r="374" spans="1:12" ht="37.200000000000003">
      <c r="A374" s="5">
        <v>373</v>
      </c>
      <c r="B374" s="5" t="s">
        <v>664</v>
      </c>
      <c r="C374" s="5" t="s">
        <v>112</v>
      </c>
      <c r="D374" s="5" t="s">
        <v>1139</v>
      </c>
      <c r="E374" s="5"/>
      <c r="G374" s="4" t="s">
        <v>1140</v>
      </c>
      <c r="H374" s="313" t="s">
        <v>1153</v>
      </c>
      <c r="I374" s="440"/>
      <c r="J374" s="72" t="s">
        <v>1154</v>
      </c>
      <c r="K374" t="s">
        <v>659</v>
      </c>
      <c r="L374" t="s">
        <v>669</v>
      </c>
    </row>
    <row r="375" spans="1:12" ht="43.2">
      <c r="A375" s="5">
        <v>374</v>
      </c>
      <c r="B375" s="5" t="s">
        <v>664</v>
      </c>
      <c r="C375" s="5" t="s">
        <v>112</v>
      </c>
      <c r="D375" s="5" t="s">
        <v>1139</v>
      </c>
      <c r="E375" s="5"/>
      <c r="G375" s="4" t="s">
        <v>1140</v>
      </c>
      <c r="H375" s="313" t="s">
        <v>1155</v>
      </c>
      <c r="I375" s="440"/>
      <c r="J375" s="72" t="s">
        <v>1156</v>
      </c>
      <c r="K375" t="s">
        <v>659</v>
      </c>
      <c r="L375" t="s">
        <v>669</v>
      </c>
    </row>
    <row r="376" spans="1:12" ht="37.200000000000003">
      <c r="A376" s="5">
        <v>375</v>
      </c>
      <c r="B376" s="5" t="s">
        <v>664</v>
      </c>
      <c r="C376" s="5" t="s">
        <v>112</v>
      </c>
      <c r="D376" s="5" t="s">
        <v>1139</v>
      </c>
      <c r="E376" s="5"/>
      <c r="G376" s="4" t="s">
        <v>1140</v>
      </c>
      <c r="H376" s="313" t="s">
        <v>1157</v>
      </c>
      <c r="I376" s="440"/>
      <c r="J376" s="72" t="s">
        <v>1158</v>
      </c>
      <c r="K376" t="s">
        <v>659</v>
      </c>
      <c r="L376" t="s">
        <v>669</v>
      </c>
    </row>
    <row r="377" spans="1:12" ht="43.2">
      <c r="A377" s="5">
        <v>376</v>
      </c>
      <c r="B377" s="5" t="s">
        <v>664</v>
      </c>
      <c r="C377" s="5" t="s">
        <v>112</v>
      </c>
      <c r="D377" s="5" t="s">
        <v>1139</v>
      </c>
      <c r="E377" s="5"/>
      <c r="G377" s="4" t="s">
        <v>1140</v>
      </c>
      <c r="H377" s="313" t="s">
        <v>1159</v>
      </c>
      <c r="I377" s="440"/>
      <c r="J377" s="72" t="s">
        <v>1160</v>
      </c>
      <c r="K377" t="s">
        <v>659</v>
      </c>
      <c r="L377" t="s">
        <v>669</v>
      </c>
    </row>
    <row r="378" spans="1:12" ht="37.200000000000003">
      <c r="A378" s="5">
        <v>377</v>
      </c>
      <c r="B378" s="5" t="s">
        <v>664</v>
      </c>
      <c r="C378" s="5" t="s">
        <v>112</v>
      </c>
      <c r="D378" s="5" t="s">
        <v>1139</v>
      </c>
      <c r="E378" s="5"/>
      <c r="G378" s="4" t="s">
        <v>1161</v>
      </c>
      <c r="H378" s="313" t="s">
        <v>1162</v>
      </c>
      <c r="I378" s="440"/>
      <c r="J378" s="72" t="s">
        <v>1163</v>
      </c>
      <c r="K378" t="s">
        <v>659</v>
      </c>
      <c r="L378" t="s">
        <v>669</v>
      </c>
    </row>
    <row r="379" spans="1:12" ht="43.2">
      <c r="A379" s="5">
        <v>378</v>
      </c>
      <c r="B379" s="5" t="s">
        <v>664</v>
      </c>
      <c r="C379" s="5" t="s">
        <v>112</v>
      </c>
      <c r="D379" s="5" t="s">
        <v>1139</v>
      </c>
      <c r="E379" s="5"/>
      <c r="G379" s="4" t="s">
        <v>1140</v>
      </c>
      <c r="H379" s="313" t="s">
        <v>1164</v>
      </c>
      <c r="I379" s="440"/>
      <c r="J379" s="72" t="s">
        <v>1165</v>
      </c>
      <c r="K379" t="s">
        <v>659</v>
      </c>
      <c r="L379" t="s">
        <v>669</v>
      </c>
    </row>
    <row r="380" spans="1:12" ht="37.200000000000003">
      <c r="A380" s="5">
        <v>379</v>
      </c>
      <c r="B380" s="5" t="s">
        <v>664</v>
      </c>
      <c r="C380" s="5" t="s">
        <v>112</v>
      </c>
      <c r="D380" s="5" t="s">
        <v>1139</v>
      </c>
      <c r="E380" s="5"/>
      <c r="G380" s="4" t="s">
        <v>1140</v>
      </c>
      <c r="H380" s="313" t="s">
        <v>1166</v>
      </c>
      <c r="I380" s="440"/>
      <c r="J380" s="72" t="s">
        <v>1167</v>
      </c>
      <c r="K380" t="s">
        <v>659</v>
      </c>
      <c r="L380" t="s">
        <v>669</v>
      </c>
    </row>
    <row r="381" spans="1:12" ht="37.200000000000003">
      <c r="A381" s="5">
        <v>380</v>
      </c>
      <c r="B381" s="5" t="s">
        <v>664</v>
      </c>
      <c r="C381" s="5" t="s">
        <v>112</v>
      </c>
      <c r="D381" s="5" t="s">
        <v>1139</v>
      </c>
      <c r="E381" s="5"/>
      <c r="G381" s="4" t="s">
        <v>1140</v>
      </c>
      <c r="H381" s="313" t="s">
        <v>1168</v>
      </c>
      <c r="I381" s="440"/>
      <c r="J381" s="72" t="s">
        <v>1169</v>
      </c>
      <c r="K381" t="s">
        <v>659</v>
      </c>
      <c r="L381" t="s">
        <v>669</v>
      </c>
    </row>
    <row r="382" spans="1:12" ht="37.200000000000003">
      <c r="A382" s="5">
        <v>381</v>
      </c>
      <c r="B382" s="5" t="s">
        <v>664</v>
      </c>
      <c r="C382" s="5" t="s">
        <v>112</v>
      </c>
      <c r="D382" s="5" t="s">
        <v>1139</v>
      </c>
      <c r="E382" s="5"/>
      <c r="G382" s="4" t="s">
        <v>1140</v>
      </c>
      <c r="H382" s="313" t="s">
        <v>1170</v>
      </c>
      <c r="I382" s="440"/>
      <c r="J382" s="72" t="s">
        <v>1171</v>
      </c>
      <c r="K382" t="s">
        <v>659</v>
      </c>
      <c r="L382" t="s">
        <v>669</v>
      </c>
    </row>
    <row r="383" spans="1:12" ht="43.2">
      <c r="A383" s="5">
        <v>382</v>
      </c>
      <c r="B383" s="5" t="s">
        <v>664</v>
      </c>
      <c r="C383" s="5" t="s">
        <v>112</v>
      </c>
      <c r="D383" s="5" t="s">
        <v>1139</v>
      </c>
      <c r="E383" s="5"/>
      <c r="G383" s="4" t="s">
        <v>1172</v>
      </c>
      <c r="H383" s="313" t="s">
        <v>1173</v>
      </c>
      <c r="I383" s="438"/>
      <c r="J383" t="s">
        <v>1174</v>
      </c>
      <c r="K383" t="s">
        <v>659</v>
      </c>
      <c r="L383" t="s">
        <v>669</v>
      </c>
    </row>
    <row r="384" spans="1:12" ht="37.200000000000003">
      <c r="A384" s="5">
        <v>383</v>
      </c>
      <c r="B384" s="5" t="s">
        <v>664</v>
      </c>
      <c r="C384" s="5" t="s">
        <v>112</v>
      </c>
      <c r="D384" s="5" t="s">
        <v>1139</v>
      </c>
      <c r="E384" s="5"/>
      <c r="G384" s="4" t="s">
        <v>1172</v>
      </c>
      <c r="H384" s="313" t="s">
        <v>1175</v>
      </c>
      <c r="I384" s="438"/>
      <c r="J384" t="s">
        <v>1176</v>
      </c>
      <c r="K384" t="s">
        <v>659</v>
      </c>
      <c r="L384" t="s">
        <v>669</v>
      </c>
    </row>
    <row r="385" spans="1:12" ht="37.200000000000003">
      <c r="A385" s="5">
        <v>384</v>
      </c>
      <c r="B385" s="5" t="s">
        <v>664</v>
      </c>
      <c r="C385" s="5" t="s">
        <v>112</v>
      </c>
      <c r="D385" s="5" t="s">
        <v>1139</v>
      </c>
      <c r="E385" s="5"/>
      <c r="G385" s="4" t="s">
        <v>1172</v>
      </c>
      <c r="H385" s="313" t="s">
        <v>1177</v>
      </c>
      <c r="I385" s="438"/>
      <c r="J385" t="s">
        <v>1178</v>
      </c>
      <c r="K385" t="s">
        <v>659</v>
      </c>
      <c r="L385" t="s">
        <v>669</v>
      </c>
    </row>
    <row r="386" spans="1:12" ht="37.200000000000003">
      <c r="A386" s="5">
        <v>385</v>
      </c>
      <c r="B386" s="5" t="s">
        <v>664</v>
      </c>
      <c r="C386" s="5" t="s">
        <v>112</v>
      </c>
      <c r="D386" s="5" t="s">
        <v>1139</v>
      </c>
      <c r="E386" s="5"/>
      <c r="G386" s="4" t="s">
        <v>1172</v>
      </c>
      <c r="H386" s="313" t="s">
        <v>1179</v>
      </c>
      <c r="I386" s="438"/>
      <c r="J386" t="s">
        <v>1180</v>
      </c>
      <c r="K386" t="s">
        <v>659</v>
      </c>
      <c r="L386" t="s">
        <v>669</v>
      </c>
    </row>
    <row r="387" spans="1:12" ht="43.2">
      <c r="A387" s="5">
        <v>386</v>
      </c>
      <c r="B387" s="5" t="s">
        <v>664</v>
      </c>
      <c r="C387" s="5" t="s">
        <v>112</v>
      </c>
      <c r="D387" s="5" t="s">
        <v>1139</v>
      </c>
      <c r="E387" s="5"/>
      <c r="G387" s="4" t="s">
        <v>1172</v>
      </c>
      <c r="H387" s="313" t="s">
        <v>1181</v>
      </c>
      <c r="I387" s="438"/>
      <c r="J387" t="s">
        <v>1182</v>
      </c>
      <c r="K387" t="s">
        <v>659</v>
      </c>
      <c r="L387" t="s">
        <v>669</v>
      </c>
    </row>
    <row r="388" spans="1:12" ht="37.200000000000003">
      <c r="A388" s="5">
        <v>387</v>
      </c>
      <c r="B388" s="5" t="s">
        <v>664</v>
      </c>
      <c r="C388" s="5" t="s">
        <v>112</v>
      </c>
      <c r="D388" s="5" t="s">
        <v>1139</v>
      </c>
      <c r="E388" s="5"/>
      <c r="G388" s="4" t="s">
        <v>1172</v>
      </c>
      <c r="H388" s="313" t="s">
        <v>1183</v>
      </c>
      <c r="I388" s="438"/>
      <c r="J388" t="s">
        <v>1184</v>
      </c>
      <c r="K388" t="s">
        <v>659</v>
      </c>
      <c r="L388" t="s">
        <v>669</v>
      </c>
    </row>
    <row r="389" spans="1:12" ht="43.2">
      <c r="A389" s="5">
        <v>388</v>
      </c>
      <c r="B389" s="5" t="s">
        <v>664</v>
      </c>
      <c r="C389" s="5" t="s">
        <v>112</v>
      </c>
      <c r="D389" s="5" t="s">
        <v>1139</v>
      </c>
      <c r="E389" s="5"/>
      <c r="G389" s="4" t="s">
        <v>1172</v>
      </c>
      <c r="H389" s="313" t="s">
        <v>1185</v>
      </c>
      <c r="I389" s="438"/>
      <c r="J389" t="s">
        <v>1186</v>
      </c>
      <c r="K389" t="s">
        <v>659</v>
      </c>
      <c r="L389" t="s">
        <v>669</v>
      </c>
    </row>
    <row r="390" spans="1:12" ht="37.200000000000003">
      <c r="A390" s="5">
        <v>389</v>
      </c>
      <c r="B390" s="5" t="s">
        <v>664</v>
      </c>
      <c r="C390" s="5" t="s">
        <v>112</v>
      </c>
      <c r="D390" s="5" t="s">
        <v>1139</v>
      </c>
      <c r="E390" s="5"/>
      <c r="G390" s="4" t="s">
        <v>1172</v>
      </c>
      <c r="H390" s="313" t="s">
        <v>1187</v>
      </c>
      <c r="I390" s="438"/>
      <c r="J390" t="s">
        <v>1188</v>
      </c>
      <c r="K390" t="s">
        <v>659</v>
      </c>
      <c r="L390" t="s">
        <v>669</v>
      </c>
    </row>
    <row r="391" spans="1:12" ht="37.200000000000003">
      <c r="A391" s="5">
        <v>390</v>
      </c>
      <c r="B391" s="5" t="s">
        <v>664</v>
      </c>
      <c r="C391" s="5" t="s">
        <v>112</v>
      </c>
      <c r="D391" s="5" t="s">
        <v>1139</v>
      </c>
      <c r="E391" s="5"/>
      <c r="G391" s="4" t="s">
        <v>1172</v>
      </c>
      <c r="H391" s="313" t="s">
        <v>1189</v>
      </c>
      <c r="I391" s="438"/>
      <c r="J391" t="s">
        <v>1190</v>
      </c>
      <c r="K391" t="s">
        <v>659</v>
      </c>
      <c r="L391" t="s">
        <v>669</v>
      </c>
    </row>
    <row r="392" spans="1:12" ht="43.2">
      <c r="A392" s="5">
        <v>391</v>
      </c>
      <c r="B392" s="5" t="s">
        <v>664</v>
      </c>
      <c r="C392" s="5" t="s">
        <v>112</v>
      </c>
      <c r="D392" s="5" t="s">
        <v>1139</v>
      </c>
      <c r="E392" s="5"/>
      <c r="G392" s="4" t="s">
        <v>1172</v>
      </c>
      <c r="H392" s="313" t="s">
        <v>1191</v>
      </c>
      <c r="I392" s="438"/>
      <c r="J392" t="s">
        <v>1192</v>
      </c>
      <c r="K392" t="s">
        <v>659</v>
      </c>
      <c r="L392" t="s">
        <v>669</v>
      </c>
    </row>
    <row r="393" spans="1:12" ht="37.200000000000003">
      <c r="A393" s="5">
        <v>392</v>
      </c>
      <c r="B393" s="5" t="s">
        <v>664</v>
      </c>
      <c r="C393" s="5" t="s">
        <v>112</v>
      </c>
      <c r="D393" s="5" t="s">
        <v>1139</v>
      </c>
      <c r="E393" s="5"/>
      <c r="G393" s="4" t="s">
        <v>1172</v>
      </c>
      <c r="H393" s="313" t="s">
        <v>1193</v>
      </c>
      <c r="I393" s="438"/>
      <c r="J393" t="s">
        <v>1194</v>
      </c>
      <c r="K393" t="s">
        <v>659</v>
      </c>
      <c r="L393" t="s">
        <v>669</v>
      </c>
    </row>
    <row r="394" spans="1:12" ht="37.200000000000003">
      <c r="A394" s="5">
        <v>393</v>
      </c>
      <c r="B394" s="5" t="s">
        <v>664</v>
      </c>
      <c r="C394" s="5" t="s">
        <v>112</v>
      </c>
      <c r="D394" s="5" t="s">
        <v>1139</v>
      </c>
      <c r="E394" s="5"/>
      <c r="G394" s="4" t="s">
        <v>1172</v>
      </c>
      <c r="H394" s="313" t="s">
        <v>1195</v>
      </c>
      <c r="I394" s="438"/>
      <c r="J394" t="s">
        <v>1196</v>
      </c>
      <c r="K394" t="s">
        <v>659</v>
      </c>
      <c r="L394" t="s">
        <v>669</v>
      </c>
    </row>
    <row r="395" spans="1:12" ht="37.200000000000003">
      <c r="A395" s="5">
        <v>394</v>
      </c>
      <c r="B395" s="5" t="s">
        <v>664</v>
      </c>
      <c r="C395" s="5" t="s">
        <v>112</v>
      </c>
      <c r="D395" s="5" t="s">
        <v>1139</v>
      </c>
      <c r="E395" s="5"/>
      <c r="G395" s="4" t="s">
        <v>1172</v>
      </c>
      <c r="H395" s="313" t="s">
        <v>1197</v>
      </c>
      <c r="I395" s="438"/>
      <c r="J395" t="s">
        <v>1198</v>
      </c>
      <c r="K395" t="s">
        <v>659</v>
      </c>
      <c r="L395" t="s">
        <v>669</v>
      </c>
    </row>
    <row r="396" spans="1:12" ht="37.200000000000003">
      <c r="A396" s="5">
        <v>395</v>
      </c>
      <c r="B396" s="5" t="s">
        <v>664</v>
      </c>
      <c r="C396" s="5" t="s">
        <v>112</v>
      </c>
      <c r="D396" s="5" t="s">
        <v>1139</v>
      </c>
      <c r="E396" s="5"/>
      <c r="G396" s="4" t="s">
        <v>1172</v>
      </c>
      <c r="H396" s="313" t="s">
        <v>522</v>
      </c>
      <c r="I396" s="438"/>
      <c r="J396" t="s">
        <v>1199</v>
      </c>
      <c r="K396" t="s">
        <v>659</v>
      </c>
      <c r="L396" t="s">
        <v>669</v>
      </c>
    </row>
    <row r="397" spans="1:12" ht="37.200000000000003">
      <c r="A397" s="5">
        <v>396</v>
      </c>
      <c r="B397" s="5" t="s">
        <v>664</v>
      </c>
      <c r="C397" s="5" t="s">
        <v>112</v>
      </c>
      <c r="D397" s="5" t="s">
        <v>1139</v>
      </c>
      <c r="E397" s="5"/>
      <c r="G397" s="4" t="s">
        <v>1172</v>
      </c>
      <c r="H397" s="313" t="s">
        <v>1200</v>
      </c>
      <c r="I397" s="438"/>
      <c r="J397" t="s">
        <v>1201</v>
      </c>
      <c r="K397" t="s">
        <v>659</v>
      </c>
      <c r="L397" t="s">
        <v>669</v>
      </c>
    </row>
    <row r="398" spans="1:12" ht="37.200000000000003">
      <c r="A398" s="5">
        <v>397</v>
      </c>
      <c r="B398" s="5" t="s">
        <v>664</v>
      </c>
      <c r="C398" s="5" t="s">
        <v>112</v>
      </c>
      <c r="D398" s="5" t="s">
        <v>1139</v>
      </c>
      <c r="E398" s="5"/>
      <c r="G398" s="4" t="s">
        <v>1172</v>
      </c>
      <c r="H398" s="313" t="s">
        <v>1202</v>
      </c>
      <c r="I398" s="438"/>
      <c r="J398" t="s">
        <v>1203</v>
      </c>
      <c r="K398" t="s">
        <v>659</v>
      </c>
      <c r="L398" t="s">
        <v>669</v>
      </c>
    </row>
    <row r="399" spans="1:12" ht="37.200000000000003">
      <c r="A399" s="5">
        <v>398</v>
      </c>
      <c r="B399" s="5" t="s">
        <v>664</v>
      </c>
      <c r="C399" s="5" t="s">
        <v>112</v>
      </c>
      <c r="D399" s="5" t="s">
        <v>1139</v>
      </c>
      <c r="E399" s="5"/>
      <c r="G399" s="4" t="s">
        <v>1172</v>
      </c>
      <c r="H399" s="313" t="s">
        <v>1204</v>
      </c>
      <c r="I399" s="438"/>
      <c r="J399" t="s">
        <v>1205</v>
      </c>
      <c r="K399" t="s">
        <v>659</v>
      </c>
      <c r="L399" t="s">
        <v>669</v>
      </c>
    </row>
    <row r="400" spans="1:12" ht="37.200000000000003">
      <c r="A400" s="5">
        <v>399</v>
      </c>
      <c r="B400" s="5" t="s">
        <v>664</v>
      </c>
      <c r="C400" s="5" t="s">
        <v>112</v>
      </c>
      <c r="D400" s="5" t="s">
        <v>1139</v>
      </c>
      <c r="E400" s="5"/>
      <c r="G400" s="4" t="s">
        <v>1172</v>
      </c>
      <c r="H400" s="313" t="s">
        <v>1206</v>
      </c>
      <c r="I400" s="438"/>
      <c r="J400" t="s">
        <v>1207</v>
      </c>
      <c r="K400" t="s">
        <v>659</v>
      </c>
      <c r="L400" t="s">
        <v>669</v>
      </c>
    </row>
    <row r="401" spans="1:12" ht="37.200000000000003">
      <c r="A401" s="5">
        <v>400</v>
      </c>
      <c r="B401" s="5" t="s">
        <v>664</v>
      </c>
      <c r="C401" s="5" t="s">
        <v>112</v>
      </c>
      <c r="D401" s="5" t="s">
        <v>1139</v>
      </c>
      <c r="E401" s="5"/>
      <c r="G401" s="4" t="s">
        <v>1172</v>
      </c>
      <c r="H401" s="313" t="s">
        <v>1208</v>
      </c>
      <c r="I401" s="438"/>
      <c r="J401" t="s">
        <v>1209</v>
      </c>
      <c r="K401" t="s">
        <v>659</v>
      </c>
      <c r="L401" t="s">
        <v>669</v>
      </c>
    </row>
    <row r="402" spans="1:12" ht="37.200000000000003">
      <c r="A402" s="5">
        <v>401</v>
      </c>
      <c r="B402" s="5" t="s">
        <v>664</v>
      </c>
      <c r="C402" s="5" t="s">
        <v>112</v>
      </c>
      <c r="D402" s="5" t="s">
        <v>1139</v>
      </c>
      <c r="E402" s="5"/>
      <c r="G402" s="4" t="s">
        <v>1210</v>
      </c>
      <c r="H402" s="313" t="s">
        <v>1211</v>
      </c>
      <c r="I402" s="438"/>
      <c r="J402" t="s">
        <v>1212</v>
      </c>
      <c r="K402" t="s">
        <v>659</v>
      </c>
      <c r="L402" t="s">
        <v>669</v>
      </c>
    </row>
    <row r="403" spans="1:12" ht="37.200000000000003">
      <c r="A403" s="5">
        <v>402</v>
      </c>
      <c r="B403" s="5" t="s">
        <v>664</v>
      </c>
      <c r="C403" s="5" t="s">
        <v>112</v>
      </c>
      <c r="D403" s="5" t="s">
        <v>1139</v>
      </c>
      <c r="E403" s="5"/>
      <c r="G403" s="4" t="s">
        <v>1172</v>
      </c>
      <c r="H403" s="313" t="s">
        <v>1213</v>
      </c>
      <c r="I403" s="438"/>
      <c r="J403" t="s">
        <v>1214</v>
      </c>
      <c r="K403" t="s">
        <v>659</v>
      </c>
      <c r="L403" t="s">
        <v>669</v>
      </c>
    </row>
    <row r="404" spans="1:12" ht="37.200000000000003">
      <c r="A404" s="5">
        <v>403</v>
      </c>
      <c r="B404" s="5" t="s">
        <v>664</v>
      </c>
      <c r="C404" s="5" t="s">
        <v>112</v>
      </c>
      <c r="D404" s="5" t="s">
        <v>1139</v>
      </c>
      <c r="E404" s="5"/>
      <c r="G404" s="4" t="s">
        <v>1172</v>
      </c>
      <c r="H404" s="313" t="s">
        <v>1215</v>
      </c>
      <c r="I404" s="438"/>
      <c r="J404" t="s">
        <v>1216</v>
      </c>
      <c r="K404" t="s">
        <v>659</v>
      </c>
      <c r="L404" t="s">
        <v>669</v>
      </c>
    </row>
    <row r="405" spans="1:12" ht="37.200000000000003">
      <c r="A405" s="5">
        <v>404</v>
      </c>
      <c r="B405" s="5" t="s">
        <v>664</v>
      </c>
      <c r="C405" s="5" t="s">
        <v>112</v>
      </c>
      <c r="D405" s="5" t="s">
        <v>1139</v>
      </c>
      <c r="E405" s="5"/>
      <c r="G405" s="4" t="s">
        <v>1172</v>
      </c>
      <c r="H405" s="313" t="s">
        <v>1217</v>
      </c>
      <c r="I405" s="438"/>
      <c r="J405" t="s">
        <v>1218</v>
      </c>
      <c r="K405" t="s">
        <v>659</v>
      </c>
      <c r="L405" t="s">
        <v>669</v>
      </c>
    </row>
    <row r="406" spans="1:12" ht="37.200000000000003">
      <c r="A406" s="5">
        <v>405</v>
      </c>
      <c r="B406" s="5" t="s">
        <v>664</v>
      </c>
      <c r="C406" s="5" t="s">
        <v>112</v>
      </c>
      <c r="D406" s="5" t="s">
        <v>1139</v>
      </c>
      <c r="E406" s="5"/>
      <c r="G406" s="4" t="s">
        <v>1172</v>
      </c>
      <c r="H406" s="313" t="s">
        <v>1219</v>
      </c>
      <c r="I406" s="438"/>
      <c r="J406" t="s">
        <v>1220</v>
      </c>
      <c r="K406" t="s">
        <v>659</v>
      </c>
      <c r="L406" t="s">
        <v>669</v>
      </c>
    </row>
    <row r="407" spans="1:12" ht="37.200000000000003">
      <c r="A407" s="5">
        <v>406</v>
      </c>
      <c r="B407" s="5" t="s">
        <v>664</v>
      </c>
      <c r="C407" s="5" t="s">
        <v>112</v>
      </c>
      <c r="D407" s="5" t="s">
        <v>1139</v>
      </c>
      <c r="E407" s="5"/>
      <c r="G407" s="4" t="s">
        <v>1172</v>
      </c>
      <c r="H407" s="313" t="s">
        <v>1221</v>
      </c>
      <c r="I407" s="438"/>
      <c r="J407" t="s">
        <v>1222</v>
      </c>
      <c r="K407" t="s">
        <v>659</v>
      </c>
      <c r="L407" t="s">
        <v>669</v>
      </c>
    </row>
    <row r="408" spans="1:12" ht="37.200000000000003">
      <c r="A408" s="5">
        <v>407</v>
      </c>
      <c r="B408" s="5" t="s">
        <v>664</v>
      </c>
      <c r="C408" s="5" t="s">
        <v>112</v>
      </c>
      <c r="D408" s="5" t="s">
        <v>1139</v>
      </c>
      <c r="E408" s="5"/>
      <c r="G408" s="4" t="s">
        <v>1223</v>
      </c>
      <c r="H408" s="313" t="s">
        <v>145</v>
      </c>
      <c r="I408" s="438"/>
      <c r="J408" t="s">
        <v>1224</v>
      </c>
      <c r="K408" t="s">
        <v>659</v>
      </c>
      <c r="L408" t="s">
        <v>669</v>
      </c>
    </row>
    <row r="409" spans="1:12" ht="37.200000000000003">
      <c r="A409" s="5">
        <v>408</v>
      </c>
      <c r="B409" s="5" t="s">
        <v>664</v>
      </c>
      <c r="C409" s="5" t="s">
        <v>112</v>
      </c>
      <c r="D409" s="5" t="s">
        <v>1139</v>
      </c>
      <c r="E409" s="5"/>
      <c r="G409" s="4" t="s">
        <v>1223</v>
      </c>
      <c r="H409" s="313" t="s">
        <v>1225</v>
      </c>
      <c r="I409" s="438"/>
      <c r="J409" t="s">
        <v>1226</v>
      </c>
      <c r="K409" t="s">
        <v>659</v>
      </c>
      <c r="L409" t="s">
        <v>669</v>
      </c>
    </row>
    <row r="410" spans="1:12" ht="37.200000000000003">
      <c r="A410" s="5">
        <v>409</v>
      </c>
      <c r="B410" s="5" t="s">
        <v>664</v>
      </c>
      <c r="C410" s="5" t="s">
        <v>112</v>
      </c>
      <c r="D410" s="5" t="s">
        <v>1139</v>
      </c>
      <c r="E410" s="5"/>
      <c r="G410" s="4" t="s">
        <v>1223</v>
      </c>
      <c r="H410" s="313" t="s">
        <v>1227</v>
      </c>
      <c r="I410" s="438"/>
      <c r="J410" t="s">
        <v>1228</v>
      </c>
      <c r="K410" t="s">
        <v>659</v>
      </c>
      <c r="L410" t="s">
        <v>669</v>
      </c>
    </row>
    <row r="411" spans="1:12" ht="37.200000000000003">
      <c r="A411" s="5">
        <v>410</v>
      </c>
      <c r="B411" s="5" t="s">
        <v>664</v>
      </c>
      <c r="C411" s="5" t="s">
        <v>112</v>
      </c>
      <c r="D411" s="5" t="s">
        <v>1139</v>
      </c>
      <c r="E411" s="5"/>
      <c r="G411" s="4" t="s">
        <v>1223</v>
      </c>
      <c r="H411" s="313" t="s">
        <v>1229</v>
      </c>
      <c r="I411" s="438"/>
      <c r="J411" t="s">
        <v>1230</v>
      </c>
      <c r="K411" t="s">
        <v>659</v>
      </c>
      <c r="L411" t="s">
        <v>669</v>
      </c>
    </row>
    <row r="412" spans="1:12" ht="37.200000000000003">
      <c r="A412" s="5">
        <v>411</v>
      </c>
      <c r="B412" s="5" t="s">
        <v>664</v>
      </c>
      <c r="C412" s="5" t="s">
        <v>112</v>
      </c>
      <c r="D412" s="5" t="s">
        <v>1139</v>
      </c>
      <c r="E412" s="5"/>
      <c r="G412" s="4" t="s">
        <v>1223</v>
      </c>
      <c r="H412" s="313" t="s">
        <v>1231</v>
      </c>
      <c r="I412" s="438"/>
      <c r="J412" t="s">
        <v>1232</v>
      </c>
      <c r="K412" t="s">
        <v>659</v>
      </c>
      <c r="L412" t="s">
        <v>669</v>
      </c>
    </row>
    <row r="413" spans="1:12" ht="37.200000000000003">
      <c r="A413" s="5">
        <v>412</v>
      </c>
      <c r="B413" s="5" t="s">
        <v>664</v>
      </c>
      <c r="C413" s="5" t="s">
        <v>112</v>
      </c>
      <c r="D413" s="5" t="s">
        <v>1139</v>
      </c>
      <c r="E413" s="5"/>
      <c r="G413" s="4" t="s">
        <v>1223</v>
      </c>
      <c r="H413" s="313" t="s">
        <v>1233</v>
      </c>
      <c r="I413" s="438"/>
      <c r="J413" t="s">
        <v>1234</v>
      </c>
      <c r="K413" t="s">
        <v>659</v>
      </c>
      <c r="L413" t="s">
        <v>669</v>
      </c>
    </row>
    <row r="414" spans="1:12" ht="37.200000000000003">
      <c r="A414" s="5">
        <v>413</v>
      </c>
      <c r="B414" s="5" t="s">
        <v>664</v>
      </c>
      <c r="C414" s="5" t="s">
        <v>112</v>
      </c>
      <c r="D414" s="5" t="s">
        <v>1139</v>
      </c>
      <c r="E414" s="5"/>
      <c r="G414" s="4" t="s">
        <v>1223</v>
      </c>
      <c r="H414" s="313" t="s">
        <v>1235</v>
      </c>
      <c r="I414" s="438"/>
      <c r="J414" t="s">
        <v>1236</v>
      </c>
      <c r="K414" t="s">
        <v>659</v>
      </c>
      <c r="L414" t="s">
        <v>669</v>
      </c>
    </row>
    <row r="415" spans="1:12" ht="37.200000000000003">
      <c r="A415" s="5">
        <v>414</v>
      </c>
      <c r="B415" s="5" t="s">
        <v>664</v>
      </c>
      <c r="C415" s="5" t="s">
        <v>112</v>
      </c>
      <c r="D415" s="5" t="s">
        <v>1139</v>
      </c>
      <c r="E415" s="5"/>
      <c r="G415" s="4" t="s">
        <v>1223</v>
      </c>
      <c r="H415" s="313" t="s">
        <v>1237</v>
      </c>
      <c r="I415" s="438"/>
      <c r="J415" t="s">
        <v>1238</v>
      </c>
      <c r="K415" t="s">
        <v>659</v>
      </c>
      <c r="L415" t="s">
        <v>669</v>
      </c>
    </row>
    <row r="416" spans="1:12" ht="43.2">
      <c r="A416" s="5">
        <v>415</v>
      </c>
      <c r="B416" s="5" t="s">
        <v>664</v>
      </c>
      <c r="C416" s="5" t="s">
        <v>112</v>
      </c>
      <c r="D416" s="5" t="s">
        <v>1139</v>
      </c>
      <c r="E416" s="5"/>
      <c r="G416" s="4" t="s">
        <v>1223</v>
      </c>
      <c r="H416" s="313" t="s">
        <v>1239</v>
      </c>
      <c r="I416" s="438"/>
      <c r="J416" t="s">
        <v>1240</v>
      </c>
      <c r="K416" t="s">
        <v>659</v>
      </c>
      <c r="L416" t="s">
        <v>669</v>
      </c>
    </row>
    <row r="417" spans="1:12" ht="43.2">
      <c r="A417" s="5">
        <v>416</v>
      </c>
      <c r="B417" s="5" t="s">
        <v>664</v>
      </c>
      <c r="C417" s="5" t="s">
        <v>112</v>
      </c>
      <c r="D417" s="5" t="s">
        <v>1139</v>
      </c>
      <c r="E417" s="5"/>
      <c r="G417" s="4" t="s">
        <v>1223</v>
      </c>
      <c r="H417" s="313" t="s">
        <v>1241</v>
      </c>
      <c r="I417" s="438"/>
      <c r="J417" t="s">
        <v>1242</v>
      </c>
      <c r="K417" t="s">
        <v>659</v>
      </c>
      <c r="L417" t="s">
        <v>669</v>
      </c>
    </row>
    <row r="418" spans="1:12" ht="37.200000000000003">
      <c r="A418" s="5">
        <v>417</v>
      </c>
      <c r="B418" s="5" t="s">
        <v>664</v>
      </c>
      <c r="C418" s="5" t="s">
        <v>112</v>
      </c>
      <c r="D418" s="5" t="s">
        <v>1139</v>
      </c>
      <c r="E418" s="5"/>
      <c r="G418" s="4" t="s">
        <v>1223</v>
      </c>
      <c r="H418" s="313" t="s">
        <v>1243</v>
      </c>
      <c r="I418" s="438"/>
      <c r="J418" t="s">
        <v>1244</v>
      </c>
      <c r="K418" t="s">
        <v>659</v>
      </c>
      <c r="L418" t="s">
        <v>669</v>
      </c>
    </row>
    <row r="419" spans="1:12" ht="43.2">
      <c r="A419" s="5">
        <v>418</v>
      </c>
      <c r="B419" s="5" t="s">
        <v>664</v>
      </c>
      <c r="C419" s="5" t="s">
        <v>112</v>
      </c>
      <c r="D419" s="5" t="s">
        <v>1139</v>
      </c>
      <c r="E419" s="5"/>
      <c r="G419" s="4" t="s">
        <v>1223</v>
      </c>
      <c r="H419" s="313" t="s">
        <v>1245</v>
      </c>
      <c r="I419" s="438"/>
      <c r="J419" t="s">
        <v>1246</v>
      </c>
      <c r="K419" t="s">
        <v>659</v>
      </c>
      <c r="L419" t="s">
        <v>669</v>
      </c>
    </row>
    <row r="420" spans="1:12" ht="37.200000000000003">
      <c r="A420" s="5">
        <v>419</v>
      </c>
      <c r="B420" s="5" t="s">
        <v>664</v>
      </c>
      <c r="C420" s="5" t="s">
        <v>112</v>
      </c>
      <c r="D420" s="5" t="s">
        <v>1139</v>
      </c>
      <c r="E420" s="5"/>
      <c r="G420" s="4" t="s">
        <v>1223</v>
      </c>
      <c r="H420" s="313" t="s">
        <v>1247</v>
      </c>
      <c r="I420" s="438"/>
      <c r="J420" t="s">
        <v>1248</v>
      </c>
      <c r="K420" t="s">
        <v>659</v>
      </c>
      <c r="L420" t="s">
        <v>669</v>
      </c>
    </row>
    <row r="421" spans="1:12" ht="37.200000000000003">
      <c r="A421" s="5">
        <v>420</v>
      </c>
      <c r="B421" s="5" t="s">
        <v>664</v>
      </c>
      <c r="C421" s="5" t="s">
        <v>112</v>
      </c>
      <c r="D421" s="5" t="s">
        <v>1139</v>
      </c>
      <c r="E421" s="5"/>
      <c r="G421" s="4" t="s">
        <v>1223</v>
      </c>
      <c r="H421" s="313" t="s">
        <v>1249</v>
      </c>
      <c r="I421" s="438"/>
      <c r="J421" t="s">
        <v>1250</v>
      </c>
      <c r="K421" t="s">
        <v>659</v>
      </c>
      <c r="L421" t="s">
        <v>669</v>
      </c>
    </row>
    <row r="422" spans="1:12" ht="37.200000000000003">
      <c r="A422" s="5">
        <v>421</v>
      </c>
      <c r="B422" s="5" t="s">
        <v>664</v>
      </c>
      <c r="C422" s="5" t="s">
        <v>112</v>
      </c>
      <c r="D422" s="5" t="s">
        <v>1139</v>
      </c>
      <c r="E422" s="5"/>
      <c r="G422" s="4" t="s">
        <v>1223</v>
      </c>
      <c r="H422" s="313" t="s">
        <v>1251</v>
      </c>
      <c r="I422" s="438"/>
      <c r="J422" t="s">
        <v>1252</v>
      </c>
      <c r="K422" t="s">
        <v>659</v>
      </c>
      <c r="L422" t="s">
        <v>669</v>
      </c>
    </row>
    <row r="423" spans="1:12" ht="37.200000000000003">
      <c r="A423" s="5">
        <v>422</v>
      </c>
      <c r="B423" s="5" t="s">
        <v>664</v>
      </c>
      <c r="C423" s="5" t="s">
        <v>112</v>
      </c>
      <c r="D423" s="5" t="s">
        <v>1139</v>
      </c>
      <c r="E423" s="5"/>
      <c r="G423" s="4" t="s">
        <v>1223</v>
      </c>
      <c r="H423" s="313" t="s">
        <v>1253</v>
      </c>
      <c r="I423" s="438"/>
      <c r="J423" t="s">
        <v>1254</v>
      </c>
      <c r="K423" t="s">
        <v>659</v>
      </c>
      <c r="L423" t="s">
        <v>669</v>
      </c>
    </row>
    <row r="424" spans="1:12" ht="37.200000000000003">
      <c r="A424" s="5">
        <v>423</v>
      </c>
      <c r="B424" s="5" t="s">
        <v>664</v>
      </c>
      <c r="C424" s="5" t="s">
        <v>112</v>
      </c>
      <c r="D424" s="5" t="s">
        <v>1139</v>
      </c>
      <c r="E424" s="5"/>
      <c r="G424" s="4" t="s">
        <v>1223</v>
      </c>
      <c r="H424" s="313" t="s">
        <v>1255</v>
      </c>
      <c r="I424" s="438"/>
      <c r="J424" t="s">
        <v>1256</v>
      </c>
      <c r="K424" t="s">
        <v>659</v>
      </c>
      <c r="L424" t="s">
        <v>669</v>
      </c>
    </row>
    <row r="425" spans="1:12" ht="37.200000000000003">
      <c r="A425" s="5">
        <v>424</v>
      </c>
      <c r="B425" s="5" t="s">
        <v>664</v>
      </c>
      <c r="C425" s="5" t="s">
        <v>112</v>
      </c>
      <c r="D425" s="5" t="s">
        <v>1139</v>
      </c>
      <c r="E425" s="5"/>
      <c r="G425" s="4" t="s">
        <v>1223</v>
      </c>
      <c r="H425" s="313" t="s">
        <v>1257</v>
      </c>
      <c r="I425" s="438"/>
      <c r="J425" t="s">
        <v>1258</v>
      </c>
      <c r="K425" t="s">
        <v>659</v>
      </c>
      <c r="L425" t="s">
        <v>669</v>
      </c>
    </row>
    <row r="426" spans="1:12" ht="37.200000000000003">
      <c r="A426" s="5">
        <v>425</v>
      </c>
      <c r="B426" s="5" t="s">
        <v>664</v>
      </c>
      <c r="C426" s="5" t="s">
        <v>112</v>
      </c>
      <c r="D426" s="5" t="s">
        <v>1139</v>
      </c>
      <c r="E426" s="5"/>
      <c r="G426" s="4" t="s">
        <v>1223</v>
      </c>
      <c r="H426" s="313" t="s">
        <v>1259</v>
      </c>
      <c r="I426" s="438"/>
      <c r="J426" t="s">
        <v>1260</v>
      </c>
      <c r="K426" t="s">
        <v>659</v>
      </c>
      <c r="L426" t="s">
        <v>669</v>
      </c>
    </row>
    <row r="427" spans="1:12" ht="37.200000000000003">
      <c r="A427" s="5">
        <v>426</v>
      </c>
      <c r="B427" s="5" t="s">
        <v>664</v>
      </c>
      <c r="C427" s="5" t="s">
        <v>112</v>
      </c>
      <c r="D427" s="5" t="s">
        <v>1139</v>
      </c>
      <c r="E427" s="5"/>
      <c r="G427" s="4" t="s">
        <v>1223</v>
      </c>
      <c r="H427" s="313" t="s">
        <v>1261</v>
      </c>
      <c r="I427" s="438"/>
      <c r="J427" t="s">
        <v>1262</v>
      </c>
      <c r="K427" t="s">
        <v>659</v>
      </c>
      <c r="L427" t="s">
        <v>669</v>
      </c>
    </row>
    <row r="428" spans="1:12" ht="37.200000000000003">
      <c r="A428" s="5">
        <v>427</v>
      </c>
      <c r="B428" s="5" t="s">
        <v>664</v>
      </c>
      <c r="C428" s="5" t="s">
        <v>112</v>
      </c>
      <c r="D428" s="5" t="s">
        <v>1139</v>
      </c>
      <c r="E428" s="5"/>
      <c r="G428" s="4" t="s">
        <v>1223</v>
      </c>
      <c r="H428" s="313" t="s">
        <v>1263</v>
      </c>
      <c r="I428" s="438"/>
      <c r="J428" t="s">
        <v>1264</v>
      </c>
      <c r="K428" t="s">
        <v>659</v>
      </c>
      <c r="L428" t="s">
        <v>669</v>
      </c>
    </row>
    <row r="429" spans="1:12" ht="37.200000000000003">
      <c r="A429" s="5">
        <v>428</v>
      </c>
      <c r="B429" s="5" t="s">
        <v>664</v>
      </c>
      <c r="C429" s="5" t="s">
        <v>112</v>
      </c>
      <c r="D429" s="5" t="s">
        <v>1139</v>
      </c>
      <c r="E429" s="5"/>
      <c r="G429" s="4" t="s">
        <v>1223</v>
      </c>
      <c r="H429" s="313" t="s">
        <v>1265</v>
      </c>
      <c r="I429" s="438"/>
      <c r="J429" t="s">
        <v>1266</v>
      </c>
      <c r="K429" t="s">
        <v>659</v>
      </c>
      <c r="L429" t="s">
        <v>669</v>
      </c>
    </row>
    <row r="430" spans="1:12" ht="37.200000000000003">
      <c r="A430" s="5">
        <v>429</v>
      </c>
      <c r="B430" s="5" t="s">
        <v>664</v>
      </c>
      <c r="C430" s="5" t="s">
        <v>112</v>
      </c>
      <c r="D430" s="5" t="s">
        <v>1139</v>
      </c>
      <c r="E430" s="5"/>
      <c r="G430" s="4" t="s">
        <v>1223</v>
      </c>
      <c r="H430" s="313" t="s">
        <v>1267</v>
      </c>
      <c r="I430" s="438"/>
      <c r="J430" t="s">
        <v>1268</v>
      </c>
      <c r="K430" t="s">
        <v>659</v>
      </c>
      <c r="L430" t="s">
        <v>669</v>
      </c>
    </row>
    <row r="431" spans="1:12" ht="43.2">
      <c r="A431" s="5">
        <v>430</v>
      </c>
      <c r="B431" s="5" t="s">
        <v>664</v>
      </c>
      <c r="C431" s="5" t="s">
        <v>112</v>
      </c>
      <c r="D431" s="5" t="s">
        <v>1139</v>
      </c>
      <c r="E431" s="5"/>
      <c r="G431" s="4" t="s">
        <v>1269</v>
      </c>
      <c r="H431" s="313" t="s">
        <v>1270</v>
      </c>
      <c r="I431" s="438"/>
      <c r="J431" t="s">
        <v>1271</v>
      </c>
      <c r="K431" t="s">
        <v>659</v>
      </c>
      <c r="L431" t="s">
        <v>669</v>
      </c>
    </row>
    <row r="432" spans="1:12" ht="37.200000000000003">
      <c r="A432" s="5">
        <v>431</v>
      </c>
      <c r="B432" s="5" t="s">
        <v>664</v>
      </c>
      <c r="C432" s="5" t="s">
        <v>112</v>
      </c>
      <c r="D432" s="5" t="s">
        <v>1139</v>
      </c>
      <c r="E432" s="5"/>
      <c r="G432" s="4" t="s">
        <v>1269</v>
      </c>
      <c r="H432" s="313" t="s">
        <v>1272</v>
      </c>
      <c r="I432" s="438"/>
      <c r="J432" t="s">
        <v>1273</v>
      </c>
      <c r="K432" t="s">
        <v>659</v>
      </c>
      <c r="L432" t="s">
        <v>669</v>
      </c>
    </row>
    <row r="433" spans="1:12" ht="37.200000000000003">
      <c r="A433" s="5">
        <v>432</v>
      </c>
      <c r="B433" s="5" t="s">
        <v>664</v>
      </c>
      <c r="C433" s="5" t="s">
        <v>112</v>
      </c>
      <c r="D433" s="5" t="s">
        <v>1139</v>
      </c>
      <c r="E433" s="5"/>
      <c r="G433" s="4" t="s">
        <v>1269</v>
      </c>
      <c r="H433" s="313" t="s">
        <v>110</v>
      </c>
      <c r="I433" s="438"/>
      <c r="J433" t="s">
        <v>1274</v>
      </c>
      <c r="K433" t="s">
        <v>659</v>
      </c>
      <c r="L433" t="s">
        <v>669</v>
      </c>
    </row>
    <row r="434" spans="1:12" ht="37.200000000000003">
      <c r="A434" s="5">
        <v>433</v>
      </c>
      <c r="B434" s="5" t="s">
        <v>664</v>
      </c>
      <c r="C434" s="5" t="s">
        <v>112</v>
      </c>
      <c r="D434" s="5" t="s">
        <v>1139</v>
      </c>
      <c r="E434" s="5"/>
      <c r="G434" s="4" t="s">
        <v>1269</v>
      </c>
      <c r="H434" s="313" t="s">
        <v>1275</v>
      </c>
      <c r="I434" s="438"/>
      <c r="J434" t="s">
        <v>1276</v>
      </c>
      <c r="K434" t="s">
        <v>659</v>
      </c>
      <c r="L434" t="s">
        <v>669</v>
      </c>
    </row>
    <row r="435" spans="1:12" ht="37.200000000000003">
      <c r="A435" s="5">
        <v>434</v>
      </c>
      <c r="B435" s="5" t="s">
        <v>664</v>
      </c>
      <c r="C435" s="5" t="s">
        <v>112</v>
      </c>
      <c r="D435" s="5" t="s">
        <v>1139</v>
      </c>
      <c r="E435" s="5"/>
      <c r="G435" s="4" t="s">
        <v>1269</v>
      </c>
      <c r="H435" s="313" t="s">
        <v>1277</v>
      </c>
      <c r="I435" s="438"/>
      <c r="J435" t="s">
        <v>1278</v>
      </c>
      <c r="K435" t="s">
        <v>659</v>
      </c>
      <c r="L435" t="s">
        <v>669</v>
      </c>
    </row>
    <row r="436" spans="1:12" ht="37.200000000000003">
      <c r="A436" s="5">
        <v>435</v>
      </c>
      <c r="B436" s="5" t="s">
        <v>664</v>
      </c>
      <c r="C436" s="5" t="s">
        <v>112</v>
      </c>
      <c r="D436" s="5" t="s">
        <v>1139</v>
      </c>
      <c r="E436" s="5"/>
      <c r="G436" s="4" t="s">
        <v>1269</v>
      </c>
      <c r="H436" s="313" t="s">
        <v>1279</v>
      </c>
      <c r="I436" s="438"/>
      <c r="J436" t="s">
        <v>1280</v>
      </c>
      <c r="K436" t="s">
        <v>659</v>
      </c>
      <c r="L436" t="s">
        <v>669</v>
      </c>
    </row>
    <row r="437" spans="1:12" ht="37.200000000000003">
      <c r="A437" s="5">
        <v>436</v>
      </c>
      <c r="B437" s="5" t="s">
        <v>664</v>
      </c>
      <c r="C437" s="5" t="s">
        <v>112</v>
      </c>
      <c r="D437" s="5" t="s">
        <v>1139</v>
      </c>
      <c r="E437" s="5"/>
      <c r="G437" s="4" t="s">
        <v>1269</v>
      </c>
      <c r="H437" s="313" t="s">
        <v>1281</v>
      </c>
      <c r="I437" s="438"/>
      <c r="J437" t="s">
        <v>1282</v>
      </c>
      <c r="K437" t="s">
        <v>659</v>
      </c>
      <c r="L437" t="s">
        <v>669</v>
      </c>
    </row>
    <row r="438" spans="1:12" ht="37.200000000000003">
      <c r="A438" s="5">
        <v>437</v>
      </c>
      <c r="B438" s="5" t="s">
        <v>664</v>
      </c>
      <c r="C438" s="5" t="s">
        <v>112</v>
      </c>
      <c r="D438" s="5" t="s">
        <v>1139</v>
      </c>
      <c r="E438" s="5"/>
      <c r="G438" s="4" t="s">
        <v>1269</v>
      </c>
      <c r="H438" s="313" t="s">
        <v>1283</v>
      </c>
      <c r="I438" s="438"/>
      <c r="J438" t="s">
        <v>1284</v>
      </c>
      <c r="K438" t="s">
        <v>659</v>
      </c>
      <c r="L438" t="s">
        <v>669</v>
      </c>
    </row>
    <row r="439" spans="1:12" ht="37.200000000000003">
      <c r="A439" s="5">
        <v>438</v>
      </c>
      <c r="B439" s="5" t="s">
        <v>664</v>
      </c>
      <c r="C439" s="5" t="s">
        <v>112</v>
      </c>
      <c r="D439" s="5" t="s">
        <v>1139</v>
      </c>
      <c r="E439" s="5"/>
      <c r="G439" s="4" t="s">
        <v>1269</v>
      </c>
      <c r="H439" s="313" t="s">
        <v>1285</v>
      </c>
      <c r="I439" s="438"/>
      <c r="J439" t="s">
        <v>1286</v>
      </c>
      <c r="K439" t="s">
        <v>659</v>
      </c>
      <c r="L439" t="s">
        <v>669</v>
      </c>
    </row>
    <row r="440" spans="1:12" ht="43.2">
      <c r="A440" s="5">
        <v>439</v>
      </c>
      <c r="B440" s="5" t="s">
        <v>664</v>
      </c>
      <c r="C440" s="5" t="s">
        <v>112</v>
      </c>
      <c r="D440" s="5" t="s">
        <v>1139</v>
      </c>
      <c r="E440" s="5"/>
      <c r="G440" s="4" t="s">
        <v>1269</v>
      </c>
      <c r="H440" s="313" t="s">
        <v>1287</v>
      </c>
      <c r="I440" s="438"/>
      <c r="J440" t="s">
        <v>1288</v>
      </c>
      <c r="K440" t="s">
        <v>659</v>
      </c>
      <c r="L440" t="s">
        <v>669</v>
      </c>
    </row>
    <row r="441" spans="1:12" ht="37.200000000000003">
      <c r="A441" s="5">
        <v>440</v>
      </c>
      <c r="B441" s="5" t="s">
        <v>664</v>
      </c>
      <c r="C441" s="5" t="s">
        <v>112</v>
      </c>
      <c r="D441" s="5" t="s">
        <v>1139</v>
      </c>
      <c r="E441" s="5"/>
      <c r="G441" s="4" t="s">
        <v>1269</v>
      </c>
      <c r="H441" s="313" t="s">
        <v>1289</v>
      </c>
      <c r="I441" s="438"/>
      <c r="J441" t="s">
        <v>1290</v>
      </c>
      <c r="K441" t="s">
        <v>659</v>
      </c>
      <c r="L441" t="s">
        <v>669</v>
      </c>
    </row>
    <row r="442" spans="1:12" ht="37.200000000000003">
      <c r="A442" s="5">
        <v>441</v>
      </c>
      <c r="B442" s="5" t="s">
        <v>664</v>
      </c>
      <c r="C442" s="5" t="s">
        <v>112</v>
      </c>
      <c r="D442" s="5" t="s">
        <v>1139</v>
      </c>
      <c r="E442" s="5"/>
      <c r="G442" s="4" t="s">
        <v>1269</v>
      </c>
      <c r="H442" s="313" t="s">
        <v>1291</v>
      </c>
      <c r="I442" s="438"/>
      <c r="J442" t="s">
        <v>1292</v>
      </c>
      <c r="K442" t="s">
        <v>659</v>
      </c>
      <c r="L442" t="s">
        <v>669</v>
      </c>
    </row>
    <row r="443" spans="1:12" ht="37.200000000000003">
      <c r="A443" s="5">
        <v>442</v>
      </c>
      <c r="B443" s="5" t="s">
        <v>664</v>
      </c>
      <c r="C443" s="5" t="s">
        <v>112</v>
      </c>
      <c r="D443" s="5" t="s">
        <v>1139</v>
      </c>
      <c r="E443" s="5"/>
      <c r="G443" s="4" t="s">
        <v>1269</v>
      </c>
      <c r="H443" s="313" t="s">
        <v>479</v>
      </c>
      <c r="I443" s="438"/>
      <c r="J443" t="s">
        <v>1293</v>
      </c>
      <c r="K443" t="s">
        <v>659</v>
      </c>
      <c r="L443" t="s">
        <v>669</v>
      </c>
    </row>
    <row r="444" spans="1:12" ht="37.200000000000003">
      <c r="A444" s="5">
        <v>443</v>
      </c>
      <c r="B444" s="5" t="s">
        <v>664</v>
      </c>
      <c r="C444" s="5" t="s">
        <v>112</v>
      </c>
      <c r="D444" s="5" t="s">
        <v>1139</v>
      </c>
      <c r="E444" s="5"/>
      <c r="G444" s="4" t="s">
        <v>1269</v>
      </c>
      <c r="H444" s="313" t="s">
        <v>1294</v>
      </c>
      <c r="I444" s="438"/>
      <c r="J444" t="s">
        <v>1295</v>
      </c>
      <c r="K444" t="s">
        <v>659</v>
      </c>
      <c r="L444" t="s">
        <v>669</v>
      </c>
    </row>
    <row r="445" spans="1:12" ht="37.200000000000003">
      <c r="A445" s="5">
        <v>444</v>
      </c>
      <c r="B445" s="5" t="s">
        <v>664</v>
      </c>
      <c r="C445" s="5" t="s">
        <v>112</v>
      </c>
      <c r="D445" s="5" t="s">
        <v>1139</v>
      </c>
      <c r="E445" s="5"/>
      <c r="G445" s="4" t="s">
        <v>1269</v>
      </c>
      <c r="H445" s="313" t="s">
        <v>1296</v>
      </c>
      <c r="I445" s="438"/>
      <c r="J445" t="s">
        <v>1297</v>
      </c>
      <c r="K445" t="s">
        <v>659</v>
      </c>
      <c r="L445" t="s">
        <v>669</v>
      </c>
    </row>
    <row r="446" spans="1:12" ht="43.2">
      <c r="A446" s="5">
        <v>445</v>
      </c>
      <c r="B446" s="5" t="s">
        <v>664</v>
      </c>
      <c r="C446" s="5" t="s">
        <v>112</v>
      </c>
      <c r="D446" s="5" t="s">
        <v>1139</v>
      </c>
      <c r="E446" s="5"/>
      <c r="G446" s="4" t="s">
        <v>1269</v>
      </c>
      <c r="H446" s="313" t="s">
        <v>1298</v>
      </c>
      <c r="I446" s="438"/>
      <c r="J446" t="s">
        <v>1299</v>
      </c>
      <c r="K446" t="s">
        <v>659</v>
      </c>
      <c r="L446" t="s">
        <v>669</v>
      </c>
    </row>
    <row r="447" spans="1:12" ht="37.200000000000003">
      <c r="A447" s="5">
        <v>446</v>
      </c>
      <c r="B447" s="5" t="s">
        <v>664</v>
      </c>
      <c r="C447" s="5" t="s">
        <v>112</v>
      </c>
      <c r="D447" s="5" t="s">
        <v>1139</v>
      </c>
      <c r="E447" s="5"/>
      <c r="G447" s="4" t="s">
        <v>1269</v>
      </c>
      <c r="H447" s="313" t="s">
        <v>1300</v>
      </c>
      <c r="I447" s="438"/>
      <c r="J447" t="s">
        <v>1301</v>
      </c>
      <c r="K447" t="s">
        <v>659</v>
      </c>
      <c r="L447" t="s">
        <v>669</v>
      </c>
    </row>
    <row r="448" spans="1:12" ht="43.2">
      <c r="A448" s="5">
        <v>447</v>
      </c>
      <c r="B448" s="5" t="s">
        <v>664</v>
      </c>
      <c r="C448" s="5" t="s">
        <v>112</v>
      </c>
      <c r="D448" s="5" t="s">
        <v>1139</v>
      </c>
      <c r="E448" s="5"/>
      <c r="G448" s="4" t="s">
        <v>1269</v>
      </c>
      <c r="H448" s="313" t="s">
        <v>1302</v>
      </c>
      <c r="I448" s="438"/>
      <c r="J448" t="s">
        <v>1303</v>
      </c>
      <c r="K448" t="s">
        <v>659</v>
      </c>
      <c r="L448" t="s">
        <v>669</v>
      </c>
    </row>
    <row r="449" spans="1:12" ht="43.2">
      <c r="A449" s="5">
        <v>448</v>
      </c>
      <c r="B449" s="5" t="s">
        <v>664</v>
      </c>
      <c r="C449" s="5" t="s">
        <v>112</v>
      </c>
      <c r="D449" s="5" t="s">
        <v>1139</v>
      </c>
      <c r="E449" s="5"/>
      <c r="G449" s="4" t="s">
        <v>1269</v>
      </c>
      <c r="H449" s="313" t="s">
        <v>1304</v>
      </c>
      <c r="I449" s="438"/>
      <c r="J449" t="s">
        <v>1305</v>
      </c>
      <c r="K449" t="s">
        <v>659</v>
      </c>
      <c r="L449" t="s">
        <v>669</v>
      </c>
    </row>
    <row r="450" spans="1:12" ht="37.200000000000003">
      <c r="A450" s="5">
        <v>449</v>
      </c>
      <c r="B450" s="5" t="s">
        <v>664</v>
      </c>
      <c r="C450" s="5" t="s">
        <v>112</v>
      </c>
      <c r="D450" s="5" t="s">
        <v>1139</v>
      </c>
      <c r="E450" s="5"/>
      <c r="G450" s="4" t="s">
        <v>1269</v>
      </c>
      <c r="H450" s="313" t="s">
        <v>1306</v>
      </c>
      <c r="I450" s="438"/>
      <c r="J450" t="s">
        <v>1307</v>
      </c>
      <c r="K450" t="s">
        <v>659</v>
      </c>
      <c r="L450" t="s">
        <v>669</v>
      </c>
    </row>
    <row r="451" spans="1:12" ht="43.2">
      <c r="A451" s="5">
        <v>450</v>
      </c>
      <c r="B451" s="5" t="s">
        <v>664</v>
      </c>
      <c r="C451" s="5" t="s">
        <v>112</v>
      </c>
      <c r="D451" s="5" t="s">
        <v>1139</v>
      </c>
      <c r="E451" s="5"/>
      <c r="G451" s="4" t="s">
        <v>1269</v>
      </c>
      <c r="H451" s="313" t="s">
        <v>1308</v>
      </c>
      <c r="I451" s="438"/>
      <c r="J451" t="s">
        <v>1309</v>
      </c>
      <c r="K451" t="s">
        <v>659</v>
      </c>
      <c r="L451" t="s">
        <v>669</v>
      </c>
    </row>
    <row r="452" spans="1:12" ht="37.200000000000003">
      <c r="A452" s="5">
        <v>451</v>
      </c>
      <c r="B452" s="5" t="s">
        <v>664</v>
      </c>
      <c r="C452" s="5" t="s">
        <v>112</v>
      </c>
      <c r="D452" s="5" t="s">
        <v>1139</v>
      </c>
      <c r="E452" s="5"/>
      <c r="G452" s="4" t="s">
        <v>1310</v>
      </c>
      <c r="H452" s="313" t="s">
        <v>1311</v>
      </c>
      <c r="I452" s="438"/>
      <c r="J452" t="s">
        <v>1312</v>
      </c>
      <c r="K452" t="s">
        <v>659</v>
      </c>
      <c r="L452" t="s">
        <v>669</v>
      </c>
    </row>
    <row r="453" spans="1:12" ht="37.200000000000003">
      <c r="A453" s="5">
        <v>452</v>
      </c>
      <c r="B453" s="5" t="s">
        <v>664</v>
      </c>
      <c r="C453" s="5" t="s">
        <v>112</v>
      </c>
      <c r="D453" s="5" t="s">
        <v>1139</v>
      </c>
      <c r="E453" s="5"/>
      <c r="G453" s="4" t="s">
        <v>1310</v>
      </c>
      <c r="H453" s="313" t="s">
        <v>1313</v>
      </c>
      <c r="I453" s="438"/>
      <c r="J453" t="s">
        <v>1314</v>
      </c>
      <c r="K453" t="s">
        <v>659</v>
      </c>
      <c r="L453" t="s">
        <v>669</v>
      </c>
    </row>
    <row r="454" spans="1:12" ht="43.2">
      <c r="A454" s="5">
        <v>453</v>
      </c>
      <c r="B454" s="5" t="s">
        <v>664</v>
      </c>
      <c r="C454" s="5" t="s">
        <v>112</v>
      </c>
      <c r="D454" s="5" t="s">
        <v>1139</v>
      </c>
      <c r="E454" s="5"/>
      <c r="G454" s="4" t="s">
        <v>1310</v>
      </c>
      <c r="H454" s="313" t="s">
        <v>1315</v>
      </c>
      <c r="I454" s="438"/>
      <c r="J454" t="s">
        <v>1316</v>
      </c>
      <c r="K454" t="s">
        <v>659</v>
      </c>
      <c r="L454" t="s">
        <v>669</v>
      </c>
    </row>
    <row r="455" spans="1:12" ht="37.200000000000003">
      <c r="A455" s="5">
        <v>454</v>
      </c>
      <c r="B455" s="5" t="s">
        <v>664</v>
      </c>
      <c r="C455" s="5" t="s">
        <v>112</v>
      </c>
      <c r="D455" s="5" t="s">
        <v>1139</v>
      </c>
      <c r="E455" s="5"/>
      <c r="G455" s="4" t="s">
        <v>1310</v>
      </c>
      <c r="H455" s="313" t="s">
        <v>6041</v>
      </c>
      <c r="I455" s="438"/>
      <c r="J455" t="s">
        <v>1317</v>
      </c>
      <c r="K455" t="s">
        <v>659</v>
      </c>
      <c r="L455" t="s">
        <v>669</v>
      </c>
    </row>
    <row r="456" spans="1:12" ht="37.200000000000003">
      <c r="A456" s="5">
        <v>455</v>
      </c>
      <c r="B456" s="5" t="s">
        <v>664</v>
      </c>
      <c r="C456" s="5" t="s">
        <v>112</v>
      </c>
      <c r="D456" s="5" t="s">
        <v>1139</v>
      </c>
      <c r="E456" s="5"/>
      <c r="G456" s="4" t="s">
        <v>1310</v>
      </c>
      <c r="H456" s="313" t="s">
        <v>252</v>
      </c>
      <c r="I456" s="438"/>
      <c r="J456" t="s">
        <v>1318</v>
      </c>
      <c r="K456" t="s">
        <v>659</v>
      </c>
      <c r="L456" t="s">
        <v>669</v>
      </c>
    </row>
    <row r="457" spans="1:12" ht="37.200000000000003">
      <c r="A457" s="5">
        <v>456</v>
      </c>
      <c r="B457" s="5" t="s">
        <v>664</v>
      </c>
      <c r="C457" s="5" t="s">
        <v>112</v>
      </c>
      <c r="D457" s="5" t="s">
        <v>1139</v>
      </c>
      <c r="E457" s="5"/>
      <c r="G457" s="4" t="s">
        <v>1310</v>
      </c>
      <c r="H457" s="313" t="s">
        <v>1319</v>
      </c>
      <c r="I457" s="438"/>
      <c r="J457" t="s">
        <v>1320</v>
      </c>
      <c r="K457" t="s">
        <v>659</v>
      </c>
      <c r="L457" t="s">
        <v>669</v>
      </c>
    </row>
    <row r="458" spans="1:12" ht="37.200000000000003">
      <c r="A458" s="5">
        <v>457</v>
      </c>
      <c r="B458" s="5" t="s">
        <v>664</v>
      </c>
      <c r="C458" s="5" t="s">
        <v>112</v>
      </c>
      <c r="D458" s="5" t="s">
        <v>1139</v>
      </c>
      <c r="E458" s="5"/>
      <c r="G458" s="4" t="s">
        <v>1321</v>
      </c>
      <c r="H458" s="313" t="s">
        <v>1322</v>
      </c>
      <c r="I458" s="438"/>
      <c r="J458" t="s">
        <v>1323</v>
      </c>
      <c r="K458" t="s">
        <v>659</v>
      </c>
      <c r="L458" t="s">
        <v>669</v>
      </c>
    </row>
    <row r="459" spans="1:12" ht="43.2">
      <c r="A459" s="5">
        <v>458</v>
      </c>
      <c r="B459" s="5" t="s">
        <v>664</v>
      </c>
      <c r="C459" s="5" t="s">
        <v>112</v>
      </c>
      <c r="D459" s="5" t="s">
        <v>1139</v>
      </c>
      <c r="E459" s="5"/>
      <c r="G459" s="4" t="s">
        <v>1324</v>
      </c>
      <c r="H459" s="313" t="s">
        <v>1325</v>
      </c>
      <c r="I459" s="438"/>
      <c r="J459" t="s">
        <v>1326</v>
      </c>
      <c r="K459" t="s">
        <v>964</v>
      </c>
      <c r="L459" t="s">
        <v>669</v>
      </c>
    </row>
    <row r="460" spans="1:12" ht="21.6">
      <c r="A460" s="5">
        <v>459</v>
      </c>
      <c r="B460" s="5" t="s">
        <v>664</v>
      </c>
      <c r="C460" s="5" t="s">
        <v>112</v>
      </c>
      <c r="D460" s="5" t="s">
        <v>1139</v>
      </c>
      <c r="E460" s="5"/>
      <c r="G460" s="4" t="s">
        <v>1324</v>
      </c>
      <c r="H460" s="313" t="s">
        <v>983</v>
      </c>
      <c r="I460" s="438"/>
      <c r="J460" t="s">
        <v>1327</v>
      </c>
      <c r="K460" t="s">
        <v>964</v>
      </c>
      <c r="L460" t="s">
        <v>669</v>
      </c>
    </row>
    <row r="461" spans="1:12" ht="43.2">
      <c r="A461" s="5">
        <v>460</v>
      </c>
      <c r="B461" s="5" t="s">
        <v>664</v>
      </c>
      <c r="C461" s="5" t="s">
        <v>112</v>
      </c>
      <c r="D461" s="5" t="s">
        <v>1139</v>
      </c>
      <c r="E461" s="5"/>
      <c r="G461" s="4" t="s">
        <v>1324</v>
      </c>
      <c r="H461" s="313" t="s">
        <v>987</v>
      </c>
      <c r="I461" s="438"/>
      <c r="J461" t="s">
        <v>1328</v>
      </c>
      <c r="K461" t="s">
        <v>964</v>
      </c>
      <c r="L461" t="s">
        <v>669</v>
      </c>
    </row>
    <row r="462" spans="1:12" ht="43.2">
      <c r="A462" s="5">
        <v>461</v>
      </c>
      <c r="B462" s="5" t="s">
        <v>664</v>
      </c>
      <c r="C462" s="5" t="s">
        <v>112</v>
      </c>
      <c r="D462" s="5" t="s">
        <v>1139</v>
      </c>
      <c r="E462" s="5"/>
      <c r="G462" s="4" t="s">
        <v>1324</v>
      </c>
      <c r="H462" s="313" t="s">
        <v>1329</v>
      </c>
      <c r="I462" s="438"/>
      <c r="J462" t="s">
        <v>1330</v>
      </c>
      <c r="K462" t="s">
        <v>964</v>
      </c>
      <c r="L462" t="s">
        <v>669</v>
      </c>
    </row>
    <row r="463" spans="1:12" ht="21.6">
      <c r="A463" s="5">
        <v>462</v>
      </c>
      <c r="B463" s="5" t="s">
        <v>664</v>
      </c>
      <c r="C463" s="5" t="s">
        <v>112</v>
      </c>
      <c r="D463" s="5" t="s">
        <v>1139</v>
      </c>
      <c r="E463" s="5"/>
      <c r="G463" s="4" t="s">
        <v>1324</v>
      </c>
      <c r="H463" s="313" t="s">
        <v>995</v>
      </c>
      <c r="I463" s="438"/>
      <c r="J463" t="s">
        <v>1331</v>
      </c>
      <c r="K463" t="s">
        <v>964</v>
      </c>
      <c r="L463" t="s">
        <v>669</v>
      </c>
    </row>
    <row r="464" spans="1:12" ht="21.6">
      <c r="A464" s="5">
        <v>463</v>
      </c>
      <c r="B464" s="5" t="s">
        <v>664</v>
      </c>
      <c r="C464" s="5" t="s">
        <v>112</v>
      </c>
      <c r="D464" s="5" t="s">
        <v>1139</v>
      </c>
      <c r="E464" s="5"/>
      <c r="G464" s="4" t="s">
        <v>1324</v>
      </c>
      <c r="H464" s="313" t="s">
        <v>1332</v>
      </c>
      <c r="I464" s="438"/>
      <c r="J464" t="s">
        <v>1333</v>
      </c>
      <c r="K464" t="s">
        <v>964</v>
      </c>
      <c r="L464" t="s">
        <v>669</v>
      </c>
    </row>
    <row r="465" spans="1:12" ht="21.6">
      <c r="A465" s="5">
        <v>464</v>
      </c>
      <c r="B465" s="5" t="s">
        <v>664</v>
      </c>
      <c r="C465" s="5" t="s">
        <v>112</v>
      </c>
      <c r="D465" s="5" t="s">
        <v>1139</v>
      </c>
      <c r="E465" s="5"/>
      <c r="G465" s="4" t="s">
        <v>1324</v>
      </c>
      <c r="H465" s="313" t="s">
        <v>1334</v>
      </c>
      <c r="I465" s="438"/>
      <c r="J465" t="s">
        <v>1335</v>
      </c>
      <c r="K465" t="s">
        <v>964</v>
      </c>
      <c r="L465" t="s">
        <v>669</v>
      </c>
    </row>
    <row r="466" spans="1:12" ht="21.6">
      <c r="A466" s="5">
        <v>465</v>
      </c>
      <c r="B466" s="5" t="s">
        <v>664</v>
      </c>
      <c r="C466" s="5" t="s">
        <v>112</v>
      </c>
      <c r="D466" s="5" t="s">
        <v>1139</v>
      </c>
      <c r="E466" s="5"/>
      <c r="G466" s="4" t="s">
        <v>1324</v>
      </c>
      <c r="H466" s="313" t="s">
        <v>1336</v>
      </c>
      <c r="I466" s="438"/>
      <c r="J466" t="s">
        <v>1337</v>
      </c>
      <c r="K466" t="s">
        <v>964</v>
      </c>
      <c r="L466" t="s">
        <v>669</v>
      </c>
    </row>
    <row r="467" spans="1:12" ht="21.6">
      <c r="A467" s="5">
        <v>466</v>
      </c>
      <c r="B467" s="5" t="s">
        <v>664</v>
      </c>
      <c r="C467" s="5" t="s">
        <v>112</v>
      </c>
      <c r="D467" s="5" t="s">
        <v>1139</v>
      </c>
      <c r="E467" s="5"/>
      <c r="G467" s="4" t="s">
        <v>1324</v>
      </c>
      <c r="H467" s="313" t="s">
        <v>156</v>
      </c>
      <c r="I467" s="438"/>
      <c r="J467" t="s">
        <v>1338</v>
      </c>
      <c r="K467" t="s">
        <v>964</v>
      </c>
      <c r="L467" t="s">
        <v>669</v>
      </c>
    </row>
    <row r="468" spans="1:12" ht="21.6">
      <c r="A468" s="5">
        <v>467</v>
      </c>
      <c r="B468" s="5" t="s">
        <v>664</v>
      </c>
      <c r="C468" s="5" t="s">
        <v>112</v>
      </c>
      <c r="D468" s="5" t="s">
        <v>1139</v>
      </c>
      <c r="E468" s="5"/>
      <c r="G468" s="4" t="s">
        <v>1324</v>
      </c>
      <c r="H468" s="313" t="s">
        <v>1339</v>
      </c>
      <c r="I468" s="438"/>
      <c r="J468" t="s">
        <v>1340</v>
      </c>
      <c r="K468" t="s">
        <v>964</v>
      </c>
      <c r="L468" t="s">
        <v>669</v>
      </c>
    </row>
    <row r="469" spans="1:12" ht="21.6">
      <c r="A469" s="5">
        <v>468</v>
      </c>
      <c r="B469" s="5" t="s">
        <v>664</v>
      </c>
      <c r="C469" s="5" t="s">
        <v>112</v>
      </c>
      <c r="D469" s="5" t="s">
        <v>1139</v>
      </c>
      <c r="E469" s="5"/>
      <c r="G469" s="4" t="s">
        <v>1341</v>
      </c>
      <c r="H469" s="313" t="s">
        <v>1342</v>
      </c>
      <c r="I469" s="438"/>
      <c r="J469" t="s">
        <v>1343</v>
      </c>
      <c r="K469" t="s">
        <v>964</v>
      </c>
      <c r="L469" t="s">
        <v>669</v>
      </c>
    </row>
    <row r="470" spans="1:12" ht="21.6">
      <c r="A470" s="5">
        <v>469</v>
      </c>
      <c r="B470" s="5" t="s">
        <v>664</v>
      </c>
      <c r="C470" s="5" t="s">
        <v>112</v>
      </c>
      <c r="D470" s="5" t="s">
        <v>1139</v>
      </c>
      <c r="E470" s="5"/>
      <c r="G470" s="4" t="s">
        <v>1341</v>
      </c>
      <c r="H470" s="313" t="s">
        <v>1344</v>
      </c>
      <c r="I470" s="438"/>
      <c r="J470" t="s">
        <v>1345</v>
      </c>
      <c r="K470" t="s">
        <v>964</v>
      </c>
      <c r="L470" t="s">
        <v>669</v>
      </c>
    </row>
    <row r="471" spans="1:12" ht="21.6">
      <c r="A471" s="5">
        <v>470</v>
      </c>
      <c r="B471" s="5" t="s">
        <v>664</v>
      </c>
      <c r="C471" s="5" t="s">
        <v>112</v>
      </c>
      <c r="D471" s="5" t="s">
        <v>1139</v>
      </c>
      <c r="E471" s="5"/>
      <c r="G471" s="4" t="s">
        <v>1341</v>
      </c>
      <c r="H471" s="313" t="s">
        <v>1346</v>
      </c>
      <c r="I471" s="438"/>
      <c r="J471" t="s">
        <v>1347</v>
      </c>
      <c r="K471" t="s">
        <v>964</v>
      </c>
      <c r="L471" t="s">
        <v>669</v>
      </c>
    </row>
    <row r="472" spans="1:12" ht="21.6">
      <c r="A472" s="5">
        <v>471</v>
      </c>
      <c r="B472" s="5" t="s">
        <v>664</v>
      </c>
      <c r="C472" s="5" t="s">
        <v>112</v>
      </c>
      <c r="D472" s="5" t="s">
        <v>1139</v>
      </c>
      <c r="E472" s="5"/>
      <c r="G472" s="4" t="s">
        <v>1341</v>
      </c>
      <c r="H472" s="313" t="s">
        <v>1348</v>
      </c>
      <c r="I472" s="438"/>
      <c r="J472" t="s">
        <v>1349</v>
      </c>
      <c r="K472" t="s">
        <v>964</v>
      </c>
      <c r="L472" t="s">
        <v>669</v>
      </c>
    </row>
    <row r="473" spans="1:12" ht="21.6">
      <c r="A473" s="5">
        <v>472</v>
      </c>
      <c r="B473" s="5" t="s">
        <v>664</v>
      </c>
      <c r="C473" s="5" t="s">
        <v>112</v>
      </c>
      <c r="D473" s="5" t="s">
        <v>1139</v>
      </c>
      <c r="E473" s="5"/>
      <c r="G473" s="4" t="s">
        <v>1341</v>
      </c>
      <c r="H473" s="313" t="s">
        <v>1350</v>
      </c>
      <c r="I473" s="438"/>
      <c r="J473" t="s">
        <v>1351</v>
      </c>
      <c r="K473" t="s">
        <v>964</v>
      </c>
      <c r="L473" t="s">
        <v>669</v>
      </c>
    </row>
    <row r="474" spans="1:12" ht="21.6">
      <c r="A474" s="5">
        <v>473</v>
      </c>
      <c r="B474" s="5" t="s">
        <v>664</v>
      </c>
      <c r="C474" s="5" t="s">
        <v>112</v>
      </c>
      <c r="D474" s="5" t="s">
        <v>1139</v>
      </c>
      <c r="E474" s="5"/>
      <c r="G474" s="4" t="s">
        <v>1341</v>
      </c>
      <c r="H474" s="313" t="s">
        <v>1352</v>
      </c>
      <c r="I474" s="438"/>
      <c r="J474" t="s">
        <v>1353</v>
      </c>
      <c r="K474" t="s">
        <v>964</v>
      </c>
      <c r="L474" t="s">
        <v>669</v>
      </c>
    </row>
    <row r="475" spans="1:12" ht="21.6">
      <c r="A475" s="5">
        <v>474</v>
      </c>
      <c r="B475" s="5" t="s">
        <v>664</v>
      </c>
      <c r="C475" s="5" t="s">
        <v>112</v>
      </c>
      <c r="D475" s="5" t="s">
        <v>1139</v>
      </c>
      <c r="E475" s="5"/>
      <c r="G475" s="4" t="s">
        <v>1341</v>
      </c>
      <c r="H475" s="313" t="s">
        <v>1007</v>
      </c>
      <c r="I475" s="438"/>
      <c r="J475" t="s">
        <v>1354</v>
      </c>
      <c r="K475" t="s">
        <v>964</v>
      </c>
      <c r="L475" t="s">
        <v>669</v>
      </c>
    </row>
    <row r="476" spans="1:12" ht="21.6">
      <c r="A476" s="5">
        <v>475</v>
      </c>
      <c r="B476" s="5" t="s">
        <v>664</v>
      </c>
      <c r="C476" s="5" t="s">
        <v>112</v>
      </c>
      <c r="D476" s="5" t="s">
        <v>1139</v>
      </c>
      <c r="E476" s="5"/>
      <c r="G476" s="4" t="s">
        <v>1341</v>
      </c>
      <c r="H476" s="313" t="s">
        <v>571</v>
      </c>
      <c r="I476" s="438"/>
      <c r="J476" t="s">
        <v>1355</v>
      </c>
      <c r="K476" t="s">
        <v>964</v>
      </c>
      <c r="L476" t="s">
        <v>669</v>
      </c>
    </row>
    <row r="477" spans="1:12" ht="21.6">
      <c r="A477" s="5">
        <v>476</v>
      </c>
      <c r="B477" s="5" t="s">
        <v>664</v>
      </c>
      <c r="C477" s="5" t="s">
        <v>112</v>
      </c>
      <c r="D477" s="5" t="s">
        <v>1139</v>
      </c>
      <c r="E477" s="5"/>
      <c r="G477" s="4" t="s">
        <v>1356</v>
      </c>
      <c r="H477" s="313" t="s">
        <v>1357</v>
      </c>
      <c r="I477" s="438"/>
      <c r="J477" t="s">
        <v>1358</v>
      </c>
      <c r="K477" t="s">
        <v>964</v>
      </c>
      <c r="L477" t="s">
        <v>669</v>
      </c>
    </row>
    <row r="478" spans="1:12" ht="21.6">
      <c r="A478" s="5">
        <v>477</v>
      </c>
      <c r="B478" s="5" t="s">
        <v>664</v>
      </c>
      <c r="C478" s="5" t="s">
        <v>112</v>
      </c>
      <c r="D478" s="5" t="s">
        <v>1139</v>
      </c>
      <c r="E478" s="5"/>
      <c r="G478" s="4" t="s">
        <v>1356</v>
      </c>
      <c r="H478" s="313" t="s">
        <v>1025</v>
      </c>
      <c r="I478" s="438"/>
      <c r="J478" t="s">
        <v>1359</v>
      </c>
      <c r="K478" t="s">
        <v>964</v>
      </c>
      <c r="L478" t="s">
        <v>669</v>
      </c>
    </row>
    <row r="479" spans="1:12" ht="21.6">
      <c r="A479" s="5">
        <v>478</v>
      </c>
      <c r="B479" s="5" t="s">
        <v>664</v>
      </c>
      <c r="C479" s="5" t="s">
        <v>112</v>
      </c>
      <c r="D479" s="5" t="s">
        <v>1139</v>
      </c>
      <c r="E479" s="5"/>
      <c r="G479" s="4" t="s">
        <v>1356</v>
      </c>
      <c r="H479" s="313" t="s">
        <v>1360</v>
      </c>
      <c r="I479" s="438"/>
      <c r="J479" t="s">
        <v>1361</v>
      </c>
      <c r="K479" t="s">
        <v>964</v>
      </c>
      <c r="L479" t="s">
        <v>669</v>
      </c>
    </row>
    <row r="480" spans="1:12" ht="21.6">
      <c r="A480" s="5">
        <v>479</v>
      </c>
      <c r="B480" s="5" t="s">
        <v>664</v>
      </c>
      <c r="C480" s="5" t="s">
        <v>112</v>
      </c>
      <c r="D480" s="5" t="s">
        <v>1139</v>
      </c>
      <c r="E480" s="5"/>
      <c r="G480" s="4" t="s">
        <v>1356</v>
      </c>
      <c r="H480" s="313" t="s">
        <v>1362</v>
      </c>
      <c r="I480" s="438"/>
      <c r="J480" t="s">
        <v>1363</v>
      </c>
      <c r="K480" t="s">
        <v>964</v>
      </c>
      <c r="L480" t="s">
        <v>669</v>
      </c>
    </row>
    <row r="481" spans="1:12" ht="21.6">
      <c r="A481" s="5">
        <v>480</v>
      </c>
      <c r="B481" s="5" t="s">
        <v>664</v>
      </c>
      <c r="C481" s="5" t="s">
        <v>112</v>
      </c>
      <c r="D481" s="5" t="s">
        <v>1139</v>
      </c>
      <c r="E481" s="5"/>
      <c r="G481" s="4" t="s">
        <v>1356</v>
      </c>
      <c r="H481" s="313" t="s">
        <v>1364</v>
      </c>
      <c r="I481" s="438"/>
      <c r="J481" t="s">
        <v>1365</v>
      </c>
      <c r="K481" t="s">
        <v>964</v>
      </c>
      <c r="L481" t="s">
        <v>669</v>
      </c>
    </row>
    <row r="482" spans="1:12" ht="21.6">
      <c r="A482" s="5">
        <v>481</v>
      </c>
      <c r="B482" s="5" t="s">
        <v>664</v>
      </c>
      <c r="C482" s="5" t="s">
        <v>112</v>
      </c>
      <c r="D482" s="5" t="s">
        <v>1139</v>
      </c>
      <c r="E482" s="5"/>
      <c r="G482" s="4" t="s">
        <v>1356</v>
      </c>
      <c r="H482" s="313" t="s">
        <v>1366</v>
      </c>
      <c r="I482" s="438"/>
      <c r="J482" t="s">
        <v>1367</v>
      </c>
      <c r="K482" t="s">
        <v>964</v>
      </c>
      <c r="L482" t="s">
        <v>669</v>
      </c>
    </row>
    <row r="483" spans="1:12" ht="21.6">
      <c r="A483" s="5">
        <v>482</v>
      </c>
      <c r="B483" s="5" t="s">
        <v>664</v>
      </c>
      <c r="C483" s="5" t="s">
        <v>112</v>
      </c>
      <c r="D483" s="5" t="s">
        <v>1139</v>
      </c>
      <c r="E483" s="5"/>
      <c r="G483" s="4" t="s">
        <v>1356</v>
      </c>
      <c r="H483" s="313" t="s">
        <v>1368</v>
      </c>
      <c r="I483" s="438"/>
      <c r="J483" t="s">
        <v>1369</v>
      </c>
      <c r="K483" t="s">
        <v>964</v>
      </c>
      <c r="L483" t="s">
        <v>669</v>
      </c>
    </row>
    <row r="484" spans="1:12" ht="21.6">
      <c r="A484" s="5">
        <v>483</v>
      </c>
      <c r="B484" s="5" t="s">
        <v>664</v>
      </c>
      <c r="C484" s="5" t="s">
        <v>112</v>
      </c>
      <c r="D484" s="5" t="s">
        <v>1139</v>
      </c>
      <c r="E484" s="5"/>
      <c r="G484" s="4" t="s">
        <v>1356</v>
      </c>
      <c r="H484" s="313" t="s">
        <v>1033</v>
      </c>
      <c r="I484" s="438"/>
      <c r="J484" t="s">
        <v>1370</v>
      </c>
      <c r="K484" t="s">
        <v>964</v>
      </c>
      <c r="L484" t="s">
        <v>669</v>
      </c>
    </row>
    <row r="485" spans="1:12" ht="21.6">
      <c r="A485" s="5">
        <v>484</v>
      </c>
      <c r="B485" s="5" t="s">
        <v>664</v>
      </c>
      <c r="C485" s="5" t="s">
        <v>112</v>
      </c>
      <c r="D485" s="5" t="s">
        <v>1139</v>
      </c>
      <c r="E485" s="5"/>
      <c r="G485" s="4" t="s">
        <v>1356</v>
      </c>
      <c r="H485" s="313" t="s">
        <v>1371</v>
      </c>
      <c r="I485" s="438"/>
      <c r="J485" t="s">
        <v>1372</v>
      </c>
      <c r="K485" t="s">
        <v>964</v>
      </c>
      <c r="L485" t="s">
        <v>669</v>
      </c>
    </row>
    <row r="486" spans="1:12" ht="21.6">
      <c r="A486" s="5">
        <v>485</v>
      </c>
      <c r="B486" s="5" t="s">
        <v>664</v>
      </c>
      <c r="C486" s="5" t="s">
        <v>112</v>
      </c>
      <c r="D486" s="5" t="s">
        <v>1139</v>
      </c>
      <c r="E486" s="5"/>
      <c r="G486" s="4" t="s">
        <v>1373</v>
      </c>
      <c r="H486" s="313" t="s">
        <v>1053</v>
      </c>
      <c r="I486" s="438"/>
      <c r="J486" t="s">
        <v>1374</v>
      </c>
      <c r="K486" t="s">
        <v>964</v>
      </c>
      <c r="L486" t="s">
        <v>669</v>
      </c>
    </row>
    <row r="487" spans="1:12" ht="21.6">
      <c r="A487" s="5">
        <v>486</v>
      </c>
      <c r="B487" s="5" t="s">
        <v>664</v>
      </c>
      <c r="C487" s="5" t="s">
        <v>112</v>
      </c>
      <c r="D487" s="5" t="s">
        <v>1139</v>
      </c>
      <c r="E487" s="5"/>
      <c r="G487" s="4" t="s">
        <v>1373</v>
      </c>
      <c r="H487" s="313" t="s">
        <v>1375</v>
      </c>
      <c r="I487" s="438"/>
      <c r="J487" t="s">
        <v>1376</v>
      </c>
      <c r="K487" t="s">
        <v>964</v>
      </c>
      <c r="L487" t="s">
        <v>669</v>
      </c>
    </row>
    <row r="488" spans="1:12" ht="21.6">
      <c r="A488" s="5">
        <v>487</v>
      </c>
      <c r="B488" s="5" t="s">
        <v>664</v>
      </c>
      <c r="C488" s="5" t="s">
        <v>112</v>
      </c>
      <c r="D488" s="5" t="s">
        <v>1139</v>
      </c>
      <c r="E488" s="5"/>
      <c r="G488" s="4" t="s">
        <v>1373</v>
      </c>
      <c r="H488" s="313" t="s">
        <v>1377</v>
      </c>
      <c r="I488" s="438"/>
      <c r="J488" t="s">
        <v>1378</v>
      </c>
      <c r="K488" t="s">
        <v>964</v>
      </c>
      <c r="L488" t="s">
        <v>669</v>
      </c>
    </row>
    <row r="489" spans="1:12" ht="21.6">
      <c r="A489" s="5">
        <v>488</v>
      </c>
      <c r="B489" s="5" t="s">
        <v>664</v>
      </c>
      <c r="C489" s="5" t="s">
        <v>112</v>
      </c>
      <c r="D489" s="5" t="s">
        <v>1139</v>
      </c>
      <c r="E489" s="5"/>
      <c r="G489" s="4" t="s">
        <v>1373</v>
      </c>
      <c r="H489" s="313" t="s">
        <v>1379</v>
      </c>
      <c r="I489" s="438"/>
      <c r="J489" t="s">
        <v>1380</v>
      </c>
      <c r="K489" t="s">
        <v>964</v>
      </c>
      <c r="L489" t="s">
        <v>669</v>
      </c>
    </row>
    <row r="490" spans="1:12" ht="21.6">
      <c r="A490" s="5">
        <v>489</v>
      </c>
      <c r="B490" s="5" t="s">
        <v>664</v>
      </c>
      <c r="C490" s="5" t="s">
        <v>112</v>
      </c>
      <c r="D490" s="5" t="s">
        <v>1139</v>
      </c>
      <c r="E490" s="5"/>
      <c r="G490" s="4" t="s">
        <v>1381</v>
      </c>
      <c r="H490" s="313" t="s">
        <v>1382</v>
      </c>
      <c r="I490" s="438"/>
      <c r="J490" t="s">
        <v>1383</v>
      </c>
      <c r="K490" t="s">
        <v>964</v>
      </c>
      <c r="L490" t="s">
        <v>669</v>
      </c>
    </row>
    <row r="491" spans="1:12" ht="21.6">
      <c r="A491" s="5">
        <v>490</v>
      </c>
      <c r="B491" s="5" t="s">
        <v>664</v>
      </c>
      <c r="C491" s="5" t="s">
        <v>112</v>
      </c>
      <c r="D491" s="5" t="s">
        <v>1139</v>
      </c>
      <c r="E491" s="5"/>
      <c r="G491" s="4" t="s">
        <v>1381</v>
      </c>
      <c r="H491" s="313" t="s">
        <v>1059</v>
      </c>
      <c r="I491" s="438"/>
      <c r="J491" t="s">
        <v>1384</v>
      </c>
      <c r="K491" t="s">
        <v>964</v>
      </c>
      <c r="L491" t="s">
        <v>669</v>
      </c>
    </row>
    <row r="492" spans="1:12" ht="21.6">
      <c r="A492" s="5">
        <v>491</v>
      </c>
      <c r="B492" s="5" t="s">
        <v>664</v>
      </c>
      <c r="C492" s="5" t="s">
        <v>112</v>
      </c>
      <c r="D492" s="5" t="s">
        <v>1139</v>
      </c>
      <c r="E492" s="5"/>
      <c r="G492" s="4" t="s">
        <v>1381</v>
      </c>
      <c r="H492" s="313" t="s">
        <v>1385</v>
      </c>
      <c r="I492" s="438"/>
      <c r="J492" t="s">
        <v>1386</v>
      </c>
      <c r="K492" t="s">
        <v>964</v>
      </c>
      <c r="L492" t="s">
        <v>669</v>
      </c>
    </row>
    <row r="493" spans="1:12" ht="21.6">
      <c r="A493" s="5">
        <v>492</v>
      </c>
      <c r="B493" s="5" t="s">
        <v>664</v>
      </c>
      <c r="C493" s="5" t="s">
        <v>112</v>
      </c>
      <c r="D493" s="5" t="s">
        <v>1139</v>
      </c>
      <c r="E493" s="5"/>
      <c r="G493" s="4" t="s">
        <v>1381</v>
      </c>
      <c r="H493" s="313" t="s">
        <v>1387</v>
      </c>
      <c r="I493" s="438"/>
      <c r="J493" t="s">
        <v>1388</v>
      </c>
      <c r="K493" t="s">
        <v>964</v>
      </c>
      <c r="L493" t="s">
        <v>669</v>
      </c>
    </row>
    <row r="494" spans="1:12" ht="21.6">
      <c r="A494" s="5">
        <v>493</v>
      </c>
      <c r="B494" s="5" t="s">
        <v>664</v>
      </c>
      <c r="C494" s="5" t="s">
        <v>112</v>
      </c>
      <c r="D494" s="5" t="s">
        <v>1139</v>
      </c>
      <c r="E494" s="5"/>
      <c r="G494" s="4" t="s">
        <v>1381</v>
      </c>
      <c r="H494" s="313" t="s">
        <v>1389</v>
      </c>
      <c r="I494" s="438"/>
      <c r="J494" t="s">
        <v>1390</v>
      </c>
      <c r="K494" t="s">
        <v>964</v>
      </c>
      <c r="L494" t="s">
        <v>669</v>
      </c>
    </row>
    <row r="495" spans="1:12" ht="21.6">
      <c r="A495" s="5">
        <v>494</v>
      </c>
      <c r="B495" s="5" t="s">
        <v>664</v>
      </c>
      <c r="C495" s="5" t="s">
        <v>112</v>
      </c>
      <c r="D495" s="5" t="s">
        <v>1139</v>
      </c>
      <c r="E495" s="5"/>
      <c r="G495" s="4" t="s">
        <v>1391</v>
      </c>
      <c r="H495" s="313" t="s">
        <v>1061</v>
      </c>
      <c r="I495" s="438"/>
      <c r="J495" t="s">
        <v>1392</v>
      </c>
      <c r="K495" t="s">
        <v>964</v>
      </c>
      <c r="L495" t="s">
        <v>669</v>
      </c>
    </row>
    <row r="496" spans="1:12" ht="21.6">
      <c r="A496" s="5">
        <v>495</v>
      </c>
      <c r="B496" s="5" t="s">
        <v>664</v>
      </c>
      <c r="C496" s="5" t="s">
        <v>112</v>
      </c>
      <c r="D496" s="5" t="s">
        <v>1139</v>
      </c>
      <c r="E496" s="5"/>
      <c r="G496" s="4" t="s">
        <v>1391</v>
      </c>
      <c r="H496" s="313" t="s">
        <v>1393</v>
      </c>
      <c r="I496" s="438"/>
      <c r="J496" t="s">
        <v>1394</v>
      </c>
      <c r="K496" t="s">
        <v>964</v>
      </c>
      <c r="L496" t="s">
        <v>669</v>
      </c>
    </row>
    <row r="497" spans="1:13" ht="21.6">
      <c r="A497" s="5">
        <v>496</v>
      </c>
      <c r="B497" s="5" t="s">
        <v>664</v>
      </c>
      <c r="C497" s="5" t="s">
        <v>112</v>
      </c>
      <c r="D497" s="5" t="s">
        <v>1139</v>
      </c>
      <c r="E497" s="5"/>
      <c r="G497" s="4" t="s">
        <v>1391</v>
      </c>
      <c r="H497" s="313" t="s">
        <v>1395</v>
      </c>
      <c r="I497" s="438"/>
      <c r="J497" t="s">
        <v>1396</v>
      </c>
      <c r="K497" t="s">
        <v>964</v>
      </c>
      <c r="L497" t="s">
        <v>669</v>
      </c>
    </row>
    <row r="498" spans="1:13" ht="21.6">
      <c r="A498" s="5">
        <v>497</v>
      </c>
      <c r="B498" s="5" t="s">
        <v>664</v>
      </c>
      <c r="C498" s="5" t="s">
        <v>112</v>
      </c>
      <c r="D498" s="5" t="s">
        <v>1139</v>
      </c>
      <c r="E498" s="5"/>
      <c r="G498" s="4" t="s">
        <v>1391</v>
      </c>
      <c r="H498" s="313" t="s">
        <v>1397</v>
      </c>
      <c r="I498" s="438"/>
      <c r="J498" t="s">
        <v>1398</v>
      </c>
      <c r="K498" t="s">
        <v>964</v>
      </c>
      <c r="L498" t="s">
        <v>669</v>
      </c>
    </row>
    <row r="499" spans="1:13" ht="21.6">
      <c r="A499" s="5">
        <v>498</v>
      </c>
      <c r="B499" s="5" t="s">
        <v>664</v>
      </c>
      <c r="C499" s="5" t="s">
        <v>112</v>
      </c>
      <c r="D499" s="5" t="s">
        <v>1139</v>
      </c>
      <c r="E499" s="5"/>
      <c r="G499" s="4" t="s">
        <v>1391</v>
      </c>
      <c r="H499" s="313" t="s">
        <v>1399</v>
      </c>
      <c r="I499" s="438"/>
      <c r="J499" t="s">
        <v>1400</v>
      </c>
      <c r="K499" t="s">
        <v>964</v>
      </c>
      <c r="L499" t="s">
        <v>669</v>
      </c>
    </row>
    <row r="500" spans="1:13" ht="43.2">
      <c r="A500" s="5">
        <v>499</v>
      </c>
      <c r="B500" s="5" t="s">
        <v>664</v>
      </c>
      <c r="C500" s="5" t="s">
        <v>112</v>
      </c>
      <c r="D500" s="5" t="s">
        <v>1139</v>
      </c>
      <c r="E500" s="5"/>
      <c r="G500" s="4" t="s">
        <v>1391</v>
      </c>
      <c r="H500" s="313" t="s">
        <v>123</v>
      </c>
      <c r="I500" s="438"/>
      <c r="J500" t="s">
        <v>1401</v>
      </c>
      <c r="K500" t="s">
        <v>964</v>
      </c>
      <c r="L500" t="s">
        <v>669</v>
      </c>
    </row>
    <row r="501" spans="1:13" ht="43.2">
      <c r="A501" s="5">
        <v>500</v>
      </c>
      <c r="B501" s="5" t="s">
        <v>664</v>
      </c>
      <c r="C501" s="5" t="s">
        <v>112</v>
      </c>
      <c r="D501" s="5" t="s">
        <v>1139</v>
      </c>
      <c r="E501" s="5"/>
      <c r="G501" s="4" t="s">
        <v>1402</v>
      </c>
      <c r="H501" s="313" t="s">
        <v>1403</v>
      </c>
      <c r="I501" s="438"/>
      <c r="J501" t="s">
        <v>1404</v>
      </c>
      <c r="K501" t="s">
        <v>964</v>
      </c>
      <c r="L501" t="s">
        <v>669</v>
      </c>
    </row>
    <row r="502" spans="1:13" ht="37.200000000000003">
      <c r="A502" s="5">
        <v>501</v>
      </c>
      <c r="B502" s="5" t="s">
        <v>664</v>
      </c>
      <c r="C502" s="5" t="s">
        <v>112</v>
      </c>
      <c r="D502" s="5" t="s">
        <v>1139</v>
      </c>
      <c r="E502" s="5"/>
      <c r="G502" s="4" t="s">
        <v>1405</v>
      </c>
      <c r="H502" s="313" t="s">
        <v>1406</v>
      </c>
      <c r="I502" s="438"/>
      <c r="J502" t="s">
        <v>1407</v>
      </c>
      <c r="K502" t="s">
        <v>964</v>
      </c>
      <c r="L502" t="s">
        <v>669</v>
      </c>
    </row>
    <row r="503" spans="1:13" ht="21.6">
      <c r="A503" s="5">
        <v>502</v>
      </c>
      <c r="B503" s="5" t="s">
        <v>664</v>
      </c>
      <c r="C503" s="5" t="s">
        <v>835</v>
      </c>
      <c r="D503" s="5" t="s">
        <v>1139</v>
      </c>
      <c r="E503" s="5"/>
      <c r="G503" s="4" t="s">
        <v>1408</v>
      </c>
      <c r="H503" s="313" t="s">
        <v>1409</v>
      </c>
      <c r="I503" s="438"/>
      <c r="K503" t="s">
        <v>659</v>
      </c>
      <c r="L503" t="s">
        <v>669</v>
      </c>
    </row>
    <row r="504" spans="1:13" ht="37.200000000000003">
      <c r="A504" s="5">
        <v>503</v>
      </c>
      <c r="B504" s="5" t="s">
        <v>96</v>
      </c>
      <c r="C504" s="5" t="s">
        <v>112</v>
      </c>
      <c r="D504" s="5" t="s">
        <v>1139</v>
      </c>
      <c r="E504" s="5"/>
      <c r="G504" s="4" t="s">
        <v>1410</v>
      </c>
      <c r="H504" s="313"/>
      <c r="I504" s="438"/>
      <c r="J504" t="s">
        <v>1411</v>
      </c>
      <c r="K504" t="s">
        <v>659</v>
      </c>
      <c r="L504" t="s">
        <v>669</v>
      </c>
    </row>
    <row r="505" spans="1:13" ht="37.200000000000003">
      <c r="A505" s="5">
        <v>504</v>
      </c>
      <c r="B505" s="5" t="s">
        <v>664</v>
      </c>
      <c r="C505" s="5" t="s">
        <v>112</v>
      </c>
      <c r="D505" s="5" t="s">
        <v>1139</v>
      </c>
      <c r="E505" s="5"/>
      <c r="G505" s="4" t="s">
        <v>1412</v>
      </c>
      <c r="H505" s="313" t="s">
        <v>1413</v>
      </c>
      <c r="I505" s="438"/>
      <c r="K505" t="s">
        <v>659</v>
      </c>
      <c r="L505" t="s">
        <v>669</v>
      </c>
    </row>
    <row r="506" spans="1:13" ht="37.200000000000003">
      <c r="A506" s="5">
        <v>505</v>
      </c>
      <c r="B506" s="5" t="s">
        <v>664</v>
      </c>
      <c r="C506" s="5" t="s">
        <v>112</v>
      </c>
      <c r="D506" s="5" t="s">
        <v>1139</v>
      </c>
      <c r="E506" s="5"/>
      <c r="G506" s="4" t="s">
        <v>1414</v>
      </c>
      <c r="H506" s="313" t="s">
        <v>1415</v>
      </c>
      <c r="I506" s="438"/>
      <c r="K506" t="s">
        <v>659</v>
      </c>
      <c r="L506" t="s">
        <v>669</v>
      </c>
    </row>
    <row r="507" spans="1:13" ht="37.200000000000003">
      <c r="A507" s="5">
        <v>506</v>
      </c>
      <c r="B507" s="5" t="s">
        <v>664</v>
      </c>
      <c r="C507" s="5" t="s">
        <v>112</v>
      </c>
      <c r="D507" s="5" t="s">
        <v>1139</v>
      </c>
      <c r="E507" s="5"/>
      <c r="G507" s="4" t="s">
        <v>1414</v>
      </c>
      <c r="H507" s="313" t="s">
        <v>1416</v>
      </c>
      <c r="I507" s="438"/>
      <c r="K507" t="s">
        <v>659</v>
      </c>
      <c r="L507" t="s">
        <v>669</v>
      </c>
    </row>
    <row r="508" spans="1:13" ht="21.6">
      <c r="A508" s="5">
        <v>507</v>
      </c>
      <c r="B508" s="5" t="s">
        <v>664</v>
      </c>
      <c r="C508" s="5" t="s">
        <v>112</v>
      </c>
      <c r="D508" s="5" t="s">
        <v>1139</v>
      </c>
      <c r="E508" s="5"/>
      <c r="G508" s="4" t="s">
        <v>1417</v>
      </c>
      <c r="H508" s="313" t="s">
        <v>1418</v>
      </c>
      <c r="I508" s="438"/>
      <c r="K508" t="s">
        <v>659</v>
      </c>
      <c r="L508" t="s">
        <v>669</v>
      </c>
    </row>
    <row r="509" spans="1:13" ht="21.6">
      <c r="A509" s="5">
        <v>508</v>
      </c>
      <c r="B509" s="5" t="s">
        <v>664</v>
      </c>
      <c r="C509" s="5" t="s">
        <v>112</v>
      </c>
      <c r="D509" s="5" t="s">
        <v>1139</v>
      </c>
      <c r="E509" s="5"/>
      <c r="G509" s="4" t="s">
        <v>1417</v>
      </c>
      <c r="H509" s="313" t="s">
        <v>1419</v>
      </c>
      <c r="I509" s="438"/>
      <c r="K509" t="s">
        <v>659</v>
      </c>
      <c r="L509" t="s">
        <v>669</v>
      </c>
    </row>
    <row r="510" spans="1:13" ht="21.6">
      <c r="A510" s="5">
        <v>509</v>
      </c>
      <c r="B510" s="5" t="s">
        <v>664</v>
      </c>
      <c r="C510" s="5" t="s">
        <v>112</v>
      </c>
      <c r="D510" s="5" t="s">
        <v>1139</v>
      </c>
      <c r="E510" s="5"/>
      <c r="G510" s="4" t="s">
        <v>1417</v>
      </c>
      <c r="H510" s="313" t="s">
        <v>1420</v>
      </c>
      <c r="I510" s="438"/>
      <c r="K510" t="s">
        <v>659</v>
      </c>
      <c r="L510" t="s">
        <v>669</v>
      </c>
    </row>
    <row r="511" spans="1:13" ht="37.200000000000003">
      <c r="A511" s="5">
        <v>510</v>
      </c>
      <c r="B511" s="5" t="s">
        <v>664</v>
      </c>
      <c r="C511" s="5" t="s">
        <v>1421</v>
      </c>
      <c r="D511" s="5" t="s">
        <v>1422</v>
      </c>
      <c r="E511" s="5"/>
      <c r="G511" s="4" t="s">
        <v>1423</v>
      </c>
      <c r="H511" s="313"/>
      <c r="I511" s="438"/>
      <c r="L511" t="s">
        <v>669</v>
      </c>
      <c r="M511" t="s">
        <v>1424</v>
      </c>
    </row>
    <row r="512" spans="1:13" ht="43.2">
      <c r="A512" s="5">
        <v>511</v>
      </c>
      <c r="B512" s="5" t="s">
        <v>664</v>
      </c>
      <c r="C512" s="5" t="s">
        <v>112</v>
      </c>
      <c r="D512" s="5" t="s">
        <v>1422</v>
      </c>
      <c r="E512" s="5"/>
      <c r="G512" s="4" t="s">
        <v>1425</v>
      </c>
      <c r="H512" s="313" t="s">
        <v>1426</v>
      </c>
      <c r="I512" s="438"/>
      <c r="K512" t="s">
        <v>659</v>
      </c>
      <c r="L512" t="s">
        <v>669</v>
      </c>
    </row>
    <row r="513" spans="1:12" ht="21.6">
      <c r="A513" s="5">
        <v>512</v>
      </c>
      <c r="B513" s="5" t="s">
        <v>96</v>
      </c>
      <c r="C513" s="5" t="s">
        <v>112</v>
      </c>
      <c r="D513" s="5" t="s">
        <v>1422</v>
      </c>
      <c r="E513" s="5"/>
      <c r="G513" s="4" t="s">
        <v>1427</v>
      </c>
      <c r="H513" s="313" t="s">
        <v>198</v>
      </c>
      <c r="I513" s="438"/>
      <c r="K513" t="s">
        <v>659</v>
      </c>
      <c r="L513" t="s">
        <v>669</v>
      </c>
    </row>
    <row r="514" spans="1:12" ht="18" customHeight="1">
      <c r="A514" s="5">
        <v>513</v>
      </c>
      <c r="B514" t="str">
        <f t="shared" ref="B514:B577" si="0">MID(G514,8,2)</f>
        <v>TO</v>
      </c>
      <c r="C514" t="str">
        <f t="shared" ref="C514:C577" si="1">MID(G514,11,2)</f>
        <v>KB</v>
      </c>
      <c r="D514" s="5" t="s">
        <v>1422</v>
      </c>
      <c r="E514" s="5"/>
      <c r="G514" s="4" t="s">
        <v>1428</v>
      </c>
      <c r="H514" s="313" t="s">
        <v>1429</v>
      </c>
      <c r="I514" s="438"/>
      <c r="K514" t="s">
        <v>659</v>
      </c>
      <c r="L514" t="s">
        <v>669</v>
      </c>
    </row>
    <row r="515" spans="1:12" ht="37.200000000000003">
      <c r="A515" s="5">
        <v>514</v>
      </c>
      <c r="B515" t="str">
        <f t="shared" si="0"/>
        <v>TO</v>
      </c>
      <c r="C515" t="str">
        <f t="shared" si="1"/>
        <v>KB</v>
      </c>
      <c r="D515" s="5" t="s">
        <v>1422</v>
      </c>
      <c r="E515" s="5"/>
      <c r="G515" s="4" t="s">
        <v>1430</v>
      </c>
      <c r="H515" s="313" t="s">
        <v>246</v>
      </c>
      <c r="I515" s="438"/>
      <c r="K515" t="s">
        <v>659</v>
      </c>
      <c r="L515" t="s">
        <v>669</v>
      </c>
    </row>
    <row r="516" spans="1:12" ht="22.2" customHeight="1">
      <c r="A516" s="5">
        <v>515</v>
      </c>
      <c r="B516" t="str">
        <f t="shared" si="0"/>
        <v>TO</v>
      </c>
      <c r="C516" t="str">
        <f t="shared" si="1"/>
        <v>KB</v>
      </c>
      <c r="D516" s="5" t="s">
        <v>1422</v>
      </c>
      <c r="E516" s="5"/>
      <c r="G516" s="4" t="s">
        <v>1431</v>
      </c>
      <c r="H516" s="313" t="s">
        <v>145</v>
      </c>
      <c r="I516" s="438"/>
      <c r="K516" t="s">
        <v>659</v>
      </c>
      <c r="L516" t="s">
        <v>669</v>
      </c>
    </row>
    <row r="517" spans="1:12" ht="21.6">
      <c r="A517" s="5">
        <v>516</v>
      </c>
      <c r="B517" t="str">
        <f t="shared" si="0"/>
        <v>TO</v>
      </c>
      <c r="C517" t="str">
        <f t="shared" si="1"/>
        <v>KB</v>
      </c>
      <c r="D517" s="5" t="s">
        <v>1422</v>
      </c>
      <c r="E517" s="5"/>
      <c r="G517" s="4" t="s">
        <v>1432</v>
      </c>
      <c r="H517" s="313" t="s">
        <v>1433</v>
      </c>
      <c r="I517" s="440"/>
      <c r="K517" t="s">
        <v>1434</v>
      </c>
      <c r="L517" t="s">
        <v>669</v>
      </c>
    </row>
    <row r="518" spans="1:12" ht="21.6">
      <c r="A518" s="5">
        <v>517</v>
      </c>
      <c r="B518" t="str">
        <f t="shared" si="0"/>
        <v>TO</v>
      </c>
      <c r="C518" t="str">
        <f t="shared" si="1"/>
        <v>KB</v>
      </c>
      <c r="D518" s="5" t="s">
        <v>1422</v>
      </c>
      <c r="E518" s="5"/>
      <c r="G518" s="4" t="s">
        <v>1435</v>
      </c>
      <c r="H518" s="313" t="s">
        <v>1436</v>
      </c>
      <c r="I518" s="440"/>
      <c r="J518" t="s">
        <v>1437</v>
      </c>
      <c r="K518" t="s">
        <v>1434</v>
      </c>
      <c r="L518" t="s">
        <v>669</v>
      </c>
    </row>
    <row r="519" spans="1:12" ht="21.6">
      <c r="A519" s="5">
        <v>518</v>
      </c>
      <c r="B519" t="str">
        <f t="shared" si="0"/>
        <v>TO</v>
      </c>
      <c r="C519" t="str">
        <f t="shared" si="1"/>
        <v>KB</v>
      </c>
      <c r="D519" s="5" t="s">
        <v>1422</v>
      </c>
      <c r="E519" s="5"/>
      <c r="G519" s="4" t="s">
        <v>1435</v>
      </c>
      <c r="H519" s="313" t="s">
        <v>1438</v>
      </c>
      <c r="I519" s="440"/>
      <c r="J519" t="s">
        <v>1439</v>
      </c>
      <c r="K519" t="s">
        <v>1434</v>
      </c>
      <c r="L519" t="s">
        <v>669</v>
      </c>
    </row>
    <row r="520" spans="1:12" ht="21.6">
      <c r="A520" s="5">
        <v>519</v>
      </c>
      <c r="B520" t="str">
        <f t="shared" si="0"/>
        <v>TO</v>
      </c>
      <c r="C520" t="str">
        <f t="shared" si="1"/>
        <v>KB</v>
      </c>
      <c r="D520" s="5" t="s">
        <v>1422</v>
      </c>
      <c r="E520" s="5"/>
      <c r="G520" s="4" t="s">
        <v>1435</v>
      </c>
      <c r="H520" s="313" t="s">
        <v>1440</v>
      </c>
      <c r="I520" s="440"/>
      <c r="J520" t="s">
        <v>1441</v>
      </c>
      <c r="K520" t="s">
        <v>1434</v>
      </c>
      <c r="L520" t="s">
        <v>669</v>
      </c>
    </row>
    <row r="521" spans="1:12" ht="21.6">
      <c r="A521" s="5">
        <v>520</v>
      </c>
      <c r="B521" t="str">
        <f t="shared" si="0"/>
        <v>TO</v>
      </c>
      <c r="C521" t="str">
        <f t="shared" si="1"/>
        <v>KB</v>
      </c>
      <c r="D521" s="5" t="s">
        <v>1422</v>
      </c>
      <c r="E521" s="5"/>
      <c r="G521" s="4" t="s">
        <v>1435</v>
      </c>
      <c r="H521" s="313" t="s">
        <v>1442</v>
      </c>
      <c r="I521" s="440"/>
      <c r="J521" t="s">
        <v>1443</v>
      </c>
      <c r="K521" t="s">
        <v>1434</v>
      </c>
      <c r="L521" t="s">
        <v>669</v>
      </c>
    </row>
    <row r="522" spans="1:12" ht="43.2">
      <c r="A522" s="5">
        <v>521</v>
      </c>
      <c r="B522" t="str">
        <f t="shared" si="0"/>
        <v>TO</v>
      </c>
      <c r="C522" t="str">
        <f t="shared" si="1"/>
        <v>KB</v>
      </c>
      <c r="D522" s="5" t="s">
        <v>1422</v>
      </c>
      <c r="E522" s="5"/>
      <c r="G522" s="4" t="s">
        <v>1435</v>
      </c>
      <c r="H522" s="313" t="s">
        <v>1444</v>
      </c>
      <c r="I522" s="440"/>
      <c r="J522" t="s">
        <v>1445</v>
      </c>
      <c r="K522" t="s">
        <v>1434</v>
      </c>
      <c r="L522" t="s">
        <v>669</v>
      </c>
    </row>
    <row r="523" spans="1:12" ht="21.6">
      <c r="A523" s="5">
        <v>522</v>
      </c>
      <c r="B523" t="str">
        <f t="shared" si="0"/>
        <v>TO</v>
      </c>
      <c r="C523" t="str">
        <f t="shared" si="1"/>
        <v>KB</v>
      </c>
      <c r="D523" s="5" t="s">
        <v>1422</v>
      </c>
      <c r="E523" s="5"/>
      <c r="G523" s="4" t="s">
        <v>1435</v>
      </c>
      <c r="H523" s="313" t="s">
        <v>1446</v>
      </c>
      <c r="I523" s="440"/>
      <c r="J523" t="s">
        <v>1447</v>
      </c>
      <c r="K523" t="s">
        <v>1434</v>
      </c>
      <c r="L523" t="s">
        <v>669</v>
      </c>
    </row>
    <row r="524" spans="1:12" ht="43.2">
      <c r="A524" s="5">
        <v>523</v>
      </c>
      <c r="B524" t="str">
        <f t="shared" si="0"/>
        <v>TO</v>
      </c>
      <c r="C524" t="str">
        <f t="shared" si="1"/>
        <v>KB</v>
      </c>
      <c r="D524" s="5" t="s">
        <v>1422</v>
      </c>
      <c r="E524" s="5"/>
      <c r="G524" s="4" t="s">
        <v>1435</v>
      </c>
      <c r="H524" s="313" t="s">
        <v>1448</v>
      </c>
      <c r="I524" s="440"/>
      <c r="J524" t="s">
        <v>1449</v>
      </c>
      <c r="K524" t="s">
        <v>1434</v>
      </c>
      <c r="L524" t="s">
        <v>669</v>
      </c>
    </row>
    <row r="525" spans="1:12" ht="43.2">
      <c r="A525" s="5">
        <v>524</v>
      </c>
      <c r="B525" t="str">
        <f t="shared" si="0"/>
        <v>TO</v>
      </c>
      <c r="C525" t="str">
        <f t="shared" si="1"/>
        <v>KB</v>
      </c>
      <c r="D525" s="5" t="s">
        <v>1422</v>
      </c>
      <c r="E525" s="5"/>
      <c r="G525" s="4" t="s">
        <v>1435</v>
      </c>
      <c r="H525" s="313" t="s">
        <v>1450</v>
      </c>
      <c r="I525" s="440"/>
      <c r="J525" t="s">
        <v>1451</v>
      </c>
      <c r="K525" t="s">
        <v>1434</v>
      </c>
      <c r="L525" t="s">
        <v>669</v>
      </c>
    </row>
    <row r="526" spans="1:12" ht="21.6">
      <c r="A526" s="5">
        <v>525</v>
      </c>
      <c r="B526" t="str">
        <f t="shared" si="0"/>
        <v>TO</v>
      </c>
      <c r="C526" t="str">
        <f t="shared" si="1"/>
        <v>KB</v>
      </c>
      <c r="D526" s="5" t="s">
        <v>1422</v>
      </c>
      <c r="E526" s="5"/>
      <c r="G526" s="4" t="s">
        <v>1435</v>
      </c>
      <c r="H526" s="313" t="s">
        <v>1452</v>
      </c>
      <c r="I526" s="440"/>
      <c r="J526" t="s">
        <v>1453</v>
      </c>
      <c r="K526" t="s">
        <v>1434</v>
      </c>
      <c r="L526" t="s">
        <v>669</v>
      </c>
    </row>
    <row r="527" spans="1:12" ht="21.6">
      <c r="A527" s="5">
        <v>526</v>
      </c>
      <c r="B527" t="str">
        <f t="shared" si="0"/>
        <v>TO</v>
      </c>
      <c r="C527" t="str">
        <f t="shared" si="1"/>
        <v>KB</v>
      </c>
      <c r="D527" s="5" t="s">
        <v>1422</v>
      </c>
      <c r="E527" s="5"/>
      <c r="G527" s="4" t="s">
        <v>1435</v>
      </c>
      <c r="H527" s="313" t="s">
        <v>1454</v>
      </c>
      <c r="I527" s="440"/>
      <c r="J527" t="s">
        <v>1455</v>
      </c>
      <c r="K527" t="s">
        <v>1434</v>
      </c>
      <c r="L527" t="s">
        <v>669</v>
      </c>
    </row>
    <row r="528" spans="1:12" ht="43.2">
      <c r="A528" s="5">
        <v>527</v>
      </c>
      <c r="B528" t="str">
        <f t="shared" si="0"/>
        <v>TO</v>
      </c>
      <c r="C528" t="str">
        <f t="shared" si="1"/>
        <v>KB</v>
      </c>
      <c r="D528" s="5" t="s">
        <v>1422</v>
      </c>
      <c r="E528" s="5"/>
      <c r="G528" s="4" t="s">
        <v>1456</v>
      </c>
      <c r="H528" s="313" t="s">
        <v>1457</v>
      </c>
      <c r="I528" s="440"/>
      <c r="J528" t="s">
        <v>1458</v>
      </c>
      <c r="K528" t="s">
        <v>1434</v>
      </c>
      <c r="L528" t="s">
        <v>669</v>
      </c>
    </row>
    <row r="529" spans="1:14" ht="21.6">
      <c r="A529" s="5">
        <v>528</v>
      </c>
      <c r="B529" t="str">
        <f t="shared" si="0"/>
        <v>TO</v>
      </c>
      <c r="C529" t="str">
        <f t="shared" si="1"/>
        <v>KB</v>
      </c>
      <c r="D529" s="5" t="s">
        <v>1422</v>
      </c>
      <c r="E529" s="5"/>
      <c r="G529" s="4" t="s">
        <v>1456</v>
      </c>
      <c r="H529" s="313" t="s">
        <v>1459</v>
      </c>
      <c r="I529" s="440"/>
      <c r="J529" t="s">
        <v>1460</v>
      </c>
      <c r="K529" t="s">
        <v>1434</v>
      </c>
      <c r="L529" t="s">
        <v>669</v>
      </c>
    </row>
    <row r="530" spans="1:14" ht="43.2">
      <c r="A530" s="5">
        <v>529</v>
      </c>
      <c r="B530" t="str">
        <f t="shared" si="0"/>
        <v>TO</v>
      </c>
      <c r="C530" t="str">
        <f t="shared" si="1"/>
        <v>KB</v>
      </c>
      <c r="D530" s="5" t="s">
        <v>1422</v>
      </c>
      <c r="E530" s="5"/>
      <c r="G530" s="4" t="s">
        <v>1456</v>
      </c>
      <c r="H530" s="313" t="s">
        <v>1461</v>
      </c>
      <c r="I530" s="440"/>
      <c r="J530" t="s">
        <v>1462</v>
      </c>
      <c r="K530" t="s">
        <v>1434</v>
      </c>
      <c r="L530" t="s">
        <v>669</v>
      </c>
      <c r="N530" t="s">
        <v>1463</v>
      </c>
    </row>
    <row r="531" spans="1:14" ht="21.6">
      <c r="A531" s="5">
        <v>530</v>
      </c>
      <c r="B531" t="str">
        <f t="shared" si="0"/>
        <v>TO</v>
      </c>
      <c r="C531" t="str">
        <f t="shared" si="1"/>
        <v>KB</v>
      </c>
      <c r="D531" s="5" t="s">
        <v>1422</v>
      </c>
      <c r="E531" s="5"/>
      <c r="G531" s="4" t="s">
        <v>1456</v>
      </c>
      <c r="H531" s="313" t="s">
        <v>1464</v>
      </c>
      <c r="I531" s="440"/>
      <c r="J531" t="s">
        <v>1465</v>
      </c>
      <c r="K531" t="s">
        <v>1434</v>
      </c>
      <c r="L531" t="s">
        <v>669</v>
      </c>
    </row>
    <row r="532" spans="1:14" ht="43.2">
      <c r="A532" s="5">
        <v>531</v>
      </c>
      <c r="B532" t="str">
        <f t="shared" si="0"/>
        <v>TO</v>
      </c>
      <c r="C532" t="str">
        <f t="shared" si="1"/>
        <v>KB</v>
      </c>
      <c r="D532" s="5" t="s">
        <v>1422</v>
      </c>
      <c r="E532" s="5"/>
      <c r="G532" s="4" t="s">
        <v>1456</v>
      </c>
      <c r="H532" s="313" t="s">
        <v>1466</v>
      </c>
      <c r="I532" s="440"/>
      <c r="J532" t="s">
        <v>1467</v>
      </c>
      <c r="K532" t="s">
        <v>1434</v>
      </c>
      <c r="L532" t="s">
        <v>669</v>
      </c>
    </row>
    <row r="533" spans="1:14" ht="21.6">
      <c r="A533" s="5">
        <v>532</v>
      </c>
      <c r="B533" t="str">
        <f t="shared" si="0"/>
        <v>TO</v>
      </c>
      <c r="C533" t="str">
        <f t="shared" si="1"/>
        <v>KB</v>
      </c>
      <c r="D533" s="5" t="s">
        <v>1422</v>
      </c>
      <c r="E533" s="5"/>
      <c r="G533" s="4" t="s">
        <v>1456</v>
      </c>
      <c r="H533" s="313" t="s">
        <v>1371</v>
      </c>
      <c r="I533" s="440"/>
      <c r="J533" t="s">
        <v>1372</v>
      </c>
      <c r="K533" t="s">
        <v>1434</v>
      </c>
      <c r="L533" t="s">
        <v>669</v>
      </c>
    </row>
    <row r="534" spans="1:14" ht="21.6">
      <c r="A534" s="5">
        <v>533</v>
      </c>
      <c r="B534" t="str">
        <f t="shared" si="0"/>
        <v>TO</v>
      </c>
      <c r="C534" t="str">
        <f t="shared" si="1"/>
        <v>KB</v>
      </c>
      <c r="D534" s="5" t="s">
        <v>1422</v>
      </c>
      <c r="E534" s="5"/>
      <c r="G534" s="4" t="s">
        <v>1456</v>
      </c>
      <c r="H534" s="313" t="s">
        <v>1468</v>
      </c>
      <c r="I534" s="440"/>
      <c r="J534" t="s">
        <v>1469</v>
      </c>
      <c r="K534" t="s">
        <v>1434</v>
      </c>
      <c r="L534" t="s">
        <v>669</v>
      </c>
    </row>
    <row r="535" spans="1:14" ht="21.6">
      <c r="A535" s="5">
        <v>534</v>
      </c>
      <c r="B535" t="str">
        <f t="shared" si="0"/>
        <v>TO</v>
      </c>
      <c r="C535" t="str">
        <f t="shared" si="1"/>
        <v>KB</v>
      </c>
      <c r="D535" s="5" t="s">
        <v>1422</v>
      </c>
      <c r="E535" s="5"/>
      <c r="G535" s="4" t="s">
        <v>1470</v>
      </c>
      <c r="H535" s="313" t="s">
        <v>1471</v>
      </c>
      <c r="I535" s="440"/>
      <c r="J535" t="s">
        <v>1392</v>
      </c>
      <c r="K535" t="s">
        <v>1434</v>
      </c>
      <c r="L535" t="s">
        <v>669</v>
      </c>
    </row>
    <row r="536" spans="1:14" ht="37.200000000000003">
      <c r="A536" s="5">
        <v>535</v>
      </c>
      <c r="B536" t="str">
        <f t="shared" si="0"/>
        <v>TO</v>
      </c>
      <c r="C536" t="str">
        <f t="shared" si="1"/>
        <v>KB</v>
      </c>
      <c r="D536" s="5" t="s">
        <v>1422</v>
      </c>
      <c r="E536" s="5"/>
      <c r="G536" s="4" t="s">
        <v>1472</v>
      </c>
      <c r="H536" s="313" t="s">
        <v>1473</v>
      </c>
      <c r="I536" s="440"/>
      <c r="K536" t="s">
        <v>659</v>
      </c>
      <c r="L536" t="s">
        <v>669</v>
      </c>
    </row>
    <row r="537" spans="1:14" ht="43.2">
      <c r="A537" s="5">
        <v>536</v>
      </c>
      <c r="B537" t="str">
        <f t="shared" si="0"/>
        <v>TO</v>
      </c>
      <c r="C537" t="str">
        <f t="shared" si="1"/>
        <v>KB</v>
      </c>
      <c r="D537" s="5" t="s">
        <v>1422</v>
      </c>
      <c r="E537" s="5"/>
      <c r="G537" s="4" t="s">
        <v>1474</v>
      </c>
      <c r="H537" s="313" t="s">
        <v>1475</v>
      </c>
      <c r="I537" s="440"/>
      <c r="K537" t="s">
        <v>1434</v>
      </c>
      <c r="L537" t="s">
        <v>669</v>
      </c>
    </row>
    <row r="538" spans="1:14" ht="37.200000000000003">
      <c r="A538" s="5">
        <v>537</v>
      </c>
      <c r="B538" t="str">
        <f t="shared" si="0"/>
        <v>MH</v>
      </c>
      <c r="C538" t="str">
        <f t="shared" si="1"/>
        <v>KB</v>
      </c>
      <c r="D538" s="5" t="s">
        <v>1422</v>
      </c>
      <c r="E538" s="5"/>
      <c r="G538" s="4" t="s">
        <v>1476</v>
      </c>
      <c r="H538" s="313" t="s">
        <v>1477</v>
      </c>
      <c r="I538" s="440"/>
      <c r="K538" t="s">
        <v>659</v>
      </c>
      <c r="L538" t="s">
        <v>669</v>
      </c>
    </row>
    <row r="539" spans="1:14" ht="21.6">
      <c r="A539" s="5">
        <v>538</v>
      </c>
      <c r="B539" t="str">
        <f t="shared" si="0"/>
        <v>TO</v>
      </c>
      <c r="C539" t="str">
        <f t="shared" si="1"/>
        <v>KB</v>
      </c>
      <c r="D539" s="5" t="s">
        <v>1422</v>
      </c>
      <c r="E539" s="5"/>
      <c r="G539" s="4" t="s">
        <v>1478</v>
      </c>
      <c r="H539" s="313" t="s">
        <v>1362</v>
      </c>
      <c r="I539" s="440"/>
      <c r="J539" t="s">
        <v>1363</v>
      </c>
      <c r="K539" t="s">
        <v>1434</v>
      </c>
      <c r="L539" t="s">
        <v>669</v>
      </c>
      <c r="N539" t="s">
        <v>1479</v>
      </c>
    </row>
    <row r="540" spans="1:14" ht="21.6">
      <c r="A540" s="5">
        <v>539</v>
      </c>
      <c r="B540" t="str">
        <f t="shared" si="0"/>
        <v>TO</v>
      </c>
      <c r="C540" t="str">
        <f t="shared" si="1"/>
        <v>KB</v>
      </c>
      <c r="D540" s="5" t="s">
        <v>1422</v>
      </c>
      <c r="E540" s="5"/>
      <c r="G540" s="4" t="s">
        <v>1478</v>
      </c>
      <c r="H540" s="313" t="s">
        <v>1045</v>
      </c>
      <c r="I540" s="440"/>
      <c r="J540" t="s">
        <v>1480</v>
      </c>
      <c r="K540" t="s">
        <v>1434</v>
      </c>
      <c r="L540" t="s">
        <v>669</v>
      </c>
      <c r="N540" t="s">
        <v>1479</v>
      </c>
    </row>
    <row r="541" spans="1:14" ht="21.6">
      <c r="A541" s="5">
        <v>540</v>
      </c>
      <c r="B541" t="str">
        <f t="shared" si="0"/>
        <v>TO</v>
      </c>
      <c r="C541" t="str">
        <f t="shared" si="1"/>
        <v>KB</v>
      </c>
      <c r="D541" s="5" t="s">
        <v>1422</v>
      </c>
      <c r="E541" s="5"/>
      <c r="G541" s="4" t="s">
        <v>1478</v>
      </c>
      <c r="H541" s="313" t="s">
        <v>1061</v>
      </c>
      <c r="I541" s="440"/>
      <c r="J541" t="s">
        <v>1481</v>
      </c>
      <c r="K541" t="s">
        <v>1434</v>
      </c>
      <c r="L541" t="s">
        <v>669</v>
      </c>
      <c r="N541" t="s">
        <v>1479</v>
      </c>
    </row>
    <row r="542" spans="1:14" ht="21.6">
      <c r="A542" s="5">
        <v>541</v>
      </c>
      <c r="B542" t="str">
        <f t="shared" si="0"/>
        <v>TO</v>
      </c>
      <c r="C542" t="str">
        <f t="shared" si="1"/>
        <v>KB</v>
      </c>
      <c r="D542" s="5" t="s">
        <v>1422</v>
      </c>
      <c r="E542" s="5"/>
      <c r="G542" s="4" t="s">
        <v>1478</v>
      </c>
      <c r="H542" s="313" t="s">
        <v>1062</v>
      </c>
      <c r="I542" s="440"/>
      <c r="J542" t="s">
        <v>1482</v>
      </c>
      <c r="K542" t="s">
        <v>1434</v>
      </c>
      <c r="L542" t="s">
        <v>669</v>
      </c>
      <c r="N542" t="s">
        <v>1479</v>
      </c>
    </row>
    <row r="543" spans="1:14" ht="21.6">
      <c r="A543" s="5">
        <v>542</v>
      </c>
      <c r="B543" t="str">
        <f t="shared" si="0"/>
        <v>TO</v>
      </c>
      <c r="C543" t="str">
        <f t="shared" si="1"/>
        <v>KB</v>
      </c>
      <c r="D543" s="5" t="s">
        <v>1422</v>
      </c>
      <c r="E543" s="5"/>
      <c r="G543" s="4" t="s">
        <v>1478</v>
      </c>
      <c r="H543" s="313" t="s">
        <v>1483</v>
      </c>
      <c r="I543" s="440"/>
      <c r="J543" t="s">
        <v>1484</v>
      </c>
      <c r="K543" t="s">
        <v>1434</v>
      </c>
      <c r="L543" t="s">
        <v>669</v>
      </c>
      <c r="N543" t="s">
        <v>1479</v>
      </c>
    </row>
    <row r="544" spans="1:14" ht="43.2">
      <c r="A544" s="5">
        <v>543</v>
      </c>
      <c r="B544" t="str">
        <f t="shared" si="0"/>
        <v>TO</v>
      </c>
      <c r="C544" t="str">
        <f t="shared" si="1"/>
        <v>KB</v>
      </c>
      <c r="D544" s="5" t="s">
        <v>1422</v>
      </c>
      <c r="E544" s="5"/>
      <c r="G544" s="4" t="s">
        <v>1485</v>
      </c>
      <c r="H544" s="313" t="s">
        <v>1486</v>
      </c>
      <c r="I544" s="438"/>
      <c r="J544" t="s">
        <v>1487</v>
      </c>
      <c r="K544" t="s">
        <v>659</v>
      </c>
      <c r="L544" t="s">
        <v>669</v>
      </c>
    </row>
    <row r="545" spans="1:12" ht="37.200000000000003">
      <c r="A545" s="5">
        <v>544</v>
      </c>
      <c r="B545" t="str">
        <f t="shared" si="0"/>
        <v>TO</v>
      </c>
      <c r="C545" t="str">
        <f t="shared" si="1"/>
        <v>KB</v>
      </c>
      <c r="D545" s="5" t="s">
        <v>1422</v>
      </c>
      <c r="E545" s="5"/>
      <c r="G545" s="4" t="s">
        <v>1485</v>
      </c>
      <c r="H545" s="313" t="s">
        <v>1488</v>
      </c>
      <c r="I545" s="438"/>
      <c r="J545" t="s">
        <v>1489</v>
      </c>
      <c r="K545" t="s">
        <v>659</v>
      </c>
      <c r="L545" t="s">
        <v>669</v>
      </c>
    </row>
    <row r="546" spans="1:12" ht="37.200000000000003">
      <c r="A546" s="5">
        <v>545</v>
      </c>
      <c r="B546" t="str">
        <f t="shared" si="0"/>
        <v>TO</v>
      </c>
      <c r="C546" t="str">
        <f t="shared" si="1"/>
        <v>KB</v>
      </c>
      <c r="D546" s="5" t="s">
        <v>1422</v>
      </c>
      <c r="E546" s="5"/>
      <c r="G546" s="4" t="s">
        <v>1485</v>
      </c>
      <c r="H546" s="313" t="s">
        <v>1490</v>
      </c>
      <c r="I546" s="438"/>
      <c r="J546" t="s">
        <v>1491</v>
      </c>
      <c r="K546" t="s">
        <v>659</v>
      </c>
      <c r="L546" t="s">
        <v>669</v>
      </c>
    </row>
    <row r="547" spans="1:12" ht="36">
      <c r="A547" s="5">
        <v>546</v>
      </c>
      <c r="B547" t="str">
        <f t="shared" si="0"/>
        <v>TO</v>
      </c>
      <c r="C547" t="str">
        <f t="shared" si="1"/>
        <v>KB</v>
      </c>
      <c r="D547" s="5" t="s">
        <v>1422</v>
      </c>
      <c r="E547" s="5"/>
      <c r="G547" s="4" t="s">
        <v>1485</v>
      </c>
      <c r="H547" s="306" t="s">
        <v>272</v>
      </c>
      <c r="J547" t="s">
        <v>1492</v>
      </c>
      <c r="K547" t="s">
        <v>659</v>
      </c>
      <c r="L547" t="s">
        <v>669</v>
      </c>
    </row>
    <row r="548" spans="1:12" ht="43.2">
      <c r="A548" s="5">
        <v>547</v>
      </c>
      <c r="B548" t="str">
        <f t="shared" si="0"/>
        <v>TO</v>
      </c>
      <c r="C548" t="str">
        <f t="shared" si="1"/>
        <v>KB</v>
      </c>
      <c r="D548" s="5" t="s">
        <v>1422</v>
      </c>
      <c r="E548" s="5"/>
      <c r="G548" s="4" t="s">
        <v>1485</v>
      </c>
      <c r="H548" s="313" t="s">
        <v>1493</v>
      </c>
      <c r="I548" s="438"/>
      <c r="J548" t="s">
        <v>1494</v>
      </c>
      <c r="K548" t="s">
        <v>659</v>
      </c>
      <c r="L548" t="s">
        <v>669</v>
      </c>
    </row>
    <row r="549" spans="1:12" ht="37.200000000000003">
      <c r="A549" s="5">
        <v>548</v>
      </c>
      <c r="B549" t="str">
        <f t="shared" si="0"/>
        <v>TO</v>
      </c>
      <c r="C549" t="str">
        <f t="shared" si="1"/>
        <v>KB</v>
      </c>
      <c r="D549" s="5" t="s">
        <v>1422</v>
      </c>
      <c r="E549" s="5"/>
      <c r="G549" s="4" t="s">
        <v>1485</v>
      </c>
      <c r="H549" s="313" t="s">
        <v>1022</v>
      </c>
      <c r="I549" s="438"/>
      <c r="J549" t="s">
        <v>1495</v>
      </c>
      <c r="K549" t="s">
        <v>659</v>
      </c>
      <c r="L549" t="s">
        <v>669</v>
      </c>
    </row>
    <row r="550" spans="1:12" ht="43.2">
      <c r="A550" s="5">
        <v>549</v>
      </c>
      <c r="B550" t="str">
        <f t="shared" si="0"/>
        <v>TO</v>
      </c>
      <c r="C550" t="str">
        <f t="shared" si="1"/>
        <v>KB</v>
      </c>
      <c r="D550" s="5" t="s">
        <v>1422</v>
      </c>
      <c r="E550" s="5"/>
      <c r="G550" s="4" t="s">
        <v>1485</v>
      </c>
      <c r="H550" s="313" t="s">
        <v>1496</v>
      </c>
      <c r="I550" s="438"/>
      <c r="J550" t="s">
        <v>1497</v>
      </c>
      <c r="K550" t="s">
        <v>659</v>
      </c>
      <c r="L550" t="s">
        <v>669</v>
      </c>
    </row>
    <row r="551" spans="1:12" ht="37.200000000000003">
      <c r="A551" s="5">
        <v>550</v>
      </c>
      <c r="B551" t="str">
        <f t="shared" si="0"/>
        <v>TO</v>
      </c>
      <c r="C551" t="str">
        <f t="shared" si="1"/>
        <v>KB</v>
      </c>
      <c r="D551" s="5" t="s">
        <v>1422</v>
      </c>
      <c r="E551" s="5"/>
      <c r="G551" s="4" t="s">
        <v>1485</v>
      </c>
      <c r="H551" s="313" t="s">
        <v>1208</v>
      </c>
      <c r="I551" s="438"/>
      <c r="J551" t="s">
        <v>1209</v>
      </c>
      <c r="K551" t="s">
        <v>659</v>
      </c>
      <c r="L551" t="s">
        <v>669</v>
      </c>
    </row>
    <row r="552" spans="1:12" ht="37.200000000000003">
      <c r="A552" s="5">
        <v>551</v>
      </c>
      <c r="B552" t="str">
        <f t="shared" si="0"/>
        <v>TO</v>
      </c>
      <c r="C552" t="str">
        <f t="shared" si="1"/>
        <v>KB</v>
      </c>
      <c r="D552" s="5" t="s">
        <v>1422</v>
      </c>
      <c r="E552" s="5"/>
      <c r="G552" s="4" t="s">
        <v>1485</v>
      </c>
      <c r="H552" s="313" t="s">
        <v>1035</v>
      </c>
      <c r="I552" s="438"/>
      <c r="J552" t="s">
        <v>1498</v>
      </c>
      <c r="K552" t="s">
        <v>659</v>
      </c>
      <c r="L552" t="s">
        <v>669</v>
      </c>
    </row>
    <row r="553" spans="1:12" ht="37.200000000000003">
      <c r="A553" s="5">
        <v>552</v>
      </c>
      <c r="B553" t="str">
        <f t="shared" si="0"/>
        <v>TO</v>
      </c>
      <c r="C553" t="str">
        <f t="shared" si="1"/>
        <v>KB</v>
      </c>
      <c r="D553" s="5" t="s">
        <v>1422</v>
      </c>
      <c r="E553" s="5"/>
      <c r="G553" s="4" t="s">
        <v>1485</v>
      </c>
      <c r="H553" s="313" t="s">
        <v>1217</v>
      </c>
      <c r="I553" s="438"/>
      <c r="J553" t="s">
        <v>1218</v>
      </c>
      <c r="K553" t="s">
        <v>659</v>
      </c>
      <c r="L553" t="s">
        <v>669</v>
      </c>
    </row>
    <row r="554" spans="1:12" ht="43.2">
      <c r="A554" s="5">
        <v>553</v>
      </c>
      <c r="B554" t="str">
        <f t="shared" si="0"/>
        <v>TO</v>
      </c>
      <c r="C554" t="str">
        <f t="shared" si="1"/>
        <v>KB</v>
      </c>
      <c r="D554" s="5" t="s">
        <v>1422</v>
      </c>
      <c r="E554" s="5"/>
      <c r="G554" s="4" t="s">
        <v>1485</v>
      </c>
      <c r="H554" s="313" t="s">
        <v>1499</v>
      </c>
      <c r="I554" s="438"/>
      <c r="J554" t="s">
        <v>1500</v>
      </c>
      <c r="K554" t="s">
        <v>659</v>
      </c>
      <c r="L554" t="s">
        <v>669</v>
      </c>
    </row>
    <row r="555" spans="1:12" ht="37.200000000000003">
      <c r="A555" s="5">
        <v>554</v>
      </c>
      <c r="B555" t="str">
        <f t="shared" si="0"/>
        <v>TO</v>
      </c>
      <c r="C555" t="str">
        <f t="shared" si="1"/>
        <v>KB</v>
      </c>
      <c r="D555" s="5" t="s">
        <v>1422</v>
      </c>
      <c r="E555" s="5"/>
      <c r="G555" s="4" t="s">
        <v>1485</v>
      </c>
      <c r="H555" s="313" t="s">
        <v>1501</v>
      </c>
      <c r="I555" s="438"/>
      <c r="J555" t="s">
        <v>1502</v>
      </c>
      <c r="K555" t="s">
        <v>659</v>
      </c>
      <c r="L555" t="s">
        <v>669</v>
      </c>
    </row>
    <row r="556" spans="1:12" ht="43.2">
      <c r="A556" s="5">
        <v>555</v>
      </c>
      <c r="B556" t="str">
        <f t="shared" si="0"/>
        <v>TO</v>
      </c>
      <c r="C556" t="str">
        <f t="shared" si="1"/>
        <v>KB</v>
      </c>
      <c r="D556" s="5" t="s">
        <v>1422</v>
      </c>
      <c r="E556" s="5"/>
      <c r="G556" s="4" t="s">
        <v>1485</v>
      </c>
      <c r="H556" s="313" t="s">
        <v>1503</v>
      </c>
      <c r="I556" s="438"/>
      <c r="J556" t="s">
        <v>1504</v>
      </c>
      <c r="K556" t="s">
        <v>659</v>
      </c>
      <c r="L556" t="s">
        <v>669</v>
      </c>
    </row>
    <row r="557" spans="1:12" ht="37.200000000000003">
      <c r="A557" s="5">
        <v>556</v>
      </c>
      <c r="B557" t="str">
        <f t="shared" si="0"/>
        <v>TO</v>
      </c>
      <c r="C557" t="str">
        <f t="shared" si="1"/>
        <v>KB</v>
      </c>
      <c r="D557" s="5" t="s">
        <v>1422</v>
      </c>
      <c r="E557" s="5"/>
      <c r="G557" s="4" t="s">
        <v>1485</v>
      </c>
      <c r="H557" s="313" t="s">
        <v>1505</v>
      </c>
      <c r="I557" s="438"/>
      <c r="J557" t="s">
        <v>1506</v>
      </c>
      <c r="K557" t="s">
        <v>659</v>
      </c>
      <c r="L557" t="s">
        <v>669</v>
      </c>
    </row>
    <row r="558" spans="1:12" ht="43.2">
      <c r="A558" s="5">
        <v>557</v>
      </c>
      <c r="B558" t="str">
        <f t="shared" si="0"/>
        <v>TO</v>
      </c>
      <c r="C558" t="str">
        <f t="shared" si="1"/>
        <v>KB</v>
      </c>
      <c r="D558" s="5" t="s">
        <v>1422</v>
      </c>
      <c r="E558" s="5"/>
      <c r="G558" s="4" t="s">
        <v>1485</v>
      </c>
      <c r="H558" s="313" t="s">
        <v>1507</v>
      </c>
      <c r="I558" s="438"/>
      <c r="J558" t="s">
        <v>1508</v>
      </c>
      <c r="K558" t="s">
        <v>659</v>
      </c>
      <c r="L558" t="s">
        <v>669</v>
      </c>
    </row>
    <row r="559" spans="1:12" ht="37.200000000000003">
      <c r="A559" s="5">
        <v>558</v>
      </c>
      <c r="B559" t="str">
        <f t="shared" si="0"/>
        <v>TO</v>
      </c>
      <c r="C559" t="str">
        <f t="shared" si="1"/>
        <v>KB</v>
      </c>
      <c r="D559" s="5" t="s">
        <v>1422</v>
      </c>
      <c r="E559" s="5"/>
      <c r="G559" s="4" t="s">
        <v>1485</v>
      </c>
      <c r="H559" s="313" t="s">
        <v>1509</v>
      </c>
      <c r="I559" s="438"/>
      <c r="J559" t="s">
        <v>1510</v>
      </c>
      <c r="K559" t="s">
        <v>659</v>
      </c>
      <c r="L559" t="s">
        <v>669</v>
      </c>
    </row>
    <row r="560" spans="1:12" ht="36">
      <c r="A560" s="5">
        <v>559</v>
      </c>
      <c r="B560" t="str">
        <f t="shared" si="0"/>
        <v>TO</v>
      </c>
      <c r="C560" t="str">
        <f t="shared" si="1"/>
        <v>KB</v>
      </c>
      <c r="D560" s="5" t="s">
        <v>1422</v>
      </c>
      <c r="E560" s="5"/>
      <c r="G560" s="4" t="s">
        <v>1485</v>
      </c>
      <c r="H560" s="306" t="s">
        <v>1511</v>
      </c>
      <c r="J560" t="s">
        <v>1512</v>
      </c>
      <c r="K560" t="s">
        <v>659</v>
      </c>
      <c r="L560" t="s">
        <v>669</v>
      </c>
    </row>
    <row r="561" spans="1:12" ht="37.200000000000003">
      <c r="A561" s="5">
        <v>560</v>
      </c>
      <c r="B561" t="str">
        <f t="shared" si="0"/>
        <v>TO</v>
      </c>
      <c r="C561" t="str">
        <f t="shared" si="1"/>
        <v>KB</v>
      </c>
      <c r="D561" s="5" t="s">
        <v>1422</v>
      </c>
      <c r="E561" s="5"/>
      <c r="G561" s="4" t="s">
        <v>1485</v>
      </c>
      <c r="H561" s="313" t="s">
        <v>1513</v>
      </c>
      <c r="I561" s="438"/>
      <c r="J561" t="s">
        <v>1514</v>
      </c>
      <c r="K561" t="s">
        <v>659</v>
      </c>
      <c r="L561" t="s">
        <v>669</v>
      </c>
    </row>
    <row r="562" spans="1:12" ht="37.200000000000003">
      <c r="A562" s="5">
        <v>561</v>
      </c>
      <c r="B562" t="str">
        <f t="shared" si="0"/>
        <v>TO</v>
      </c>
      <c r="C562" t="str">
        <f t="shared" si="1"/>
        <v>KB</v>
      </c>
      <c r="D562" s="5" t="s">
        <v>1422</v>
      </c>
      <c r="E562" s="5"/>
      <c r="G562" s="4" t="s">
        <v>1515</v>
      </c>
      <c r="H562" s="313" t="s">
        <v>1516</v>
      </c>
      <c r="I562" s="438"/>
      <c r="J562" t="s">
        <v>1517</v>
      </c>
      <c r="K562" t="s">
        <v>659</v>
      </c>
      <c r="L562" t="s">
        <v>669</v>
      </c>
    </row>
    <row r="563" spans="1:12" ht="37.200000000000003">
      <c r="A563" s="5">
        <v>562</v>
      </c>
      <c r="B563" t="str">
        <f t="shared" si="0"/>
        <v>TO</v>
      </c>
      <c r="C563" t="str">
        <f t="shared" si="1"/>
        <v>KB</v>
      </c>
      <c r="D563" s="5" t="s">
        <v>1422</v>
      </c>
      <c r="E563" s="5"/>
      <c r="G563" s="4" t="s">
        <v>1515</v>
      </c>
      <c r="H563" s="313" t="s">
        <v>87</v>
      </c>
      <c r="I563" s="438"/>
      <c r="J563" t="s">
        <v>1518</v>
      </c>
      <c r="K563" t="s">
        <v>659</v>
      </c>
      <c r="L563" t="s">
        <v>669</v>
      </c>
    </row>
    <row r="564" spans="1:12" ht="37.200000000000003">
      <c r="A564" s="5">
        <v>563</v>
      </c>
      <c r="B564" t="str">
        <f t="shared" si="0"/>
        <v>TO</v>
      </c>
      <c r="C564" t="str">
        <f t="shared" si="1"/>
        <v>KB</v>
      </c>
      <c r="D564" s="5" t="s">
        <v>1422</v>
      </c>
      <c r="E564" s="5"/>
      <c r="G564" s="4" t="s">
        <v>1515</v>
      </c>
      <c r="H564" s="313" t="s">
        <v>1519</v>
      </c>
      <c r="I564" s="438"/>
      <c r="J564" t="s">
        <v>1520</v>
      </c>
      <c r="K564" t="s">
        <v>659</v>
      </c>
      <c r="L564" t="s">
        <v>669</v>
      </c>
    </row>
    <row r="565" spans="1:12" ht="43.2">
      <c r="A565" s="5">
        <v>564</v>
      </c>
      <c r="B565" t="str">
        <f t="shared" si="0"/>
        <v>TO</v>
      </c>
      <c r="C565" t="str">
        <f t="shared" si="1"/>
        <v>KB</v>
      </c>
      <c r="D565" s="5" t="s">
        <v>1422</v>
      </c>
      <c r="E565" s="5"/>
      <c r="G565" s="4" t="s">
        <v>1515</v>
      </c>
      <c r="H565" s="313" t="s">
        <v>1521</v>
      </c>
      <c r="I565" s="438"/>
      <c r="J565" t="s">
        <v>1522</v>
      </c>
      <c r="K565" t="s">
        <v>659</v>
      </c>
      <c r="L565" t="s">
        <v>669</v>
      </c>
    </row>
    <row r="566" spans="1:12" ht="37.200000000000003">
      <c r="A566" s="5">
        <v>565</v>
      </c>
      <c r="B566" t="str">
        <f t="shared" si="0"/>
        <v>TO</v>
      </c>
      <c r="C566" t="str">
        <f t="shared" si="1"/>
        <v>KB</v>
      </c>
      <c r="D566" s="5" t="s">
        <v>1422</v>
      </c>
      <c r="E566" s="5"/>
      <c r="G566" s="4" t="s">
        <v>1515</v>
      </c>
      <c r="H566" s="313" t="s">
        <v>1523</v>
      </c>
      <c r="I566" s="438"/>
      <c r="J566" t="s">
        <v>1524</v>
      </c>
      <c r="K566" t="s">
        <v>659</v>
      </c>
      <c r="L566" t="s">
        <v>669</v>
      </c>
    </row>
    <row r="567" spans="1:12" ht="37.200000000000003">
      <c r="A567" s="5">
        <v>566</v>
      </c>
      <c r="B567" t="str">
        <f t="shared" si="0"/>
        <v>TO</v>
      </c>
      <c r="C567" t="str">
        <f t="shared" si="1"/>
        <v>KB</v>
      </c>
      <c r="D567" s="5" t="s">
        <v>1422</v>
      </c>
      <c r="E567" s="5"/>
      <c r="G567" s="4" t="s">
        <v>1515</v>
      </c>
      <c r="H567" s="313" t="s">
        <v>1525</v>
      </c>
      <c r="I567" s="438"/>
      <c r="J567" t="s">
        <v>1526</v>
      </c>
      <c r="K567" t="s">
        <v>659</v>
      </c>
      <c r="L567" t="s">
        <v>669</v>
      </c>
    </row>
    <row r="568" spans="1:12" ht="43.2">
      <c r="A568" s="5">
        <v>567</v>
      </c>
      <c r="B568" t="str">
        <f t="shared" si="0"/>
        <v>TO</v>
      </c>
      <c r="C568" t="str">
        <f t="shared" si="1"/>
        <v>KB</v>
      </c>
      <c r="D568" s="5" t="s">
        <v>1422</v>
      </c>
      <c r="E568" s="5"/>
      <c r="G568" s="4" t="s">
        <v>1515</v>
      </c>
      <c r="H568" s="313" t="s">
        <v>1527</v>
      </c>
      <c r="I568" s="438"/>
      <c r="J568" t="s">
        <v>1528</v>
      </c>
      <c r="K568" t="s">
        <v>659</v>
      </c>
      <c r="L568" t="s">
        <v>669</v>
      </c>
    </row>
    <row r="569" spans="1:12" ht="37.200000000000003">
      <c r="A569" s="5">
        <v>568</v>
      </c>
      <c r="B569" t="str">
        <f t="shared" si="0"/>
        <v>TO</v>
      </c>
      <c r="C569" t="str">
        <f t="shared" si="1"/>
        <v>KB</v>
      </c>
      <c r="D569" s="5" t="s">
        <v>1422</v>
      </c>
      <c r="E569" s="5"/>
      <c r="G569" s="4" t="s">
        <v>1515</v>
      </c>
      <c r="H569" s="313" t="s">
        <v>1291</v>
      </c>
      <c r="I569" s="438"/>
      <c r="J569" t="s">
        <v>1292</v>
      </c>
      <c r="K569" t="s">
        <v>659</v>
      </c>
      <c r="L569" t="s">
        <v>669</v>
      </c>
    </row>
    <row r="570" spans="1:12" ht="37.200000000000003">
      <c r="A570" s="5">
        <v>569</v>
      </c>
      <c r="B570" t="str">
        <f t="shared" si="0"/>
        <v>TO</v>
      </c>
      <c r="C570" t="str">
        <f t="shared" si="1"/>
        <v>KB</v>
      </c>
      <c r="D570" s="5" t="s">
        <v>1422</v>
      </c>
      <c r="E570" s="5"/>
      <c r="G570" s="4" t="s">
        <v>1515</v>
      </c>
      <c r="H570" s="313" t="s">
        <v>229</v>
      </c>
      <c r="I570" s="438"/>
      <c r="J570" t="s">
        <v>1529</v>
      </c>
      <c r="K570" t="s">
        <v>659</v>
      </c>
      <c r="L570" t="s">
        <v>669</v>
      </c>
    </row>
    <row r="571" spans="1:12" ht="37.200000000000003">
      <c r="A571" s="5">
        <v>570</v>
      </c>
      <c r="B571" t="str">
        <f t="shared" si="0"/>
        <v>TO</v>
      </c>
      <c r="C571" t="str">
        <f t="shared" si="1"/>
        <v>KB</v>
      </c>
      <c r="D571" s="5" t="s">
        <v>1422</v>
      </c>
      <c r="E571" s="5"/>
      <c r="G571" s="4" t="s">
        <v>1515</v>
      </c>
      <c r="H571" s="313" t="s">
        <v>1530</v>
      </c>
      <c r="I571" s="438"/>
      <c r="J571" t="s">
        <v>1531</v>
      </c>
      <c r="K571" t="s">
        <v>659</v>
      </c>
      <c r="L571" t="s">
        <v>669</v>
      </c>
    </row>
    <row r="572" spans="1:12" ht="43.2">
      <c r="A572" s="5">
        <v>571</v>
      </c>
      <c r="B572" t="str">
        <f t="shared" si="0"/>
        <v>TO</v>
      </c>
      <c r="C572" t="str">
        <f t="shared" si="1"/>
        <v>KB</v>
      </c>
      <c r="D572" s="5" t="s">
        <v>1422</v>
      </c>
      <c r="E572" s="5"/>
      <c r="G572" s="4" t="s">
        <v>1515</v>
      </c>
      <c r="H572" s="313" t="s">
        <v>1532</v>
      </c>
      <c r="I572" s="438"/>
      <c r="J572" t="s">
        <v>1533</v>
      </c>
      <c r="K572" t="s">
        <v>659</v>
      </c>
      <c r="L572" t="s">
        <v>669</v>
      </c>
    </row>
    <row r="573" spans="1:12" ht="37.200000000000003">
      <c r="A573" s="5">
        <v>572</v>
      </c>
      <c r="B573" t="str">
        <f t="shared" si="0"/>
        <v>TO</v>
      </c>
      <c r="C573" t="str">
        <f t="shared" si="1"/>
        <v>KB</v>
      </c>
      <c r="D573" s="5" t="s">
        <v>1422</v>
      </c>
      <c r="E573" s="5"/>
      <c r="G573" s="4" t="s">
        <v>1515</v>
      </c>
      <c r="H573" s="313" t="s">
        <v>1534</v>
      </c>
      <c r="I573" s="438"/>
      <c r="J573" t="s">
        <v>1535</v>
      </c>
      <c r="K573" t="s">
        <v>659</v>
      </c>
      <c r="L573" t="s">
        <v>669</v>
      </c>
    </row>
    <row r="574" spans="1:12" ht="43.2">
      <c r="A574" s="5">
        <v>573</v>
      </c>
      <c r="B574" t="str">
        <f t="shared" si="0"/>
        <v>TO</v>
      </c>
      <c r="C574" t="str">
        <f t="shared" si="1"/>
        <v>KB</v>
      </c>
      <c r="D574" s="5" t="s">
        <v>1422</v>
      </c>
      <c r="E574" s="5"/>
      <c r="G574" s="4" t="s">
        <v>1515</v>
      </c>
      <c r="H574" s="313" t="s">
        <v>123</v>
      </c>
      <c r="I574" s="438"/>
      <c r="J574" t="s">
        <v>1401</v>
      </c>
      <c r="K574" t="s">
        <v>659</v>
      </c>
      <c r="L574" t="s">
        <v>669</v>
      </c>
    </row>
    <row r="575" spans="1:12" ht="43.2">
      <c r="A575" s="5">
        <v>574</v>
      </c>
      <c r="B575" t="str">
        <f t="shared" si="0"/>
        <v>MH</v>
      </c>
      <c r="C575" t="str">
        <f t="shared" si="1"/>
        <v>KB</v>
      </c>
      <c r="D575" s="5" t="s">
        <v>1422</v>
      </c>
      <c r="E575" s="5"/>
      <c r="G575" s="4" t="s">
        <v>1536</v>
      </c>
      <c r="H575" s="313" t="s">
        <v>1159</v>
      </c>
      <c r="I575" s="438"/>
      <c r="K575" t="s">
        <v>659</v>
      </c>
      <c r="L575" t="s">
        <v>669</v>
      </c>
    </row>
    <row r="576" spans="1:12" ht="43.2">
      <c r="A576" s="5">
        <v>575</v>
      </c>
      <c r="B576" t="str">
        <f t="shared" si="0"/>
        <v>TO</v>
      </c>
      <c r="C576" t="str">
        <f t="shared" si="1"/>
        <v>KB</v>
      </c>
      <c r="D576" s="5" t="s">
        <v>1422</v>
      </c>
      <c r="E576" s="5"/>
      <c r="G576" s="4" t="s">
        <v>1537</v>
      </c>
      <c r="H576" s="313" t="s">
        <v>1538</v>
      </c>
      <c r="I576" s="438"/>
      <c r="J576" t="s">
        <v>1539</v>
      </c>
      <c r="K576" t="s">
        <v>659</v>
      </c>
      <c r="L576" t="s">
        <v>669</v>
      </c>
    </row>
    <row r="577" spans="1:12" ht="37.200000000000003">
      <c r="A577" s="5">
        <v>576</v>
      </c>
      <c r="B577" t="str">
        <f t="shared" si="0"/>
        <v>TO</v>
      </c>
      <c r="C577" t="str">
        <f t="shared" si="1"/>
        <v>KB</v>
      </c>
      <c r="D577" s="5" t="s">
        <v>1422</v>
      </c>
      <c r="E577" s="5"/>
      <c r="G577" s="4" t="s">
        <v>1537</v>
      </c>
      <c r="H577" s="313" t="s">
        <v>1540</v>
      </c>
      <c r="I577" s="438"/>
      <c r="J577" t="s">
        <v>1541</v>
      </c>
      <c r="K577" t="s">
        <v>659</v>
      </c>
      <c r="L577" t="s">
        <v>669</v>
      </c>
    </row>
    <row r="578" spans="1:12" ht="37.200000000000003">
      <c r="A578" s="5">
        <v>577</v>
      </c>
      <c r="B578" t="str">
        <f t="shared" ref="B578:B641" si="2">MID(G578,8,2)</f>
        <v>TO</v>
      </c>
      <c r="C578" t="str">
        <f t="shared" ref="C578:C641" si="3">MID(G578,11,2)</f>
        <v>KB</v>
      </c>
      <c r="D578" s="5" t="s">
        <v>1422</v>
      </c>
      <c r="E578" s="5"/>
      <c r="G578" s="4" t="s">
        <v>1537</v>
      </c>
      <c r="H578" s="313" t="s">
        <v>1542</v>
      </c>
      <c r="I578" s="438"/>
      <c r="J578" t="s">
        <v>1543</v>
      </c>
      <c r="K578" t="s">
        <v>659</v>
      </c>
      <c r="L578" t="s">
        <v>669</v>
      </c>
    </row>
    <row r="579" spans="1:12" ht="37.200000000000003">
      <c r="A579" s="5">
        <v>578</v>
      </c>
      <c r="B579" t="str">
        <f t="shared" si="2"/>
        <v>TO</v>
      </c>
      <c r="C579" t="str">
        <f t="shared" si="3"/>
        <v>KB</v>
      </c>
      <c r="D579" s="5" t="s">
        <v>1422</v>
      </c>
      <c r="E579" s="5"/>
      <c r="G579" s="4" t="s">
        <v>1537</v>
      </c>
      <c r="H579" s="313" t="s">
        <v>1544</v>
      </c>
      <c r="I579" s="438"/>
      <c r="J579" t="s">
        <v>1545</v>
      </c>
      <c r="K579" t="s">
        <v>659</v>
      </c>
      <c r="L579" t="s">
        <v>669</v>
      </c>
    </row>
    <row r="580" spans="1:12" ht="37.200000000000003">
      <c r="A580" s="5">
        <v>579</v>
      </c>
      <c r="B580" t="str">
        <f t="shared" si="2"/>
        <v>TO</v>
      </c>
      <c r="C580" t="str">
        <f t="shared" si="3"/>
        <v>KB</v>
      </c>
      <c r="D580" s="5" t="s">
        <v>1422</v>
      </c>
      <c r="E580" s="5"/>
      <c r="G580" s="4" t="s">
        <v>1537</v>
      </c>
      <c r="H580" s="313" t="s">
        <v>1546</v>
      </c>
      <c r="I580" s="438"/>
      <c r="J580" t="s">
        <v>1547</v>
      </c>
      <c r="K580" t="s">
        <v>659</v>
      </c>
      <c r="L580" t="s">
        <v>669</v>
      </c>
    </row>
    <row r="581" spans="1:12" ht="37.200000000000003">
      <c r="A581" s="5">
        <v>580</v>
      </c>
      <c r="B581" t="str">
        <f t="shared" si="2"/>
        <v>TO</v>
      </c>
      <c r="C581" t="str">
        <f t="shared" si="3"/>
        <v>KB</v>
      </c>
      <c r="D581" s="5" t="s">
        <v>1422</v>
      </c>
      <c r="E581" s="5"/>
      <c r="G581" s="4" t="s">
        <v>1537</v>
      </c>
      <c r="H581" s="313" t="s">
        <v>1548</v>
      </c>
      <c r="I581" s="438"/>
      <c r="J581" t="s">
        <v>1549</v>
      </c>
      <c r="K581" t="s">
        <v>659</v>
      </c>
      <c r="L581" t="s">
        <v>669</v>
      </c>
    </row>
    <row r="582" spans="1:12" ht="37.200000000000003">
      <c r="A582" s="5">
        <v>581</v>
      </c>
      <c r="B582" t="str">
        <f t="shared" si="2"/>
        <v>TO</v>
      </c>
      <c r="C582" t="str">
        <f t="shared" si="3"/>
        <v>KB</v>
      </c>
      <c r="D582" s="5" t="s">
        <v>1422</v>
      </c>
      <c r="E582" s="5"/>
      <c r="G582" s="4" t="s">
        <v>1537</v>
      </c>
      <c r="H582" s="313" t="s">
        <v>1550</v>
      </c>
      <c r="I582" s="438"/>
      <c r="J582" t="s">
        <v>1551</v>
      </c>
      <c r="K582" t="s">
        <v>659</v>
      </c>
      <c r="L582" t="s">
        <v>669</v>
      </c>
    </row>
    <row r="583" spans="1:12" ht="37.200000000000003">
      <c r="A583" s="5">
        <v>582</v>
      </c>
      <c r="B583" t="str">
        <f t="shared" si="2"/>
        <v>TO</v>
      </c>
      <c r="C583" t="str">
        <f t="shared" si="3"/>
        <v>KB</v>
      </c>
      <c r="D583" s="5" t="s">
        <v>1422</v>
      </c>
      <c r="E583" s="5"/>
      <c r="G583" s="4" t="s">
        <v>1537</v>
      </c>
      <c r="H583" s="313" t="s">
        <v>1552</v>
      </c>
      <c r="I583" s="438"/>
      <c r="J583" t="s">
        <v>1553</v>
      </c>
      <c r="K583" t="s">
        <v>659</v>
      </c>
      <c r="L583" t="s">
        <v>669</v>
      </c>
    </row>
    <row r="584" spans="1:12" ht="37.200000000000003">
      <c r="A584" s="5">
        <v>583</v>
      </c>
      <c r="B584" t="str">
        <f t="shared" si="2"/>
        <v>TO</v>
      </c>
      <c r="C584" t="str">
        <f t="shared" si="3"/>
        <v>KB</v>
      </c>
      <c r="D584" s="5" t="s">
        <v>1422</v>
      </c>
      <c r="E584" s="5"/>
      <c r="G584" s="4" t="s">
        <v>1537</v>
      </c>
      <c r="H584" s="313" t="s">
        <v>1554</v>
      </c>
      <c r="I584" s="438"/>
      <c r="J584" t="s">
        <v>1555</v>
      </c>
      <c r="K584" t="s">
        <v>659</v>
      </c>
      <c r="L584" t="s">
        <v>669</v>
      </c>
    </row>
    <row r="585" spans="1:12" ht="37.200000000000003">
      <c r="A585" s="5">
        <v>584</v>
      </c>
      <c r="B585" t="str">
        <f t="shared" si="2"/>
        <v>TO</v>
      </c>
      <c r="C585" t="str">
        <f t="shared" si="3"/>
        <v>KB</v>
      </c>
      <c r="D585" s="5" t="s">
        <v>1422</v>
      </c>
      <c r="E585" s="5"/>
      <c r="G585" s="4" t="s">
        <v>1537</v>
      </c>
      <c r="H585" s="313" t="s">
        <v>1556</v>
      </c>
      <c r="I585" s="438"/>
      <c r="J585" t="s">
        <v>1557</v>
      </c>
      <c r="K585" t="s">
        <v>659</v>
      </c>
      <c r="L585" t="s">
        <v>669</v>
      </c>
    </row>
    <row r="586" spans="1:12" ht="37.200000000000003">
      <c r="A586" s="5">
        <v>585</v>
      </c>
      <c r="B586" t="str">
        <f t="shared" si="2"/>
        <v>TO</v>
      </c>
      <c r="C586" t="str">
        <f t="shared" si="3"/>
        <v>KB</v>
      </c>
      <c r="D586" s="5" t="s">
        <v>1422</v>
      </c>
      <c r="E586" s="5"/>
      <c r="G586" s="4" t="s">
        <v>1537</v>
      </c>
      <c r="H586" s="313" t="s">
        <v>1558</v>
      </c>
      <c r="I586" s="438"/>
      <c r="J586" t="s">
        <v>1559</v>
      </c>
      <c r="K586" t="s">
        <v>659</v>
      </c>
      <c r="L586" t="s">
        <v>669</v>
      </c>
    </row>
    <row r="587" spans="1:12" ht="37.200000000000003">
      <c r="A587" s="5">
        <v>586</v>
      </c>
      <c r="B587" t="str">
        <f t="shared" si="2"/>
        <v>TO</v>
      </c>
      <c r="C587" t="str">
        <f t="shared" si="3"/>
        <v>KB</v>
      </c>
      <c r="D587" s="5" t="s">
        <v>1422</v>
      </c>
      <c r="E587" s="5"/>
      <c r="G587" s="4" t="s">
        <v>1537</v>
      </c>
      <c r="H587" s="313" t="s">
        <v>1560</v>
      </c>
      <c r="I587" s="438"/>
      <c r="J587" t="s">
        <v>1561</v>
      </c>
      <c r="K587" t="s">
        <v>659</v>
      </c>
      <c r="L587" t="s">
        <v>669</v>
      </c>
    </row>
    <row r="588" spans="1:12" ht="37.200000000000003">
      <c r="A588" s="5">
        <v>587</v>
      </c>
      <c r="B588" t="str">
        <f t="shared" si="2"/>
        <v>TO</v>
      </c>
      <c r="C588" t="str">
        <f t="shared" si="3"/>
        <v>KB</v>
      </c>
      <c r="D588" s="5" t="s">
        <v>1422</v>
      </c>
      <c r="E588" s="5"/>
      <c r="G588" s="4" t="s">
        <v>1537</v>
      </c>
      <c r="H588" s="313" t="s">
        <v>1562</v>
      </c>
      <c r="I588" s="438"/>
      <c r="J588" t="s">
        <v>1563</v>
      </c>
      <c r="K588" t="s">
        <v>659</v>
      </c>
      <c r="L588" t="s">
        <v>669</v>
      </c>
    </row>
    <row r="589" spans="1:12" ht="43.2">
      <c r="A589" s="5">
        <v>588</v>
      </c>
      <c r="B589" t="str">
        <f t="shared" si="2"/>
        <v>TO</v>
      </c>
      <c r="C589" t="str">
        <f t="shared" si="3"/>
        <v>KB</v>
      </c>
      <c r="D589" s="5" t="s">
        <v>1422</v>
      </c>
      <c r="E589" s="5"/>
      <c r="G589" s="4" t="s">
        <v>1537</v>
      </c>
      <c r="H589" s="313" t="s">
        <v>1564</v>
      </c>
      <c r="I589" s="438"/>
      <c r="J589" t="s">
        <v>1565</v>
      </c>
      <c r="K589" t="s">
        <v>659</v>
      </c>
      <c r="L589" t="s">
        <v>669</v>
      </c>
    </row>
    <row r="590" spans="1:12" ht="43.2">
      <c r="A590" s="5">
        <v>589</v>
      </c>
      <c r="B590" t="str">
        <f t="shared" si="2"/>
        <v>TO</v>
      </c>
      <c r="C590" t="str">
        <f t="shared" si="3"/>
        <v>KB</v>
      </c>
      <c r="D590" s="5" t="s">
        <v>1422</v>
      </c>
      <c r="E590" s="5"/>
      <c r="G590" s="4" t="s">
        <v>1537</v>
      </c>
      <c r="H590" s="313" t="s">
        <v>1566</v>
      </c>
      <c r="I590" s="438"/>
      <c r="J590" t="s">
        <v>1567</v>
      </c>
      <c r="K590" t="s">
        <v>659</v>
      </c>
      <c r="L590" t="s">
        <v>669</v>
      </c>
    </row>
    <row r="591" spans="1:12" ht="37.200000000000003">
      <c r="A591" s="5">
        <v>590</v>
      </c>
      <c r="B591" t="str">
        <f t="shared" si="2"/>
        <v>TO</v>
      </c>
      <c r="C591" t="str">
        <f t="shared" si="3"/>
        <v>KB</v>
      </c>
      <c r="D591" s="5" t="s">
        <v>1422</v>
      </c>
      <c r="E591" s="5"/>
      <c r="G591" s="4" t="s">
        <v>1537</v>
      </c>
      <c r="H591" s="313" t="s">
        <v>1568</v>
      </c>
      <c r="I591" s="438"/>
      <c r="J591" t="s">
        <v>1569</v>
      </c>
      <c r="K591" t="s">
        <v>659</v>
      </c>
      <c r="L591" t="s">
        <v>669</v>
      </c>
    </row>
    <row r="592" spans="1:12" ht="37.200000000000003">
      <c r="A592" s="5">
        <v>591</v>
      </c>
      <c r="B592" t="str">
        <f t="shared" si="2"/>
        <v>TO</v>
      </c>
      <c r="C592" t="str">
        <f t="shared" si="3"/>
        <v>KB</v>
      </c>
      <c r="D592" s="5" t="s">
        <v>1422</v>
      </c>
      <c r="E592" s="5"/>
      <c r="G592" s="4" t="s">
        <v>1537</v>
      </c>
      <c r="H592" s="313" t="s">
        <v>1570</v>
      </c>
      <c r="I592" s="438"/>
      <c r="J592" t="s">
        <v>1571</v>
      </c>
      <c r="K592" t="s">
        <v>659</v>
      </c>
      <c r="L592" t="s">
        <v>669</v>
      </c>
    </row>
    <row r="593" spans="1:12" ht="37.200000000000003">
      <c r="A593" s="5">
        <v>592</v>
      </c>
      <c r="B593" t="str">
        <f t="shared" si="2"/>
        <v>TO</v>
      </c>
      <c r="C593" t="str">
        <f t="shared" si="3"/>
        <v>KB</v>
      </c>
      <c r="D593" s="5" t="s">
        <v>1422</v>
      </c>
      <c r="E593" s="5"/>
      <c r="G593" s="4" t="s">
        <v>1537</v>
      </c>
      <c r="H593" s="313" t="s">
        <v>1572</v>
      </c>
      <c r="I593" s="438"/>
      <c r="J593" t="s">
        <v>1573</v>
      </c>
      <c r="K593" t="s">
        <v>659</v>
      </c>
      <c r="L593" t="s">
        <v>669</v>
      </c>
    </row>
    <row r="594" spans="1:12" ht="37.200000000000003">
      <c r="A594" s="5">
        <v>593</v>
      </c>
      <c r="B594" t="str">
        <f t="shared" si="2"/>
        <v>TO</v>
      </c>
      <c r="C594" t="str">
        <f t="shared" si="3"/>
        <v>KB</v>
      </c>
      <c r="D594" s="5" t="s">
        <v>1422</v>
      </c>
      <c r="E594" s="5"/>
      <c r="G594" s="4" t="s">
        <v>1537</v>
      </c>
      <c r="H594" s="313" t="s">
        <v>1385</v>
      </c>
      <c r="I594" s="438"/>
      <c r="J594" t="s">
        <v>1386</v>
      </c>
      <c r="K594" t="s">
        <v>659</v>
      </c>
      <c r="L594" t="s">
        <v>669</v>
      </c>
    </row>
    <row r="595" spans="1:12" ht="37.200000000000003">
      <c r="A595" s="5">
        <v>594</v>
      </c>
      <c r="B595" t="str">
        <f t="shared" si="2"/>
        <v>TO</v>
      </c>
      <c r="C595" t="str">
        <f t="shared" si="3"/>
        <v>KB</v>
      </c>
      <c r="D595" s="5" t="s">
        <v>1422</v>
      </c>
      <c r="E595" s="5"/>
      <c r="G595" s="4" t="s">
        <v>1537</v>
      </c>
      <c r="H595" s="313" t="s">
        <v>479</v>
      </c>
      <c r="I595" s="438"/>
      <c r="J595" t="s">
        <v>1293</v>
      </c>
      <c r="K595" t="s">
        <v>659</v>
      </c>
      <c r="L595" t="s">
        <v>669</v>
      </c>
    </row>
    <row r="596" spans="1:12" ht="37.200000000000003">
      <c r="A596" s="5">
        <v>595</v>
      </c>
      <c r="B596" t="str">
        <f t="shared" si="2"/>
        <v>TO</v>
      </c>
      <c r="C596" t="str">
        <f t="shared" si="3"/>
        <v>KB</v>
      </c>
      <c r="D596" s="5" t="s">
        <v>1422</v>
      </c>
      <c r="E596" s="5"/>
      <c r="G596" s="4" t="s">
        <v>1537</v>
      </c>
      <c r="H596" s="313" t="s">
        <v>1574</v>
      </c>
      <c r="I596" s="438"/>
      <c r="J596" t="s">
        <v>1575</v>
      </c>
      <c r="K596" t="s">
        <v>659</v>
      </c>
      <c r="L596" t="s">
        <v>669</v>
      </c>
    </row>
    <row r="597" spans="1:12" ht="37.200000000000003">
      <c r="A597" s="5">
        <v>596</v>
      </c>
      <c r="B597" t="str">
        <f t="shared" si="2"/>
        <v>TO</v>
      </c>
      <c r="C597" t="str">
        <f t="shared" si="3"/>
        <v>KB</v>
      </c>
      <c r="D597" s="5" t="s">
        <v>1422</v>
      </c>
      <c r="E597" s="5"/>
      <c r="G597" s="4" t="s">
        <v>1537</v>
      </c>
      <c r="H597" s="313" t="s">
        <v>1576</v>
      </c>
      <c r="I597" s="438"/>
      <c r="J597" t="s">
        <v>1577</v>
      </c>
      <c r="K597" t="s">
        <v>659</v>
      </c>
      <c r="L597" t="s">
        <v>669</v>
      </c>
    </row>
    <row r="598" spans="1:12" ht="37.200000000000003">
      <c r="A598" s="5">
        <v>597</v>
      </c>
      <c r="B598" t="str">
        <f t="shared" si="2"/>
        <v>TO</v>
      </c>
      <c r="C598" t="str">
        <f t="shared" si="3"/>
        <v>KB</v>
      </c>
      <c r="D598" s="5" t="s">
        <v>1422</v>
      </c>
      <c r="E598" s="5"/>
      <c r="G598" s="4" t="s">
        <v>1537</v>
      </c>
      <c r="H598" s="313" t="s">
        <v>1578</v>
      </c>
      <c r="I598" s="438"/>
      <c r="J598" t="s">
        <v>1579</v>
      </c>
      <c r="K598" t="s">
        <v>659</v>
      </c>
      <c r="L598" t="s">
        <v>669</v>
      </c>
    </row>
    <row r="599" spans="1:12" ht="37.200000000000003">
      <c r="A599" s="5">
        <v>598</v>
      </c>
      <c r="B599" t="str">
        <f t="shared" si="2"/>
        <v>TO</v>
      </c>
      <c r="C599" t="str">
        <f t="shared" si="3"/>
        <v>KB</v>
      </c>
      <c r="D599" s="5" t="s">
        <v>1422</v>
      </c>
      <c r="E599" s="5"/>
      <c r="G599" s="4" t="s">
        <v>1537</v>
      </c>
      <c r="H599" s="313" t="s">
        <v>1306</v>
      </c>
      <c r="I599" s="438"/>
      <c r="J599" t="s">
        <v>1307</v>
      </c>
      <c r="K599" t="s">
        <v>659</v>
      </c>
      <c r="L599" t="s">
        <v>669</v>
      </c>
    </row>
    <row r="600" spans="1:12" ht="37.200000000000003">
      <c r="A600" s="5">
        <v>599</v>
      </c>
      <c r="B600" t="str">
        <f t="shared" si="2"/>
        <v>TO</v>
      </c>
      <c r="C600" t="str">
        <f t="shared" si="3"/>
        <v>KB</v>
      </c>
      <c r="D600" s="5" t="s">
        <v>1422</v>
      </c>
      <c r="E600" s="5"/>
      <c r="G600" s="4" t="s">
        <v>1537</v>
      </c>
      <c r="H600" s="313" t="s">
        <v>1580</v>
      </c>
      <c r="I600" s="438"/>
      <c r="J600" t="s">
        <v>1411</v>
      </c>
      <c r="K600" t="s">
        <v>659</v>
      </c>
      <c r="L600" t="s">
        <v>669</v>
      </c>
    </row>
    <row r="601" spans="1:12" ht="37.200000000000003">
      <c r="A601" s="5">
        <v>600</v>
      </c>
      <c r="B601" t="str">
        <f t="shared" si="2"/>
        <v>TO</v>
      </c>
      <c r="C601" t="str">
        <f t="shared" si="3"/>
        <v>KB</v>
      </c>
      <c r="D601" s="5" t="s">
        <v>1422</v>
      </c>
      <c r="E601" s="5"/>
      <c r="G601" s="4" t="s">
        <v>1537</v>
      </c>
      <c r="H601" s="313" t="s">
        <v>1581</v>
      </c>
      <c r="I601" s="438"/>
      <c r="J601" t="s">
        <v>1582</v>
      </c>
      <c r="K601" t="s">
        <v>659</v>
      </c>
      <c r="L601" t="s">
        <v>669</v>
      </c>
    </row>
    <row r="602" spans="1:12" ht="37.200000000000003">
      <c r="A602" s="5">
        <v>601</v>
      </c>
      <c r="B602" t="str">
        <f t="shared" si="2"/>
        <v>TO</v>
      </c>
      <c r="C602" t="str">
        <f t="shared" si="3"/>
        <v>KB</v>
      </c>
      <c r="D602" s="5" t="s">
        <v>1422</v>
      </c>
      <c r="E602" s="5"/>
      <c r="G602" s="4" t="s">
        <v>1537</v>
      </c>
      <c r="H602" s="313" t="s">
        <v>1583</v>
      </c>
      <c r="I602" s="438"/>
      <c r="J602" t="s">
        <v>1584</v>
      </c>
      <c r="K602" t="s">
        <v>659</v>
      </c>
      <c r="L602" t="s">
        <v>669</v>
      </c>
    </row>
    <row r="603" spans="1:12" ht="37.200000000000003">
      <c r="A603" s="5">
        <v>602</v>
      </c>
      <c r="B603" t="str">
        <f t="shared" si="2"/>
        <v>TO</v>
      </c>
      <c r="C603" t="str">
        <f t="shared" si="3"/>
        <v>KB</v>
      </c>
      <c r="D603" s="5" t="s">
        <v>1585</v>
      </c>
      <c r="E603" s="5"/>
      <c r="G603" s="4" t="s">
        <v>1586</v>
      </c>
      <c r="H603" s="313" t="s">
        <v>1587</v>
      </c>
      <c r="I603" s="438"/>
      <c r="J603" t="s">
        <v>1588</v>
      </c>
      <c r="K603" t="s">
        <v>659</v>
      </c>
      <c r="L603" t="s">
        <v>669</v>
      </c>
    </row>
    <row r="604" spans="1:12" ht="37.200000000000003">
      <c r="A604" s="5">
        <v>603</v>
      </c>
      <c r="B604" t="str">
        <f t="shared" si="2"/>
        <v>TO</v>
      </c>
      <c r="C604" t="str">
        <f t="shared" si="3"/>
        <v>KB</v>
      </c>
      <c r="D604" s="5" t="s">
        <v>1585</v>
      </c>
      <c r="E604" s="5"/>
      <c r="G604" s="4" t="s">
        <v>1586</v>
      </c>
      <c r="H604" s="313" t="s">
        <v>371</v>
      </c>
      <c r="I604" s="438"/>
      <c r="J604" t="s">
        <v>1589</v>
      </c>
      <c r="K604" t="s">
        <v>659</v>
      </c>
      <c r="L604" t="s">
        <v>669</v>
      </c>
    </row>
    <row r="605" spans="1:12" ht="43.2">
      <c r="A605" s="5">
        <v>604</v>
      </c>
      <c r="B605" t="str">
        <f t="shared" si="2"/>
        <v>TO</v>
      </c>
      <c r="C605" t="str">
        <f t="shared" si="3"/>
        <v>KB</v>
      </c>
      <c r="D605" s="5" t="s">
        <v>1585</v>
      </c>
      <c r="E605" s="5"/>
      <c r="G605" s="4" t="s">
        <v>1586</v>
      </c>
      <c r="H605" s="313" t="s">
        <v>1590</v>
      </c>
      <c r="I605" s="438"/>
      <c r="J605" t="s">
        <v>1591</v>
      </c>
      <c r="K605" t="s">
        <v>659</v>
      </c>
      <c r="L605" t="s">
        <v>669</v>
      </c>
    </row>
    <row r="606" spans="1:12" ht="37.200000000000003">
      <c r="A606" s="5">
        <v>605</v>
      </c>
      <c r="B606" t="str">
        <f t="shared" si="2"/>
        <v>TO</v>
      </c>
      <c r="C606" t="str">
        <f t="shared" si="3"/>
        <v>KB</v>
      </c>
      <c r="D606" s="5" t="s">
        <v>1585</v>
      </c>
      <c r="E606" s="5"/>
      <c r="G606" s="4" t="s">
        <v>1586</v>
      </c>
      <c r="H606" s="313" t="s">
        <v>1592</v>
      </c>
      <c r="I606" s="438"/>
      <c r="J606" t="s">
        <v>1593</v>
      </c>
      <c r="K606" t="s">
        <v>659</v>
      </c>
      <c r="L606" t="s">
        <v>669</v>
      </c>
    </row>
    <row r="607" spans="1:12" ht="37.200000000000003">
      <c r="A607" s="5">
        <v>606</v>
      </c>
      <c r="B607" t="str">
        <f t="shared" si="2"/>
        <v>TO</v>
      </c>
      <c r="C607" t="str">
        <f t="shared" si="3"/>
        <v>KB</v>
      </c>
      <c r="D607" s="5" t="s">
        <v>1585</v>
      </c>
      <c r="E607" s="5"/>
      <c r="G607" s="4" t="s">
        <v>1586</v>
      </c>
      <c r="H607" s="313" t="s">
        <v>1594</v>
      </c>
      <c r="I607" s="438"/>
      <c r="J607" t="s">
        <v>1595</v>
      </c>
      <c r="K607" t="s">
        <v>659</v>
      </c>
      <c r="L607" t="s">
        <v>669</v>
      </c>
    </row>
    <row r="608" spans="1:12" ht="37.200000000000003">
      <c r="A608" s="5">
        <v>607</v>
      </c>
      <c r="B608" t="str">
        <f t="shared" si="2"/>
        <v>TO</v>
      </c>
      <c r="C608" t="str">
        <f t="shared" si="3"/>
        <v>KB</v>
      </c>
      <c r="D608" s="5" t="s">
        <v>1585</v>
      </c>
      <c r="E608" s="5"/>
      <c r="G608" s="4" t="s">
        <v>1586</v>
      </c>
      <c r="H608" s="313" t="s">
        <v>1596</v>
      </c>
      <c r="I608" s="438"/>
      <c r="J608" t="s">
        <v>1597</v>
      </c>
      <c r="K608" t="s">
        <v>659</v>
      </c>
      <c r="L608" t="s">
        <v>669</v>
      </c>
    </row>
    <row r="609" spans="1:12" ht="37.200000000000003">
      <c r="A609" s="5">
        <v>608</v>
      </c>
      <c r="B609" t="str">
        <f t="shared" si="2"/>
        <v>TO</v>
      </c>
      <c r="C609" t="str">
        <f t="shared" si="3"/>
        <v>KB</v>
      </c>
      <c r="D609" s="5" t="s">
        <v>1585</v>
      </c>
      <c r="E609" s="5"/>
      <c r="G609" s="4" t="s">
        <v>1586</v>
      </c>
      <c r="H609" s="313" t="s">
        <v>1179</v>
      </c>
      <c r="I609" s="438"/>
      <c r="J609" t="s">
        <v>1180</v>
      </c>
      <c r="K609" t="s">
        <v>659</v>
      </c>
      <c r="L609" t="s">
        <v>669</v>
      </c>
    </row>
    <row r="610" spans="1:12" ht="37.200000000000003">
      <c r="A610" s="5">
        <v>609</v>
      </c>
      <c r="B610" t="str">
        <f t="shared" si="2"/>
        <v>TO</v>
      </c>
      <c r="C610" t="str">
        <f t="shared" si="3"/>
        <v>KB</v>
      </c>
      <c r="D610" s="5" t="s">
        <v>1585</v>
      </c>
      <c r="E610" s="5"/>
      <c r="G610" s="4" t="s">
        <v>1586</v>
      </c>
      <c r="H610" s="313" t="s">
        <v>1598</v>
      </c>
      <c r="I610" s="438"/>
      <c r="J610" t="s">
        <v>1599</v>
      </c>
      <c r="K610" t="s">
        <v>659</v>
      </c>
      <c r="L610" t="s">
        <v>669</v>
      </c>
    </row>
    <row r="611" spans="1:12" ht="37.200000000000003">
      <c r="A611" s="5">
        <v>610</v>
      </c>
      <c r="B611" t="str">
        <f t="shared" si="2"/>
        <v>TO</v>
      </c>
      <c r="C611" t="str">
        <f t="shared" si="3"/>
        <v>KB</v>
      </c>
      <c r="D611" s="5" t="s">
        <v>1585</v>
      </c>
      <c r="E611" s="5"/>
      <c r="G611" s="4" t="s">
        <v>1586</v>
      </c>
      <c r="H611" s="313" t="s">
        <v>1600</v>
      </c>
      <c r="I611" s="438"/>
      <c r="J611" t="s">
        <v>1601</v>
      </c>
      <c r="K611" t="s">
        <v>659</v>
      </c>
      <c r="L611" t="s">
        <v>669</v>
      </c>
    </row>
    <row r="612" spans="1:12" ht="37.200000000000003">
      <c r="A612" s="5">
        <v>611</v>
      </c>
      <c r="B612" t="str">
        <f t="shared" si="2"/>
        <v>TO</v>
      </c>
      <c r="C612" t="str">
        <f t="shared" si="3"/>
        <v>KB</v>
      </c>
      <c r="D612" s="5" t="s">
        <v>1585</v>
      </c>
      <c r="E612" s="5"/>
      <c r="G612" s="4" t="s">
        <v>1586</v>
      </c>
      <c r="H612" s="313" t="s">
        <v>1602</v>
      </c>
      <c r="I612" s="438"/>
      <c r="J612" t="s">
        <v>1603</v>
      </c>
      <c r="K612" t="s">
        <v>659</v>
      </c>
      <c r="L612" t="s">
        <v>669</v>
      </c>
    </row>
    <row r="613" spans="1:12" ht="37.200000000000003">
      <c r="A613" s="5">
        <v>612</v>
      </c>
      <c r="B613" t="str">
        <f t="shared" si="2"/>
        <v>TO</v>
      </c>
      <c r="C613" t="str">
        <f t="shared" si="3"/>
        <v>KB</v>
      </c>
      <c r="D613" s="5" t="s">
        <v>1585</v>
      </c>
      <c r="E613" s="5"/>
      <c r="G613" s="4" t="s">
        <v>1586</v>
      </c>
      <c r="H613" s="313" t="s">
        <v>1604</v>
      </c>
      <c r="I613" s="438"/>
      <c r="J613" t="s">
        <v>1605</v>
      </c>
      <c r="K613" t="s">
        <v>659</v>
      </c>
      <c r="L613" t="s">
        <v>669</v>
      </c>
    </row>
    <row r="614" spans="1:12" ht="37.200000000000003">
      <c r="A614" s="5">
        <v>613</v>
      </c>
      <c r="B614" t="str">
        <f t="shared" si="2"/>
        <v>TO</v>
      </c>
      <c r="C614" t="str">
        <f t="shared" si="3"/>
        <v>KB</v>
      </c>
      <c r="D614" s="5" t="s">
        <v>1585</v>
      </c>
      <c r="E614" s="5"/>
      <c r="G614" s="4" t="s">
        <v>1586</v>
      </c>
      <c r="H614" s="313" t="s">
        <v>1606</v>
      </c>
      <c r="I614" s="438"/>
      <c r="J614" t="s">
        <v>1607</v>
      </c>
      <c r="K614" t="s">
        <v>659</v>
      </c>
      <c r="L614" t="s">
        <v>669</v>
      </c>
    </row>
    <row r="615" spans="1:12" ht="37.200000000000003">
      <c r="A615" s="5">
        <v>614</v>
      </c>
      <c r="B615" t="str">
        <f t="shared" si="2"/>
        <v>TO</v>
      </c>
      <c r="C615" t="str">
        <f t="shared" si="3"/>
        <v>KB</v>
      </c>
      <c r="D615" s="5" t="s">
        <v>1585</v>
      </c>
      <c r="E615" s="5"/>
      <c r="G615" s="4" t="s">
        <v>1586</v>
      </c>
      <c r="H615" s="313" t="s">
        <v>1608</v>
      </c>
      <c r="I615" s="438"/>
      <c r="J615" t="s">
        <v>1609</v>
      </c>
      <c r="K615" t="s">
        <v>659</v>
      </c>
      <c r="L615" t="s">
        <v>669</v>
      </c>
    </row>
    <row r="616" spans="1:12" ht="37.200000000000003">
      <c r="A616" s="5">
        <v>615</v>
      </c>
      <c r="B616" t="str">
        <f t="shared" si="2"/>
        <v>TO</v>
      </c>
      <c r="C616" t="str">
        <f t="shared" si="3"/>
        <v>KB</v>
      </c>
      <c r="D616" s="5" t="s">
        <v>1585</v>
      </c>
      <c r="E616" s="5"/>
      <c r="G616" s="4" t="s">
        <v>1586</v>
      </c>
      <c r="H616" s="313" t="s">
        <v>1610</v>
      </c>
      <c r="I616" s="438"/>
      <c r="J616" t="s">
        <v>1611</v>
      </c>
      <c r="K616" t="s">
        <v>659</v>
      </c>
      <c r="L616" t="s">
        <v>669</v>
      </c>
    </row>
    <row r="617" spans="1:12" ht="37.200000000000003">
      <c r="A617" s="5">
        <v>616</v>
      </c>
      <c r="B617" t="str">
        <f t="shared" si="2"/>
        <v>TO</v>
      </c>
      <c r="C617" t="str">
        <f t="shared" si="3"/>
        <v>KB</v>
      </c>
      <c r="D617" s="5" t="s">
        <v>1585</v>
      </c>
      <c r="E617" s="5"/>
      <c r="G617" s="4" t="s">
        <v>1586</v>
      </c>
      <c r="H617" s="313" t="s">
        <v>1612</v>
      </c>
      <c r="I617" s="438"/>
      <c r="J617" t="s">
        <v>1613</v>
      </c>
      <c r="K617" t="s">
        <v>659</v>
      </c>
      <c r="L617" t="s">
        <v>669</v>
      </c>
    </row>
    <row r="618" spans="1:12" ht="37.200000000000003">
      <c r="A618" s="5">
        <v>617</v>
      </c>
      <c r="B618" t="str">
        <f t="shared" si="2"/>
        <v>TO</v>
      </c>
      <c r="C618" t="str">
        <f t="shared" si="3"/>
        <v>KB</v>
      </c>
      <c r="D618" s="5" t="s">
        <v>1585</v>
      </c>
      <c r="E618" s="5"/>
      <c r="G618" s="4" t="s">
        <v>1586</v>
      </c>
      <c r="H618" s="313" t="s">
        <v>1275</v>
      </c>
      <c r="I618" s="438"/>
      <c r="J618" t="s">
        <v>1614</v>
      </c>
      <c r="K618" t="s">
        <v>659</v>
      </c>
      <c r="L618" t="s">
        <v>669</v>
      </c>
    </row>
    <row r="619" spans="1:12" ht="37.200000000000003">
      <c r="A619" s="5">
        <v>618</v>
      </c>
      <c r="B619" t="str">
        <f t="shared" si="2"/>
        <v>TO</v>
      </c>
      <c r="C619" t="str">
        <f t="shared" si="3"/>
        <v>KB</v>
      </c>
      <c r="D619" s="5" t="s">
        <v>1585</v>
      </c>
      <c r="E619" s="5"/>
      <c r="G619" s="4" t="s">
        <v>1586</v>
      </c>
      <c r="H619" s="313" t="s">
        <v>1615</v>
      </c>
      <c r="I619" s="438"/>
      <c r="J619" t="s">
        <v>1616</v>
      </c>
      <c r="K619" t="s">
        <v>659</v>
      </c>
      <c r="L619" t="s">
        <v>669</v>
      </c>
    </row>
    <row r="620" spans="1:12" ht="37.200000000000003">
      <c r="A620" s="5">
        <v>619</v>
      </c>
      <c r="B620" t="str">
        <f t="shared" si="2"/>
        <v>TO</v>
      </c>
      <c r="C620" t="str">
        <f t="shared" si="3"/>
        <v>KB</v>
      </c>
      <c r="D620" s="5" t="s">
        <v>1585</v>
      </c>
      <c r="E620" s="5"/>
      <c r="G620" s="4" t="s">
        <v>1586</v>
      </c>
      <c r="H620" s="313" t="s">
        <v>1617</v>
      </c>
      <c r="I620" s="438"/>
      <c r="J620" t="s">
        <v>1618</v>
      </c>
      <c r="K620" t="s">
        <v>659</v>
      </c>
      <c r="L620" t="s">
        <v>669</v>
      </c>
    </row>
    <row r="621" spans="1:12" ht="37.200000000000003">
      <c r="A621" s="5">
        <v>620</v>
      </c>
      <c r="B621" t="str">
        <f t="shared" si="2"/>
        <v>TO</v>
      </c>
      <c r="C621" t="str">
        <f t="shared" si="3"/>
        <v>KB</v>
      </c>
      <c r="D621" s="5" t="s">
        <v>1585</v>
      </c>
      <c r="E621" s="5"/>
      <c r="G621" s="4" t="s">
        <v>1586</v>
      </c>
      <c r="H621" s="313" t="s">
        <v>1619</v>
      </c>
      <c r="I621" s="438"/>
      <c r="J621" t="s">
        <v>1620</v>
      </c>
      <c r="K621" t="s">
        <v>659</v>
      </c>
      <c r="L621" t="s">
        <v>669</v>
      </c>
    </row>
    <row r="622" spans="1:12" ht="37.200000000000003">
      <c r="A622" s="5">
        <v>621</v>
      </c>
      <c r="B622" t="str">
        <f t="shared" si="2"/>
        <v>TO</v>
      </c>
      <c r="C622" t="str">
        <f t="shared" si="3"/>
        <v>KB</v>
      </c>
      <c r="D622" s="5" t="s">
        <v>1585</v>
      </c>
      <c r="E622" s="5"/>
      <c r="G622" s="4" t="s">
        <v>1586</v>
      </c>
      <c r="H622" s="313" t="s">
        <v>1621</v>
      </c>
      <c r="I622" s="438"/>
      <c r="J622" t="s">
        <v>1622</v>
      </c>
      <c r="K622" t="s">
        <v>659</v>
      </c>
      <c r="L622" t="s">
        <v>669</v>
      </c>
    </row>
    <row r="623" spans="1:12" ht="37.200000000000003">
      <c r="A623" s="5">
        <v>622</v>
      </c>
      <c r="B623" t="str">
        <f t="shared" si="2"/>
        <v>TO</v>
      </c>
      <c r="C623" t="str">
        <f t="shared" si="3"/>
        <v>KB</v>
      </c>
      <c r="D623" s="5" t="s">
        <v>1585</v>
      </c>
      <c r="E623" s="5"/>
      <c r="G623" s="4" t="s">
        <v>1586</v>
      </c>
      <c r="H623" s="313" t="s">
        <v>1623</v>
      </c>
      <c r="I623" s="438"/>
      <c r="J623" t="s">
        <v>1624</v>
      </c>
      <c r="K623" t="s">
        <v>659</v>
      </c>
      <c r="L623" t="s">
        <v>669</v>
      </c>
    </row>
    <row r="624" spans="1:12" ht="43.2">
      <c r="A624" s="5">
        <v>623</v>
      </c>
      <c r="B624" t="str">
        <f t="shared" si="2"/>
        <v>TO</v>
      </c>
      <c r="C624" t="str">
        <f t="shared" si="3"/>
        <v>KB</v>
      </c>
      <c r="D624" s="5" t="s">
        <v>1585</v>
      </c>
      <c r="E624" s="5"/>
      <c r="G624" s="4" t="s">
        <v>1586</v>
      </c>
      <c r="H624" s="313" t="s">
        <v>1625</v>
      </c>
      <c r="I624" s="438"/>
      <c r="J624" t="s">
        <v>1626</v>
      </c>
      <c r="K624" t="s">
        <v>659</v>
      </c>
      <c r="L624" t="s">
        <v>669</v>
      </c>
    </row>
    <row r="625" spans="1:12" ht="37.200000000000003">
      <c r="A625" s="5">
        <v>624</v>
      </c>
      <c r="B625" t="str">
        <f t="shared" si="2"/>
        <v>TO</v>
      </c>
      <c r="C625" t="str">
        <f t="shared" si="3"/>
        <v>KB</v>
      </c>
      <c r="D625" s="5" t="s">
        <v>1585</v>
      </c>
      <c r="E625" s="5"/>
      <c r="G625" s="4" t="s">
        <v>1586</v>
      </c>
      <c r="H625" s="313" t="s">
        <v>1627</v>
      </c>
      <c r="I625" s="438"/>
      <c r="J625" t="s">
        <v>1628</v>
      </c>
      <c r="K625" t="s">
        <v>659</v>
      </c>
      <c r="L625" t="s">
        <v>669</v>
      </c>
    </row>
    <row r="626" spans="1:12" ht="37.200000000000003">
      <c r="A626" s="5">
        <v>625</v>
      </c>
      <c r="B626" t="str">
        <f t="shared" si="2"/>
        <v>TO</v>
      </c>
      <c r="C626" t="str">
        <f t="shared" si="3"/>
        <v>KB</v>
      </c>
      <c r="D626" s="5" t="s">
        <v>1585</v>
      </c>
      <c r="E626" s="5"/>
      <c r="G626" s="4" t="s">
        <v>1586</v>
      </c>
      <c r="H626" s="313" t="s">
        <v>1629</v>
      </c>
      <c r="I626" s="438"/>
      <c r="J626" t="s">
        <v>1630</v>
      </c>
      <c r="K626" t="s">
        <v>659</v>
      </c>
      <c r="L626" t="s">
        <v>669</v>
      </c>
    </row>
    <row r="627" spans="1:12" ht="37.200000000000003">
      <c r="A627" s="5">
        <v>626</v>
      </c>
      <c r="B627" t="str">
        <f t="shared" si="2"/>
        <v>TO</v>
      </c>
      <c r="C627" t="str">
        <f t="shared" si="3"/>
        <v>KB</v>
      </c>
      <c r="D627" s="5" t="s">
        <v>1585</v>
      </c>
      <c r="E627" s="5"/>
      <c r="G627" s="4" t="s">
        <v>1586</v>
      </c>
      <c r="H627" s="313" t="s">
        <v>1631</v>
      </c>
      <c r="I627" s="438"/>
      <c r="J627" t="s">
        <v>1632</v>
      </c>
      <c r="K627" t="s">
        <v>659</v>
      </c>
      <c r="L627" t="s">
        <v>669</v>
      </c>
    </row>
    <row r="628" spans="1:12" ht="37.200000000000003">
      <c r="A628" s="5">
        <v>627</v>
      </c>
      <c r="B628" t="str">
        <f t="shared" si="2"/>
        <v>TO</v>
      </c>
      <c r="C628" t="str">
        <f t="shared" si="3"/>
        <v>KB</v>
      </c>
      <c r="D628" s="5" t="s">
        <v>1585</v>
      </c>
      <c r="E628" s="5"/>
      <c r="G628" s="4" t="s">
        <v>1586</v>
      </c>
      <c r="H628" s="313" t="s">
        <v>1633</v>
      </c>
      <c r="I628" s="438"/>
      <c r="J628" t="s">
        <v>1634</v>
      </c>
      <c r="K628" t="s">
        <v>659</v>
      </c>
      <c r="L628" t="s">
        <v>669</v>
      </c>
    </row>
    <row r="629" spans="1:12" ht="43.2">
      <c r="A629" s="5">
        <v>628</v>
      </c>
      <c r="B629" t="str">
        <f t="shared" si="2"/>
        <v>TO</v>
      </c>
      <c r="C629" t="str">
        <f t="shared" si="3"/>
        <v>KB</v>
      </c>
      <c r="D629" s="5" t="s">
        <v>1585</v>
      </c>
      <c r="E629" s="5"/>
      <c r="G629" s="4" t="s">
        <v>1586</v>
      </c>
      <c r="H629" s="313" t="s">
        <v>1635</v>
      </c>
      <c r="I629" s="438"/>
      <c r="J629" t="s">
        <v>1636</v>
      </c>
      <c r="K629" t="s">
        <v>659</v>
      </c>
      <c r="L629" t="s">
        <v>669</v>
      </c>
    </row>
    <row r="630" spans="1:12" ht="37.200000000000003">
      <c r="A630" s="5">
        <v>629</v>
      </c>
      <c r="B630" t="str">
        <f t="shared" si="2"/>
        <v>TO</v>
      </c>
      <c r="C630" t="str">
        <f t="shared" si="3"/>
        <v>KB</v>
      </c>
      <c r="D630" s="5" t="s">
        <v>1585</v>
      </c>
      <c r="E630" s="5"/>
      <c r="G630" s="4" t="s">
        <v>302</v>
      </c>
      <c r="H630" s="313" t="s">
        <v>1637</v>
      </c>
      <c r="I630" s="438"/>
      <c r="J630" t="s">
        <v>1638</v>
      </c>
      <c r="K630" t="s">
        <v>659</v>
      </c>
      <c r="L630" t="s">
        <v>669</v>
      </c>
    </row>
    <row r="631" spans="1:12" ht="37.200000000000003">
      <c r="A631" s="5">
        <v>630</v>
      </c>
      <c r="B631" t="str">
        <f t="shared" si="2"/>
        <v>TO</v>
      </c>
      <c r="C631" t="str">
        <f t="shared" si="3"/>
        <v>KB</v>
      </c>
      <c r="D631" s="5" t="s">
        <v>1585</v>
      </c>
      <c r="E631" s="5"/>
      <c r="G631" s="4" t="s">
        <v>302</v>
      </c>
      <c r="H631" s="313" t="s">
        <v>1639</v>
      </c>
      <c r="I631" s="438"/>
      <c r="J631" t="s">
        <v>1640</v>
      </c>
      <c r="K631" t="s">
        <v>659</v>
      </c>
      <c r="L631" t="s">
        <v>669</v>
      </c>
    </row>
    <row r="632" spans="1:12" ht="37.200000000000003">
      <c r="A632" s="5">
        <v>631</v>
      </c>
      <c r="B632" t="str">
        <f t="shared" si="2"/>
        <v>TO</v>
      </c>
      <c r="C632" t="str">
        <f t="shared" si="3"/>
        <v>KB</v>
      </c>
      <c r="D632" s="5" t="s">
        <v>1585</v>
      </c>
      <c r="E632" s="5"/>
      <c r="G632" s="4" t="s">
        <v>302</v>
      </c>
      <c r="H632" s="313" t="s">
        <v>1641</v>
      </c>
      <c r="I632" s="438"/>
      <c r="J632" t="s">
        <v>1642</v>
      </c>
      <c r="K632" t="s">
        <v>659</v>
      </c>
      <c r="L632" t="s">
        <v>669</v>
      </c>
    </row>
    <row r="633" spans="1:12" ht="37.200000000000003">
      <c r="A633" s="5">
        <v>632</v>
      </c>
      <c r="B633" t="str">
        <f t="shared" si="2"/>
        <v>TO</v>
      </c>
      <c r="C633" t="str">
        <f t="shared" si="3"/>
        <v>KB</v>
      </c>
      <c r="D633" s="5" t="s">
        <v>1585</v>
      </c>
      <c r="E633" s="5"/>
      <c r="G633" s="4" t="s">
        <v>302</v>
      </c>
      <c r="H633" s="313" t="s">
        <v>1643</v>
      </c>
      <c r="I633" s="438"/>
      <c r="J633" t="s">
        <v>1644</v>
      </c>
      <c r="K633" t="s">
        <v>659</v>
      </c>
      <c r="L633" t="s">
        <v>669</v>
      </c>
    </row>
    <row r="634" spans="1:12" ht="37.200000000000003">
      <c r="A634" s="5">
        <v>633</v>
      </c>
      <c r="B634" t="str">
        <f t="shared" si="2"/>
        <v>TO</v>
      </c>
      <c r="C634" t="str">
        <f t="shared" si="3"/>
        <v>KB</v>
      </c>
      <c r="D634" s="5" t="s">
        <v>1585</v>
      </c>
      <c r="E634" s="5"/>
      <c r="G634" s="4" t="s">
        <v>302</v>
      </c>
      <c r="H634" s="313" t="s">
        <v>317</v>
      </c>
      <c r="I634" s="438"/>
      <c r="J634" t="s">
        <v>1645</v>
      </c>
      <c r="K634" t="s">
        <v>659</v>
      </c>
      <c r="L634" t="s">
        <v>669</v>
      </c>
    </row>
    <row r="635" spans="1:12" ht="37.200000000000003">
      <c r="A635" s="5">
        <v>634</v>
      </c>
      <c r="B635" t="str">
        <f t="shared" si="2"/>
        <v>TO</v>
      </c>
      <c r="C635" t="str">
        <f t="shared" si="3"/>
        <v>KB</v>
      </c>
      <c r="D635" s="5" t="s">
        <v>1585</v>
      </c>
      <c r="E635" s="5"/>
      <c r="G635" s="4" t="s">
        <v>302</v>
      </c>
      <c r="H635" s="313" t="s">
        <v>1646</v>
      </c>
      <c r="I635" s="438"/>
      <c r="J635" t="s">
        <v>1647</v>
      </c>
      <c r="K635" t="s">
        <v>659</v>
      </c>
      <c r="L635" t="s">
        <v>669</v>
      </c>
    </row>
    <row r="636" spans="1:12" ht="37.200000000000003">
      <c r="A636" s="5">
        <v>635</v>
      </c>
      <c r="B636" t="str">
        <f t="shared" si="2"/>
        <v>TO</v>
      </c>
      <c r="C636" t="str">
        <f t="shared" si="3"/>
        <v>KB</v>
      </c>
      <c r="D636" s="5" t="s">
        <v>1585</v>
      </c>
      <c r="E636" s="5"/>
      <c r="G636" s="4" t="s">
        <v>302</v>
      </c>
      <c r="H636" s="313" t="s">
        <v>1648</v>
      </c>
      <c r="I636" s="438"/>
      <c r="J636" t="s">
        <v>1649</v>
      </c>
      <c r="K636" t="s">
        <v>659</v>
      </c>
      <c r="L636" t="s">
        <v>669</v>
      </c>
    </row>
    <row r="637" spans="1:12" ht="37.200000000000003">
      <c r="A637" s="5">
        <v>636</v>
      </c>
      <c r="B637" t="str">
        <f t="shared" si="2"/>
        <v>TO</v>
      </c>
      <c r="C637" t="str">
        <f t="shared" si="3"/>
        <v>KB</v>
      </c>
      <c r="D637" s="5" t="s">
        <v>1585</v>
      </c>
      <c r="E637" s="5"/>
      <c r="G637" s="4" t="s">
        <v>302</v>
      </c>
      <c r="H637" s="313" t="s">
        <v>1650</v>
      </c>
      <c r="I637" s="438"/>
      <c r="J637" t="s">
        <v>1651</v>
      </c>
      <c r="K637" t="s">
        <v>659</v>
      </c>
      <c r="L637" t="s">
        <v>669</v>
      </c>
    </row>
    <row r="638" spans="1:12" ht="37.200000000000003">
      <c r="A638" s="5">
        <v>637</v>
      </c>
      <c r="B638" t="str">
        <f t="shared" si="2"/>
        <v>TO</v>
      </c>
      <c r="C638" t="str">
        <f t="shared" si="3"/>
        <v>KB</v>
      </c>
      <c r="D638" s="5" t="s">
        <v>1585</v>
      </c>
      <c r="E638" s="5"/>
      <c r="G638" s="4" t="s">
        <v>302</v>
      </c>
      <c r="H638" s="313" t="s">
        <v>1652</v>
      </c>
      <c r="I638" s="438"/>
      <c r="J638" t="s">
        <v>1653</v>
      </c>
      <c r="K638" t="s">
        <v>659</v>
      </c>
      <c r="L638" t="s">
        <v>669</v>
      </c>
    </row>
    <row r="639" spans="1:12" ht="37.200000000000003">
      <c r="A639" s="5">
        <v>638</v>
      </c>
      <c r="B639" t="str">
        <f t="shared" si="2"/>
        <v>TO</v>
      </c>
      <c r="C639" t="str">
        <f t="shared" si="3"/>
        <v>KB</v>
      </c>
      <c r="D639" s="5" t="s">
        <v>1585</v>
      </c>
      <c r="E639" s="5"/>
      <c r="G639" s="4" t="s">
        <v>302</v>
      </c>
      <c r="H639" s="313" t="s">
        <v>1654</v>
      </c>
      <c r="I639" s="438"/>
      <c r="J639" t="s">
        <v>1655</v>
      </c>
      <c r="K639" t="s">
        <v>659</v>
      </c>
      <c r="L639" t="s">
        <v>669</v>
      </c>
    </row>
    <row r="640" spans="1:12" ht="37.200000000000003">
      <c r="A640" s="5">
        <v>639</v>
      </c>
      <c r="B640" t="str">
        <f t="shared" si="2"/>
        <v>TO</v>
      </c>
      <c r="C640" t="str">
        <f t="shared" si="3"/>
        <v>KB</v>
      </c>
      <c r="D640" s="5" t="s">
        <v>1585</v>
      </c>
      <c r="E640" s="5"/>
      <c r="G640" s="4" t="s">
        <v>302</v>
      </c>
      <c r="H640" s="313" t="s">
        <v>1656</v>
      </c>
      <c r="I640" s="438"/>
      <c r="J640" t="s">
        <v>1657</v>
      </c>
      <c r="K640" t="s">
        <v>659</v>
      </c>
      <c r="L640" t="s">
        <v>669</v>
      </c>
    </row>
    <row r="641" spans="1:12" ht="37.200000000000003">
      <c r="A641" s="5">
        <v>640</v>
      </c>
      <c r="B641" t="str">
        <f t="shared" si="2"/>
        <v>TO</v>
      </c>
      <c r="C641" t="str">
        <f t="shared" si="3"/>
        <v>KB</v>
      </c>
      <c r="D641" s="5" t="s">
        <v>1585</v>
      </c>
      <c r="E641" s="5"/>
      <c r="G641" s="4" t="s">
        <v>302</v>
      </c>
      <c r="H641" s="313" t="s">
        <v>254</v>
      </c>
      <c r="I641" s="438"/>
      <c r="J641" t="s">
        <v>1658</v>
      </c>
      <c r="K641" t="s">
        <v>659</v>
      </c>
      <c r="L641" t="s">
        <v>669</v>
      </c>
    </row>
    <row r="642" spans="1:12" ht="37.200000000000003">
      <c r="A642" s="5">
        <v>641</v>
      </c>
      <c r="B642" t="str">
        <f t="shared" ref="B642:B705" si="4">MID(G642,8,2)</f>
        <v>TO</v>
      </c>
      <c r="C642" t="str">
        <f t="shared" ref="C642:C705" si="5">MID(G642,11,2)</f>
        <v>KB</v>
      </c>
      <c r="D642" s="5" t="s">
        <v>1585</v>
      </c>
      <c r="E642" s="5"/>
      <c r="G642" s="4" t="s">
        <v>302</v>
      </c>
      <c r="H642" s="313" t="s">
        <v>1659</v>
      </c>
      <c r="I642" s="438"/>
      <c r="J642" t="s">
        <v>1660</v>
      </c>
      <c r="K642" t="s">
        <v>659</v>
      </c>
      <c r="L642" t="s">
        <v>669</v>
      </c>
    </row>
    <row r="643" spans="1:12" ht="37.200000000000003">
      <c r="A643" s="5">
        <v>642</v>
      </c>
      <c r="B643" t="str">
        <f t="shared" si="4"/>
        <v>TO</v>
      </c>
      <c r="C643" t="str">
        <f t="shared" si="5"/>
        <v>KB</v>
      </c>
      <c r="D643" s="5" t="s">
        <v>1585</v>
      </c>
      <c r="E643" s="5"/>
      <c r="G643" s="4" t="s">
        <v>302</v>
      </c>
      <c r="H643" s="313" t="s">
        <v>1661</v>
      </c>
      <c r="I643" s="438"/>
      <c r="J643" t="s">
        <v>1662</v>
      </c>
      <c r="K643" t="s">
        <v>659</v>
      </c>
      <c r="L643" t="s">
        <v>669</v>
      </c>
    </row>
    <row r="644" spans="1:12" ht="37.200000000000003">
      <c r="A644" s="5">
        <v>643</v>
      </c>
      <c r="B644" t="str">
        <f t="shared" si="4"/>
        <v>TO</v>
      </c>
      <c r="C644" t="str">
        <f t="shared" si="5"/>
        <v>KB</v>
      </c>
      <c r="D644" s="5" t="s">
        <v>1585</v>
      </c>
      <c r="E644" s="5"/>
      <c r="G644" s="4" t="s">
        <v>302</v>
      </c>
      <c r="H644" s="313" t="s">
        <v>475</v>
      </c>
      <c r="I644" s="438"/>
      <c r="J644" t="s">
        <v>1663</v>
      </c>
      <c r="K644" t="s">
        <v>659</v>
      </c>
      <c r="L644" t="s">
        <v>669</v>
      </c>
    </row>
    <row r="645" spans="1:12" ht="37.200000000000003">
      <c r="A645" s="5">
        <v>644</v>
      </c>
      <c r="B645" t="str">
        <f t="shared" si="4"/>
        <v>TO</v>
      </c>
      <c r="C645" t="str">
        <f t="shared" si="5"/>
        <v>KB</v>
      </c>
      <c r="D645" s="5" t="s">
        <v>1585</v>
      </c>
      <c r="E645" s="5"/>
      <c r="G645" s="4" t="s">
        <v>302</v>
      </c>
      <c r="H645" s="313" t="s">
        <v>1664</v>
      </c>
      <c r="I645" s="438"/>
      <c r="J645" t="s">
        <v>1665</v>
      </c>
      <c r="K645" t="s">
        <v>659</v>
      </c>
      <c r="L645" t="s">
        <v>669</v>
      </c>
    </row>
    <row r="646" spans="1:12" ht="37.200000000000003">
      <c r="A646" s="5">
        <v>645</v>
      </c>
      <c r="B646" t="str">
        <f t="shared" si="4"/>
        <v>TO</v>
      </c>
      <c r="C646" t="str">
        <f t="shared" si="5"/>
        <v>KB</v>
      </c>
      <c r="D646" s="5" t="s">
        <v>1585</v>
      </c>
      <c r="E646" s="5"/>
      <c r="G646" s="4" t="s">
        <v>302</v>
      </c>
      <c r="H646" s="313" t="s">
        <v>1666</v>
      </c>
      <c r="I646" s="438"/>
      <c r="J646" t="s">
        <v>1667</v>
      </c>
      <c r="K646" t="s">
        <v>659</v>
      </c>
      <c r="L646" t="s">
        <v>669</v>
      </c>
    </row>
    <row r="647" spans="1:12" ht="37.200000000000003">
      <c r="A647" s="5">
        <v>646</v>
      </c>
      <c r="B647" t="str">
        <f t="shared" si="4"/>
        <v>TO</v>
      </c>
      <c r="C647" t="str">
        <f t="shared" si="5"/>
        <v>KB</v>
      </c>
      <c r="D647" s="5" t="s">
        <v>1585</v>
      </c>
      <c r="E647" s="5"/>
      <c r="G647" s="4" t="s">
        <v>302</v>
      </c>
      <c r="H647" s="313" t="s">
        <v>1668</v>
      </c>
      <c r="I647" s="438"/>
      <c r="J647" t="s">
        <v>1669</v>
      </c>
      <c r="K647" t="s">
        <v>659</v>
      </c>
      <c r="L647" t="s">
        <v>669</v>
      </c>
    </row>
    <row r="648" spans="1:12" ht="37.200000000000003">
      <c r="A648" s="5">
        <v>647</v>
      </c>
      <c r="B648" t="str">
        <f t="shared" si="4"/>
        <v>TO</v>
      </c>
      <c r="C648" t="str">
        <f t="shared" si="5"/>
        <v>KB</v>
      </c>
      <c r="D648" s="5" t="s">
        <v>1585</v>
      </c>
      <c r="E648" s="5"/>
      <c r="G648" s="4" t="s">
        <v>302</v>
      </c>
      <c r="H648" s="313" t="s">
        <v>1670</v>
      </c>
      <c r="I648" s="438"/>
      <c r="J648" t="s">
        <v>1671</v>
      </c>
      <c r="K648" t="s">
        <v>659</v>
      </c>
      <c r="L648" t="s">
        <v>669</v>
      </c>
    </row>
    <row r="649" spans="1:12" ht="37.200000000000003">
      <c r="A649" s="5">
        <v>648</v>
      </c>
      <c r="B649" t="str">
        <f t="shared" si="4"/>
        <v>TO</v>
      </c>
      <c r="C649" t="str">
        <f t="shared" si="5"/>
        <v>KB</v>
      </c>
      <c r="D649" s="5" t="s">
        <v>1585</v>
      </c>
      <c r="E649" s="5"/>
      <c r="G649" s="4" t="s">
        <v>302</v>
      </c>
      <c r="H649" s="313" t="s">
        <v>1672</v>
      </c>
      <c r="I649" s="438"/>
      <c r="J649" t="s">
        <v>1673</v>
      </c>
      <c r="K649" t="s">
        <v>659</v>
      </c>
      <c r="L649" t="s">
        <v>669</v>
      </c>
    </row>
    <row r="650" spans="1:12" ht="36">
      <c r="A650" s="5">
        <v>649</v>
      </c>
      <c r="B650" t="str">
        <f t="shared" si="4"/>
        <v>TO</v>
      </c>
      <c r="C650" t="str">
        <f t="shared" si="5"/>
        <v>KB</v>
      </c>
      <c r="D650" s="5" t="s">
        <v>1585</v>
      </c>
      <c r="E650" s="5"/>
      <c r="G650" s="453" t="s">
        <v>1674</v>
      </c>
      <c r="H650" s="306" t="s">
        <v>1147</v>
      </c>
      <c r="J650" t="s">
        <v>1148</v>
      </c>
      <c r="K650" t="s">
        <v>659</v>
      </c>
      <c r="L650" t="s">
        <v>669</v>
      </c>
    </row>
    <row r="651" spans="1:12" ht="37.200000000000003">
      <c r="A651" s="5">
        <v>650</v>
      </c>
      <c r="B651" t="str">
        <f t="shared" si="4"/>
        <v>TO</v>
      </c>
      <c r="C651" t="str">
        <f t="shared" si="5"/>
        <v>KB</v>
      </c>
      <c r="D651" s="5" t="s">
        <v>1585</v>
      </c>
      <c r="E651" s="5"/>
      <c r="G651" s="453" t="s">
        <v>1675</v>
      </c>
      <c r="H651" s="313" t="s">
        <v>1035</v>
      </c>
      <c r="I651" s="438"/>
      <c r="J651" t="s">
        <v>1498</v>
      </c>
      <c r="K651" t="s">
        <v>659</v>
      </c>
      <c r="L651" t="s">
        <v>669</v>
      </c>
    </row>
    <row r="652" spans="1:12" ht="37.200000000000003">
      <c r="A652" s="5">
        <v>651</v>
      </c>
      <c r="B652" t="str">
        <f t="shared" si="4"/>
        <v>MH</v>
      </c>
      <c r="C652" t="str">
        <f t="shared" si="5"/>
        <v>KB</v>
      </c>
      <c r="D652" s="5" t="s">
        <v>1585</v>
      </c>
      <c r="E652" s="5"/>
      <c r="G652" s="4" t="s">
        <v>1676</v>
      </c>
      <c r="H652" s="313" t="s">
        <v>227</v>
      </c>
      <c r="I652" s="438"/>
      <c r="J652" t="s">
        <v>1677</v>
      </c>
      <c r="K652" t="s">
        <v>659</v>
      </c>
      <c r="L652" t="s">
        <v>669</v>
      </c>
    </row>
    <row r="653" spans="1:12" ht="21.6">
      <c r="A653" s="5">
        <v>652</v>
      </c>
      <c r="B653" t="str">
        <f t="shared" si="4"/>
        <v>TO</v>
      </c>
      <c r="C653" t="str">
        <f t="shared" si="5"/>
        <v>KB</v>
      </c>
      <c r="D653" s="5" t="s">
        <v>1585</v>
      </c>
      <c r="E653" s="5"/>
      <c r="G653" s="453" t="s">
        <v>1678</v>
      </c>
      <c r="H653" s="313" t="s">
        <v>1679</v>
      </c>
      <c r="I653" s="438"/>
      <c r="J653" t="s">
        <v>1680</v>
      </c>
      <c r="K653" t="s">
        <v>659</v>
      </c>
      <c r="L653" t="s">
        <v>669</v>
      </c>
    </row>
    <row r="654" spans="1:12" ht="37.200000000000003">
      <c r="A654" s="5">
        <v>653</v>
      </c>
      <c r="B654" t="str">
        <f t="shared" si="4"/>
        <v>MH</v>
      </c>
      <c r="C654" t="str">
        <f t="shared" si="5"/>
        <v>KB</v>
      </c>
      <c r="D654" s="5" t="s">
        <v>1585</v>
      </c>
      <c r="E654" s="5"/>
      <c r="G654" s="4" t="s">
        <v>1681</v>
      </c>
      <c r="H654" s="313" t="s">
        <v>1682</v>
      </c>
      <c r="I654" s="438"/>
      <c r="K654" t="s">
        <v>659</v>
      </c>
      <c r="L654" t="s">
        <v>669</v>
      </c>
    </row>
    <row r="655" spans="1:12" ht="37.200000000000003">
      <c r="A655" s="5">
        <v>654</v>
      </c>
      <c r="B655" t="str">
        <f t="shared" si="4"/>
        <v>MH</v>
      </c>
      <c r="C655" t="str">
        <f t="shared" si="5"/>
        <v>KB</v>
      </c>
      <c r="D655" s="5" t="s">
        <v>1585</v>
      </c>
      <c r="E655" s="5"/>
      <c r="G655" s="4" t="s">
        <v>1683</v>
      </c>
      <c r="H655" s="313" t="s">
        <v>227</v>
      </c>
      <c r="I655" s="438"/>
      <c r="J655" t="s">
        <v>1677</v>
      </c>
      <c r="K655" t="s">
        <v>659</v>
      </c>
      <c r="L655" t="s">
        <v>669</v>
      </c>
    </row>
    <row r="656" spans="1:12" ht="37.200000000000003">
      <c r="A656" s="5">
        <v>655</v>
      </c>
      <c r="B656" t="str">
        <f t="shared" si="4"/>
        <v>TO</v>
      </c>
      <c r="C656" t="str">
        <f t="shared" si="5"/>
        <v>KB</v>
      </c>
      <c r="D656" s="5" t="s">
        <v>1684</v>
      </c>
      <c r="E656" s="5"/>
      <c r="G656" s="454" t="s">
        <v>1685</v>
      </c>
      <c r="H656" s="313" t="s">
        <v>1686</v>
      </c>
      <c r="I656" s="438"/>
      <c r="K656" t="s">
        <v>1434</v>
      </c>
      <c r="L656" t="s">
        <v>669</v>
      </c>
    </row>
    <row r="657" spans="1:12" ht="36">
      <c r="A657" s="5">
        <v>656</v>
      </c>
      <c r="B657" t="str">
        <f t="shared" si="4"/>
        <v>MH</v>
      </c>
      <c r="C657" t="str">
        <f t="shared" si="5"/>
        <v>KB</v>
      </c>
      <c r="D657" s="5" t="s">
        <v>1585</v>
      </c>
      <c r="E657" s="5"/>
      <c r="G657" s="453" t="s">
        <v>1687</v>
      </c>
      <c r="H657" s="306" t="s">
        <v>1688</v>
      </c>
      <c r="K657" t="s">
        <v>1434</v>
      </c>
      <c r="L657" t="s">
        <v>669</v>
      </c>
    </row>
    <row r="658" spans="1:12" ht="37.200000000000003">
      <c r="A658" s="5">
        <v>657</v>
      </c>
      <c r="B658" t="str">
        <f t="shared" si="4"/>
        <v>TO</v>
      </c>
      <c r="C658" t="str">
        <f t="shared" si="5"/>
        <v>KB</v>
      </c>
      <c r="D658" s="5" t="s">
        <v>1684</v>
      </c>
      <c r="E658" s="5"/>
      <c r="G658" s="454" t="s">
        <v>1689</v>
      </c>
      <c r="H658" s="313" t="s">
        <v>1197</v>
      </c>
      <c r="I658" s="438"/>
      <c r="K658" t="s">
        <v>659</v>
      </c>
      <c r="L658" t="s">
        <v>669</v>
      </c>
    </row>
    <row r="659" spans="1:12">
      <c r="A659" s="5">
        <v>658</v>
      </c>
      <c r="B659" t="str">
        <f t="shared" si="4"/>
        <v>MH</v>
      </c>
      <c r="C659" t="str">
        <f t="shared" si="5"/>
        <v>KB</v>
      </c>
      <c r="D659" s="5" t="s">
        <v>1690</v>
      </c>
      <c r="E659" s="5"/>
      <c r="G659" s="455" t="s">
        <v>1691</v>
      </c>
      <c r="H659" s="306" t="s">
        <v>1692</v>
      </c>
      <c r="K659" t="s">
        <v>659</v>
      </c>
      <c r="L659" t="s">
        <v>669</v>
      </c>
    </row>
    <row r="660" spans="1:12">
      <c r="A660" s="5">
        <v>659</v>
      </c>
      <c r="B660" t="str">
        <f t="shared" si="4"/>
        <v>MH</v>
      </c>
      <c r="C660" t="str">
        <f t="shared" si="5"/>
        <v>KB</v>
      </c>
      <c r="D660" s="5" t="s">
        <v>1690</v>
      </c>
      <c r="E660" s="5"/>
      <c r="G660" s="455" t="s">
        <v>1691</v>
      </c>
      <c r="H660" s="306" t="s">
        <v>1420</v>
      </c>
      <c r="K660" t="s">
        <v>659</v>
      </c>
      <c r="L660" t="s">
        <v>669</v>
      </c>
    </row>
    <row r="661" spans="1:12" ht="37.200000000000003">
      <c r="A661" s="5">
        <v>660</v>
      </c>
      <c r="B661" t="str">
        <f t="shared" si="4"/>
        <v>TO</v>
      </c>
      <c r="C661" t="str">
        <f t="shared" si="5"/>
        <v>KB</v>
      </c>
      <c r="D661" s="5" t="s">
        <v>1585</v>
      </c>
      <c r="E661" s="5"/>
      <c r="G661" s="4" t="s">
        <v>1693</v>
      </c>
      <c r="H661" s="313" t="s">
        <v>1694</v>
      </c>
      <c r="I661" s="438"/>
      <c r="K661" t="s">
        <v>659</v>
      </c>
      <c r="L661" t="s">
        <v>669</v>
      </c>
    </row>
    <row r="662" spans="1:12" ht="37.200000000000003">
      <c r="A662" s="5">
        <v>661</v>
      </c>
      <c r="B662" t="str">
        <f t="shared" si="4"/>
        <v>TO</v>
      </c>
      <c r="C662" t="str">
        <f t="shared" si="5"/>
        <v>KB</v>
      </c>
      <c r="D662" s="5" t="s">
        <v>1585</v>
      </c>
      <c r="E662" s="5"/>
      <c r="G662" s="4" t="s">
        <v>1693</v>
      </c>
      <c r="H662" s="313" t="s">
        <v>1695</v>
      </c>
      <c r="I662" s="438"/>
      <c r="K662" t="s">
        <v>659</v>
      </c>
      <c r="L662" t="s">
        <v>669</v>
      </c>
    </row>
    <row r="663" spans="1:12" ht="37.200000000000003">
      <c r="A663" s="5">
        <v>662</v>
      </c>
      <c r="B663" t="str">
        <f t="shared" si="4"/>
        <v>TO</v>
      </c>
      <c r="C663" t="str">
        <f t="shared" si="5"/>
        <v>KB</v>
      </c>
      <c r="D663" s="5" t="s">
        <v>1585</v>
      </c>
      <c r="E663" s="5"/>
      <c r="G663" s="4" t="s">
        <v>1693</v>
      </c>
      <c r="H663" s="313" t="s">
        <v>1696</v>
      </c>
      <c r="I663" s="438"/>
      <c r="K663" t="s">
        <v>659</v>
      </c>
      <c r="L663" t="s">
        <v>669</v>
      </c>
    </row>
    <row r="664" spans="1:12" ht="37.200000000000003">
      <c r="A664" s="5">
        <v>663</v>
      </c>
      <c r="B664" t="str">
        <f t="shared" si="4"/>
        <v>TO</v>
      </c>
      <c r="C664" t="str">
        <f t="shared" si="5"/>
        <v>KB</v>
      </c>
      <c r="D664" s="5" t="s">
        <v>1585</v>
      </c>
      <c r="E664" s="5"/>
      <c r="G664" s="4" t="s">
        <v>1693</v>
      </c>
      <c r="H664" s="313" t="s">
        <v>1697</v>
      </c>
      <c r="I664" s="438"/>
      <c r="K664" t="s">
        <v>659</v>
      </c>
      <c r="L664" t="s">
        <v>669</v>
      </c>
    </row>
    <row r="665" spans="1:12" ht="37.200000000000003">
      <c r="A665" s="5">
        <v>664</v>
      </c>
      <c r="B665" t="str">
        <f t="shared" si="4"/>
        <v>TO</v>
      </c>
      <c r="C665" t="str">
        <f t="shared" si="5"/>
        <v>KB</v>
      </c>
      <c r="D665" s="5" t="s">
        <v>1585</v>
      </c>
      <c r="E665" s="5"/>
      <c r="G665" s="4" t="s">
        <v>1693</v>
      </c>
      <c r="H665" s="313" t="s">
        <v>1698</v>
      </c>
      <c r="I665" s="438"/>
      <c r="K665" t="s">
        <v>659</v>
      </c>
      <c r="L665" t="s">
        <v>669</v>
      </c>
    </row>
    <row r="666" spans="1:12" ht="37.200000000000003">
      <c r="A666" s="5">
        <v>665</v>
      </c>
      <c r="B666" t="str">
        <f t="shared" si="4"/>
        <v>TO</v>
      </c>
      <c r="C666" t="str">
        <f t="shared" si="5"/>
        <v>KB</v>
      </c>
      <c r="D666" s="5" t="s">
        <v>1585</v>
      </c>
      <c r="E666" s="5"/>
      <c r="G666" s="4" t="s">
        <v>1693</v>
      </c>
      <c r="H666" s="313" t="s">
        <v>1699</v>
      </c>
      <c r="I666" s="438"/>
      <c r="K666" t="s">
        <v>659</v>
      </c>
      <c r="L666" t="s">
        <v>669</v>
      </c>
    </row>
    <row r="667" spans="1:12" ht="37.200000000000003">
      <c r="A667" s="5">
        <v>666</v>
      </c>
      <c r="B667" t="str">
        <f t="shared" si="4"/>
        <v>TO</v>
      </c>
      <c r="C667" t="str">
        <f t="shared" si="5"/>
        <v>KB</v>
      </c>
      <c r="D667" s="5" t="s">
        <v>1585</v>
      </c>
      <c r="E667" s="5"/>
      <c r="G667" s="4" t="s">
        <v>1693</v>
      </c>
      <c r="H667" s="313" t="s">
        <v>1700</v>
      </c>
      <c r="I667" s="438"/>
      <c r="K667" t="s">
        <v>659</v>
      </c>
      <c r="L667" t="s">
        <v>669</v>
      </c>
    </row>
    <row r="668" spans="1:12" ht="43.2">
      <c r="A668" s="5">
        <v>667</v>
      </c>
      <c r="B668" t="str">
        <f t="shared" si="4"/>
        <v>TO</v>
      </c>
      <c r="C668" t="str">
        <f t="shared" si="5"/>
        <v>KB</v>
      </c>
      <c r="D668" s="5" t="s">
        <v>1585</v>
      </c>
      <c r="E668" s="5"/>
      <c r="G668" s="4" t="s">
        <v>1693</v>
      </c>
      <c r="H668" s="313" t="s">
        <v>1701</v>
      </c>
      <c r="I668" s="438"/>
      <c r="K668" t="s">
        <v>659</v>
      </c>
      <c r="L668" t="s">
        <v>669</v>
      </c>
    </row>
    <row r="669" spans="1:12" ht="37.200000000000003">
      <c r="A669" s="5">
        <v>668</v>
      </c>
      <c r="B669" t="str">
        <f t="shared" si="4"/>
        <v>TO</v>
      </c>
      <c r="C669" t="str">
        <f t="shared" si="5"/>
        <v>KB</v>
      </c>
      <c r="D669" s="5" t="s">
        <v>1585</v>
      </c>
      <c r="E669" s="5"/>
      <c r="G669" s="4" t="s">
        <v>1693</v>
      </c>
      <c r="H669" s="313" t="s">
        <v>1702</v>
      </c>
      <c r="I669" s="438"/>
      <c r="K669" t="s">
        <v>659</v>
      </c>
      <c r="L669" t="s">
        <v>669</v>
      </c>
    </row>
    <row r="670" spans="1:12" ht="37.200000000000003">
      <c r="A670" s="5">
        <v>669</v>
      </c>
      <c r="B670" t="str">
        <f t="shared" si="4"/>
        <v>TO</v>
      </c>
      <c r="C670" t="str">
        <f t="shared" si="5"/>
        <v>KB</v>
      </c>
      <c r="D670" s="5" t="s">
        <v>1585</v>
      </c>
      <c r="E670" s="5"/>
      <c r="G670" s="4" t="s">
        <v>1703</v>
      </c>
      <c r="H670" s="313" t="s">
        <v>1704</v>
      </c>
      <c r="I670" s="438"/>
      <c r="K670" t="s">
        <v>659</v>
      </c>
      <c r="L670" t="s">
        <v>669</v>
      </c>
    </row>
    <row r="671" spans="1:12" ht="37.200000000000003">
      <c r="A671" s="5">
        <v>670</v>
      </c>
      <c r="B671" t="str">
        <f t="shared" si="4"/>
        <v>TO</v>
      </c>
      <c r="C671" t="str">
        <f t="shared" si="5"/>
        <v>KB</v>
      </c>
      <c r="D671" s="5" t="s">
        <v>1585</v>
      </c>
      <c r="E671" s="5"/>
      <c r="G671" s="4" t="s">
        <v>1703</v>
      </c>
      <c r="H671" s="313" t="s">
        <v>1705</v>
      </c>
      <c r="I671" s="438"/>
      <c r="K671" t="s">
        <v>659</v>
      </c>
      <c r="L671" t="s">
        <v>669</v>
      </c>
    </row>
    <row r="672" spans="1:12" ht="37.200000000000003">
      <c r="A672" s="5">
        <v>671</v>
      </c>
      <c r="B672" t="str">
        <f t="shared" si="4"/>
        <v>TO</v>
      </c>
      <c r="C672" t="str">
        <f t="shared" si="5"/>
        <v>KB</v>
      </c>
      <c r="D672" s="5" t="s">
        <v>1585</v>
      </c>
      <c r="E672" s="5"/>
      <c r="G672" s="4" t="s">
        <v>1703</v>
      </c>
      <c r="H672" s="313" t="s">
        <v>1706</v>
      </c>
      <c r="I672" s="438"/>
      <c r="K672" t="s">
        <v>659</v>
      </c>
      <c r="L672" t="s">
        <v>669</v>
      </c>
    </row>
    <row r="673" spans="1:12" ht="37.200000000000003">
      <c r="A673" s="5">
        <v>672</v>
      </c>
      <c r="B673" t="str">
        <f t="shared" si="4"/>
        <v>TO</v>
      </c>
      <c r="C673" t="str">
        <f t="shared" si="5"/>
        <v>KB</v>
      </c>
      <c r="D673" s="5" t="s">
        <v>1585</v>
      </c>
      <c r="E673" s="5"/>
      <c r="G673" s="4" t="s">
        <v>1703</v>
      </c>
      <c r="H673" s="313" t="s">
        <v>1707</v>
      </c>
      <c r="I673" s="438"/>
      <c r="K673" t="s">
        <v>659</v>
      </c>
      <c r="L673" t="s">
        <v>669</v>
      </c>
    </row>
    <row r="674" spans="1:12" ht="37.200000000000003">
      <c r="A674" s="5">
        <v>673</v>
      </c>
      <c r="B674" t="str">
        <f t="shared" si="4"/>
        <v>TO</v>
      </c>
      <c r="C674" t="str">
        <f t="shared" si="5"/>
        <v>KB</v>
      </c>
      <c r="D674" s="5" t="s">
        <v>1585</v>
      </c>
      <c r="E674" s="5"/>
      <c r="G674" s="4" t="s">
        <v>1708</v>
      </c>
      <c r="H674" s="313" t="s">
        <v>460</v>
      </c>
      <c r="I674" s="438"/>
      <c r="K674" t="s">
        <v>659</v>
      </c>
      <c r="L674" t="s">
        <v>669</v>
      </c>
    </row>
    <row r="675" spans="1:12" ht="37.200000000000003">
      <c r="A675" s="5">
        <v>674</v>
      </c>
      <c r="B675" t="str">
        <f t="shared" si="4"/>
        <v>TO</v>
      </c>
      <c r="C675" t="str">
        <f t="shared" si="5"/>
        <v>KB</v>
      </c>
      <c r="D675" s="5" t="s">
        <v>1585</v>
      </c>
      <c r="E675" s="5"/>
      <c r="G675" s="4" t="s">
        <v>1703</v>
      </c>
      <c r="H675" s="313" t="s">
        <v>1709</v>
      </c>
      <c r="I675" s="438"/>
      <c r="K675" t="s">
        <v>659</v>
      </c>
      <c r="L675" t="s">
        <v>669</v>
      </c>
    </row>
    <row r="676" spans="1:12" ht="37.200000000000003">
      <c r="A676" s="5">
        <v>675</v>
      </c>
      <c r="B676" t="str">
        <f t="shared" si="4"/>
        <v>TO</v>
      </c>
      <c r="C676" t="str">
        <f t="shared" si="5"/>
        <v>KB</v>
      </c>
      <c r="D676" s="5" t="s">
        <v>1585</v>
      </c>
      <c r="E676" s="5"/>
      <c r="G676" s="4" t="s">
        <v>1703</v>
      </c>
      <c r="H676" s="313" t="s">
        <v>1710</v>
      </c>
      <c r="I676" s="438"/>
      <c r="K676" t="s">
        <v>659</v>
      </c>
      <c r="L676" t="s">
        <v>669</v>
      </c>
    </row>
    <row r="677" spans="1:12" ht="37.200000000000003">
      <c r="A677" s="5">
        <v>676</v>
      </c>
      <c r="B677" t="str">
        <f t="shared" si="4"/>
        <v>TO</v>
      </c>
      <c r="C677" t="str">
        <f t="shared" si="5"/>
        <v>KB</v>
      </c>
      <c r="D677" s="5" t="s">
        <v>1711</v>
      </c>
      <c r="E677" s="5"/>
      <c r="G677" s="4" t="s">
        <v>1703</v>
      </c>
      <c r="H677" s="313" t="s">
        <v>1712</v>
      </c>
      <c r="I677" s="438"/>
      <c r="K677" t="s">
        <v>659</v>
      </c>
      <c r="L677" t="s">
        <v>669</v>
      </c>
    </row>
    <row r="678" spans="1:12" ht="37.200000000000003">
      <c r="A678" s="5">
        <v>677</v>
      </c>
      <c r="B678" t="str">
        <f t="shared" si="4"/>
        <v>TO</v>
      </c>
      <c r="C678" t="str">
        <f t="shared" si="5"/>
        <v>KB</v>
      </c>
      <c r="D678" s="5" t="s">
        <v>1711</v>
      </c>
      <c r="E678" s="5"/>
      <c r="G678" s="4" t="s">
        <v>1703</v>
      </c>
      <c r="H678" s="313" t="s">
        <v>1713</v>
      </c>
      <c r="I678" s="438"/>
      <c r="K678" t="s">
        <v>659</v>
      </c>
      <c r="L678" t="s">
        <v>669</v>
      </c>
    </row>
    <row r="679" spans="1:12" ht="43.2">
      <c r="A679" s="5">
        <v>678</v>
      </c>
      <c r="B679" t="str">
        <f t="shared" si="4"/>
        <v>TO</v>
      </c>
      <c r="C679" t="str">
        <f t="shared" si="5"/>
        <v>KB</v>
      </c>
      <c r="D679" s="209" t="s">
        <v>1690</v>
      </c>
      <c r="E679" s="5"/>
      <c r="F679" s="185"/>
      <c r="G679" s="456" t="s">
        <v>1714</v>
      </c>
      <c r="H679" s="313" t="s">
        <v>1715</v>
      </c>
      <c r="I679" s="438"/>
      <c r="K679" t="s">
        <v>659</v>
      </c>
      <c r="L679" t="s">
        <v>669</v>
      </c>
    </row>
    <row r="680" spans="1:12" ht="43.2">
      <c r="A680" s="5">
        <v>679</v>
      </c>
      <c r="B680" t="str">
        <f t="shared" si="4"/>
        <v>TO</v>
      </c>
      <c r="C680" t="str">
        <f t="shared" si="5"/>
        <v>KB</v>
      </c>
      <c r="D680" s="209" t="s">
        <v>1690</v>
      </c>
      <c r="E680" s="5"/>
      <c r="F680" s="185"/>
      <c r="G680" s="456" t="s">
        <v>1716</v>
      </c>
      <c r="H680" s="313" t="s">
        <v>1717</v>
      </c>
      <c r="I680" s="438"/>
      <c r="K680" t="s">
        <v>659</v>
      </c>
      <c r="L680" t="s">
        <v>669</v>
      </c>
    </row>
    <row r="681" spans="1:12" ht="37.200000000000003">
      <c r="A681" s="5">
        <v>680</v>
      </c>
      <c r="B681" t="str">
        <f t="shared" si="4"/>
        <v>TO</v>
      </c>
      <c r="C681" t="str">
        <f t="shared" si="5"/>
        <v>KB</v>
      </c>
      <c r="D681" s="209" t="s">
        <v>1690</v>
      </c>
      <c r="E681" s="5"/>
      <c r="F681" s="185"/>
      <c r="G681" s="456" t="s">
        <v>1714</v>
      </c>
      <c r="H681" s="313" t="s">
        <v>1718</v>
      </c>
      <c r="I681" s="438"/>
      <c r="K681" t="s">
        <v>659</v>
      </c>
      <c r="L681" t="s">
        <v>669</v>
      </c>
    </row>
    <row r="682" spans="1:12" ht="37.200000000000003">
      <c r="A682" s="5">
        <v>681</v>
      </c>
      <c r="B682" t="str">
        <f t="shared" si="4"/>
        <v>TO</v>
      </c>
      <c r="C682" t="str">
        <f t="shared" si="5"/>
        <v>KB</v>
      </c>
      <c r="D682" s="209" t="s">
        <v>1690</v>
      </c>
      <c r="E682" s="5"/>
      <c r="F682" s="185"/>
      <c r="G682" s="456" t="s">
        <v>1714</v>
      </c>
      <c r="H682" s="313" t="s">
        <v>1719</v>
      </c>
      <c r="I682" s="438"/>
      <c r="K682" t="s">
        <v>659</v>
      </c>
      <c r="L682" t="s">
        <v>669</v>
      </c>
    </row>
    <row r="683" spans="1:12" ht="37.200000000000003">
      <c r="A683" s="5">
        <v>682</v>
      </c>
      <c r="B683" t="str">
        <f t="shared" si="4"/>
        <v>TO</v>
      </c>
      <c r="C683" t="str">
        <f t="shared" si="5"/>
        <v>KB</v>
      </c>
      <c r="D683" s="209" t="s">
        <v>1690</v>
      </c>
      <c r="E683" s="5"/>
      <c r="F683" s="185"/>
      <c r="G683" s="456" t="s">
        <v>1714</v>
      </c>
      <c r="H683" s="313" t="s">
        <v>1720</v>
      </c>
      <c r="I683" s="438"/>
      <c r="K683" t="s">
        <v>659</v>
      </c>
      <c r="L683" t="s">
        <v>669</v>
      </c>
    </row>
    <row r="684" spans="1:12" ht="37.200000000000003">
      <c r="A684" s="5">
        <v>683</v>
      </c>
      <c r="B684" t="str">
        <f t="shared" si="4"/>
        <v>TO</v>
      </c>
      <c r="C684" t="str">
        <f t="shared" si="5"/>
        <v>KB</v>
      </c>
      <c r="D684" s="209" t="s">
        <v>1690</v>
      </c>
      <c r="E684" s="5"/>
      <c r="F684" s="185"/>
      <c r="G684" s="456" t="s">
        <v>1714</v>
      </c>
      <c r="H684" s="313" t="s">
        <v>1721</v>
      </c>
      <c r="I684" s="438"/>
      <c r="K684" t="s">
        <v>659</v>
      </c>
      <c r="L684" t="s">
        <v>669</v>
      </c>
    </row>
    <row r="685" spans="1:12" ht="37.200000000000003">
      <c r="A685" s="5">
        <v>684</v>
      </c>
      <c r="B685" t="str">
        <f t="shared" si="4"/>
        <v>TO</v>
      </c>
      <c r="C685" t="str">
        <f t="shared" si="5"/>
        <v>KB</v>
      </c>
      <c r="D685" s="209" t="s">
        <v>1690</v>
      </c>
      <c r="E685" s="5"/>
      <c r="F685" s="185"/>
      <c r="G685" s="456" t="s">
        <v>1714</v>
      </c>
      <c r="H685" s="313" t="s">
        <v>1722</v>
      </c>
      <c r="I685" s="438"/>
      <c r="K685" t="s">
        <v>659</v>
      </c>
      <c r="L685" t="s">
        <v>669</v>
      </c>
    </row>
    <row r="686" spans="1:12" ht="37.200000000000003">
      <c r="A686" s="5">
        <v>685</v>
      </c>
      <c r="B686" t="str">
        <f t="shared" si="4"/>
        <v>TO</v>
      </c>
      <c r="C686" t="str">
        <f t="shared" si="5"/>
        <v>KB</v>
      </c>
      <c r="D686" s="209" t="s">
        <v>1690</v>
      </c>
      <c r="E686" s="5"/>
      <c r="F686" s="185"/>
      <c r="G686" s="456" t="s">
        <v>1714</v>
      </c>
      <c r="H686" s="313" t="s">
        <v>1723</v>
      </c>
      <c r="I686" s="438"/>
      <c r="K686" t="s">
        <v>659</v>
      </c>
      <c r="L686" t="s">
        <v>669</v>
      </c>
    </row>
    <row r="687" spans="1:12" ht="37.200000000000003">
      <c r="A687" s="5">
        <v>686</v>
      </c>
      <c r="B687" t="str">
        <f t="shared" si="4"/>
        <v>TO</v>
      </c>
      <c r="C687" t="str">
        <f t="shared" si="5"/>
        <v>KB</v>
      </c>
      <c r="D687" s="209" t="s">
        <v>1690</v>
      </c>
      <c r="E687" s="5"/>
      <c r="F687" s="185"/>
      <c r="G687" s="456" t="s">
        <v>1714</v>
      </c>
      <c r="H687" s="313" t="s">
        <v>1724</v>
      </c>
      <c r="I687" s="438"/>
      <c r="K687" t="s">
        <v>659</v>
      </c>
      <c r="L687" t="s">
        <v>669</v>
      </c>
    </row>
    <row r="688" spans="1:12" ht="43.2">
      <c r="A688" s="5">
        <v>687</v>
      </c>
      <c r="B688" t="str">
        <f t="shared" si="4"/>
        <v>TO</v>
      </c>
      <c r="C688" t="str">
        <f t="shared" si="5"/>
        <v>KB</v>
      </c>
      <c r="D688" s="209" t="s">
        <v>1690</v>
      </c>
      <c r="E688" s="5"/>
      <c r="F688" s="185"/>
      <c r="G688" s="456" t="s">
        <v>1714</v>
      </c>
      <c r="H688" s="313" t="s">
        <v>1725</v>
      </c>
      <c r="I688" s="438"/>
      <c r="K688" t="s">
        <v>659</v>
      </c>
      <c r="L688" t="s">
        <v>669</v>
      </c>
    </row>
    <row r="689" spans="1:14" ht="37.200000000000003">
      <c r="A689" s="5">
        <v>688</v>
      </c>
      <c r="B689" t="str">
        <f t="shared" si="4"/>
        <v>TO</v>
      </c>
      <c r="C689" t="str">
        <f t="shared" si="5"/>
        <v>KB</v>
      </c>
      <c r="D689" s="5" t="s">
        <v>1711</v>
      </c>
      <c r="E689" s="5"/>
      <c r="G689" s="4" t="s">
        <v>1726</v>
      </c>
      <c r="H689" s="313" t="s">
        <v>1727</v>
      </c>
      <c r="I689" s="438"/>
      <c r="K689" t="s">
        <v>659</v>
      </c>
      <c r="L689" t="s">
        <v>669</v>
      </c>
    </row>
    <row r="690" spans="1:14" ht="43.2">
      <c r="A690" s="5">
        <v>689</v>
      </c>
      <c r="B690" t="str">
        <f t="shared" si="4"/>
        <v>TO</v>
      </c>
      <c r="C690" t="str">
        <f t="shared" si="5"/>
        <v>KB</v>
      </c>
      <c r="D690" s="5" t="s">
        <v>1711</v>
      </c>
      <c r="E690" s="5"/>
      <c r="G690" s="4" t="s">
        <v>1726</v>
      </c>
      <c r="H690" s="313" t="s">
        <v>1728</v>
      </c>
      <c r="I690" s="438"/>
      <c r="K690" t="s">
        <v>659</v>
      </c>
      <c r="L690" t="s">
        <v>669</v>
      </c>
    </row>
    <row r="691" spans="1:14" ht="37.200000000000003">
      <c r="A691" s="5">
        <v>690</v>
      </c>
      <c r="B691" t="str">
        <f t="shared" si="4"/>
        <v>TO</v>
      </c>
      <c r="C691" t="str">
        <f t="shared" si="5"/>
        <v>KB</v>
      </c>
      <c r="D691" s="5" t="s">
        <v>1711</v>
      </c>
      <c r="E691" s="5"/>
      <c r="G691" s="4" t="s">
        <v>1726</v>
      </c>
      <c r="H691" s="313" t="s">
        <v>1729</v>
      </c>
      <c r="I691" s="438"/>
      <c r="K691" t="s">
        <v>659</v>
      </c>
      <c r="L691" t="s">
        <v>669</v>
      </c>
    </row>
    <row r="692" spans="1:14" ht="37.200000000000003">
      <c r="A692" s="5">
        <v>691</v>
      </c>
      <c r="B692" t="str">
        <f t="shared" si="4"/>
        <v>TO</v>
      </c>
      <c r="C692" t="str">
        <f t="shared" si="5"/>
        <v>KB</v>
      </c>
      <c r="D692" s="5" t="s">
        <v>1711</v>
      </c>
      <c r="E692" s="5"/>
      <c r="G692" s="4" t="s">
        <v>1726</v>
      </c>
      <c r="H692" s="313" t="s">
        <v>1730</v>
      </c>
      <c r="I692" s="438"/>
      <c r="K692" t="s">
        <v>659</v>
      </c>
      <c r="L692" t="s">
        <v>669</v>
      </c>
    </row>
    <row r="693" spans="1:14" ht="37.200000000000003">
      <c r="A693" s="5">
        <v>692</v>
      </c>
      <c r="B693" t="str">
        <f t="shared" si="4"/>
        <v>TO</v>
      </c>
      <c r="C693" t="str">
        <f t="shared" si="5"/>
        <v>KB</v>
      </c>
      <c r="D693" s="5" t="s">
        <v>1711</v>
      </c>
      <c r="E693" s="5"/>
      <c r="G693" s="4" t="s">
        <v>1726</v>
      </c>
      <c r="H693" s="313" t="s">
        <v>313</v>
      </c>
      <c r="I693" s="438"/>
      <c r="K693" t="s">
        <v>659</v>
      </c>
      <c r="L693" t="s">
        <v>669</v>
      </c>
    </row>
    <row r="694" spans="1:14" ht="37.200000000000003">
      <c r="A694" s="5">
        <v>693</v>
      </c>
      <c r="B694" t="str">
        <f t="shared" si="4"/>
        <v>TO</v>
      </c>
      <c r="C694" t="str">
        <f t="shared" si="5"/>
        <v>KB</v>
      </c>
      <c r="D694" s="5" t="s">
        <v>1711</v>
      </c>
      <c r="E694" s="5"/>
      <c r="G694" s="4" t="s">
        <v>1726</v>
      </c>
      <c r="H694" s="313" t="s">
        <v>1731</v>
      </c>
      <c r="I694" s="438"/>
      <c r="K694" t="s">
        <v>659</v>
      </c>
      <c r="L694" t="s">
        <v>669</v>
      </c>
    </row>
    <row r="695" spans="1:14" ht="37.200000000000003">
      <c r="A695" s="5">
        <v>694</v>
      </c>
      <c r="B695" t="str">
        <f t="shared" si="4"/>
        <v>TO</v>
      </c>
      <c r="C695" t="str">
        <f t="shared" si="5"/>
        <v>KB</v>
      </c>
      <c r="D695" s="5" t="s">
        <v>1711</v>
      </c>
      <c r="E695" s="5"/>
      <c r="G695" s="4" t="s">
        <v>1726</v>
      </c>
      <c r="H695" s="313" t="s">
        <v>1732</v>
      </c>
      <c r="I695" s="438"/>
      <c r="K695" t="s">
        <v>659</v>
      </c>
      <c r="L695" t="s">
        <v>669</v>
      </c>
    </row>
    <row r="696" spans="1:14" ht="37.200000000000003">
      <c r="A696" s="5">
        <v>695</v>
      </c>
      <c r="B696" t="str">
        <f t="shared" si="4"/>
        <v>TO</v>
      </c>
      <c r="C696" t="str">
        <f t="shared" si="5"/>
        <v>KB</v>
      </c>
      <c r="D696" s="5" t="s">
        <v>1711</v>
      </c>
      <c r="E696" s="5"/>
      <c r="G696" s="4" t="s">
        <v>1726</v>
      </c>
      <c r="H696" s="313" t="s">
        <v>1733</v>
      </c>
      <c r="I696" s="438"/>
      <c r="K696" t="s">
        <v>659</v>
      </c>
      <c r="L696" t="s">
        <v>669</v>
      </c>
    </row>
    <row r="697" spans="1:14" ht="37.200000000000003">
      <c r="A697" s="5">
        <v>696</v>
      </c>
      <c r="B697" t="str">
        <f t="shared" si="4"/>
        <v>TO</v>
      </c>
      <c r="C697" t="str">
        <f t="shared" si="5"/>
        <v>KB</v>
      </c>
      <c r="D697" s="5" t="s">
        <v>1711</v>
      </c>
      <c r="E697" s="5"/>
      <c r="G697" s="4" t="s">
        <v>1726</v>
      </c>
      <c r="H697" s="313" t="s">
        <v>1734</v>
      </c>
      <c r="I697" s="438"/>
      <c r="K697" t="s">
        <v>659</v>
      </c>
      <c r="L697" t="s">
        <v>669</v>
      </c>
    </row>
    <row r="698" spans="1:14" ht="37.200000000000003">
      <c r="A698" s="5">
        <v>697</v>
      </c>
      <c r="B698" t="str">
        <f t="shared" si="4"/>
        <v>TO</v>
      </c>
      <c r="C698" t="str">
        <f t="shared" si="5"/>
        <v>KB</v>
      </c>
      <c r="D698" s="5" t="s">
        <v>1711</v>
      </c>
      <c r="E698" s="5"/>
      <c r="G698" s="4" t="s">
        <v>1726</v>
      </c>
      <c r="H698" s="313" t="s">
        <v>1735</v>
      </c>
      <c r="I698" s="438"/>
      <c r="K698" t="s">
        <v>659</v>
      </c>
      <c r="L698" t="s">
        <v>669</v>
      </c>
    </row>
    <row r="699" spans="1:14" ht="37.200000000000003">
      <c r="A699" s="5">
        <v>698</v>
      </c>
      <c r="B699" t="str">
        <f t="shared" si="4"/>
        <v>TO</v>
      </c>
      <c r="C699" t="str">
        <f t="shared" si="5"/>
        <v>KB</v>
      </c>
      <c r="D699" s="5" t="s">
        <v>1711</v>
      </c>
      <c r="E699" s="5"/>
      <c r="G699" s="4" t="s">
        <v>1736</v>
      </c>
      <c r="H699" s="313" t="s">
        <v>1737</v>
      </c>
      <c r="I699" s="438"/>
      <c r="K699" t="s">
        <v>659</v>
      </c>
      <c r="L699" t="s">
        <v>669</v>
      </c>
      <c r="N699" t="s">
        <v>1479</v>
      </c>
    </row>
    <row r="700" spans="1:14" ht="37.200000000000003">
      <c r="A700" s="5">
        <v>699</v>
      </c>
      <c r="B700" t="str">
        <f t="shared" si="4"/>
        <v>TO</v>
      </c>
      <c r="C700" t="str">
        <f t="shared" si="5"/>
        <v>KB</v>
      </c>
      <c r="D700" s="5" t="s">
        <v>1711</v>
      </c>
      <c r="E700" s="5"/>
      <c r="G700" s="4" t="s">
        <v>1736</v>
      </c>
      <c r="H700" s="313" t="s">
        <v>1738</v>
      </c>
      <c r="I700" s="438"/>
      <c r="K700" t="s">
        <v>659</v>
      </c>
      <c r="L700" t="s">
        <v>669</v>
      </c>
      <c r="N700" t="s">
        <v>1479</v>
      </c>
    </row>
    <row r="701" spans="1:14" ht="37.200000000000003">
      <c r="A701" s="5">
        <v>700</v>
      </c>
      <c r="B701" t="str">
        <f t="shared" si="4"/>
        <v>TO</v>
      </c>
      <c r="C701" t="str">
        <f t="shared" si="5"/>
        <v>KB</v>
      </c>
      <c r="D701" s="5" t="s">
        <v>1711</v>
      </c>
      <c r="E701" s="5"/>
      <c r="G701" s="4" t="s">
        <v>1736</v>
      </c>
      <c r="H701" s="313" t="s">
        <v>1739</v>
      </c>
      <c r="I701" s="438"/>
      <c r="K701" t="s">
        <v>659</v>
      </c>
      <c r="L701" t="s">
        <v>669</v>
      </c>
      <c r="N701" t="s">
        <v>1479</v>
      </c>
    </row>
    <row r="702" spans="1:14" ht="37.200000000000003">
      <c r="A702" s="5">
        <v>701</v>
      </c>
      <c r="B702" t="str">
        <f t="shared" si="4"/>
        <v>TO</v>
      </c>
      <c r="C702" t="str">
        <f t="shared" si="5"/>
        <v>KB</v>
      </c>
      <c r="D702" s="5" t="s">
        <v>1711</v>
      </c>
      <c r="E702" s="5"/>
      <c r="G702" s="4" t="s">
        <v>1736</v>
      </c>
      <c r="H702" s="313" t="s">
        <v>1740</v>
      </c>
      <c r="I702" s="438"/>
      <c r="K702" t="s">
        <v>659</v>
      </c>
      <c r="L702" t="s">
        <v>669</v>
      </c>
      <c r="N702" t="s">
        <v>1479</v>
      </c>
    </row>
    <row r="703" spans="1:14" ht="37.200000000000003">
      <c r="A703" s="5">
        <v>702</v>
      </c>
      <c r="B703" t="str">
        <f t="shared" si="4"/>
        <v>TO</v>
      </c>
      <c r="C703" t="str">
        <f t="shared" si="5"/>
        <v>KB</v>
      </c>
      <c r="D703" s="5" t="s">
        <v>1711</v>
      </c>
      <c r="E703" s="5"/>
      <c r="G703" s="4" t="s">
        <v>1736</v>
      </c>
      <c r="H703" s="313" t="s">
        <v>1741</v>
      </c>
      <c r="I703" s="438"/>
      <c r="K703" t="s">
        <v>659</v>
      </c>
      <c r="L703" t="s">
        <v>669</v>
      </c>
      <c r="N703" t="s">
        <v>1479</v>
      </c>
    </row>
    <row r="704" spans="1:14" ht="43.2">
      <c r="A704" s="5">
        <v>703</v>
      </c>
      <c r="B704" t="str">
        <f t="shared" si="4"/>
        <v>TO</v>
      </c>
      <c r="C704" t="str">
        <f t="shared" si="5"/>
        <v>KB</v>
      </c>
      <c r="D704" s="5" t="s">
        <v>1711</v>
      </c>
      <c r="E704" s="5"/>
      <c r="G704" s="4" t="s">
        <v>1742</v>
      </c>
      <c r="H704" s="313" t="s">
        <v>1743</v>
      </c>
      <c r="I704" s="438"/>
      <c r="K704" t="s">
        <v>659</v>
      </c>
      <c r="L704" t="s">
        <v>669</v>
      </c>
      <c r="N704" t="s">
        <v>1004</v>
      </c>
    </row>
    <row r="705" spans="1:14" ht="37.200000000000003">
      <c r="A705" s="5">
        <v>704</v>
      </c>
      <c r="B705" t="str">
        <f t="shared" si="4"/>
        <v>TO</v>
      </c>
      <c r="C705" t="str">
        <f t="shared" si="5"/>
        <v>KB</v>
      </c>
      <c r="D705" s="5" t="s">
        <v>1711</v>
      </c>
      <c r="E705" s="5"/>
      <c r="G705" s="4" t="s">
        <v>1736</v>
      </c>
      <c r="H705" s="313" t="s">
        <v>1744</v>
      </c>
      <c r="I705" s="438"/>
      <c r="K705" t="s">
        <v>659</v>
      </c>
      <c r="L705" t="s">
        <v>669</v>
      </c>
      <c r="N705" t="s">
        <v>1479</v>
      </c>
    </row>
    <row r="706" spans="1:14" ht="64.8">
      <c r="A706" s="5">
        <v>705</v>
      </c>
      <c r="B706" t="str">
        <f t="shared" ref="B706:B744" si="6">MID(G706,8,2)</f>
        <v>TO</v>
      </c>
      <c r="C706" t="str">
        <f t="shared" ref="C706:C744" si="7">MID(G706,11,2)</f>
        <v>KB</v>
      </c>
      <c r="D706" s="5" t="s">
        <v>1711</v>
      </c>
      <c r="E706" s="5"/>
      <c r="G706" s="4" t="s">
        <v>1736</v>
      </c>
      <c r="H706" s="313" t="s">
        <v>1745</v>
      </c>
      <c r="I706" s="438"/>
      <c r="K706" t="s">
        <v>659</v>
      </c>
      <c r="L706" t="s">
        <v>669</v>
      </c>
      <c r="N706" t="s">
        <v>1479</v>
      </c>
    </row>
    <row r="707" spans="1:14" ht="37.200000000000003">
      <c r="A707" s="5">
        <v>706</v>
      </c>
      <c r="B707" t="str">
        <f t="shared" si="6"/>
        <v>TO</v>
      </c>
      <c r="C707" t="str">
        <f t="shared" si="7"/>
        <v>KB</v>
      </c>
      <c r="D707" s="5" t="s">
        <v>1711</v>
      </c>
      <c r="E707" s="5"/>
      <c r="G707" s="4" t="s">
        <v>1746</v>
      </c>
      <c r="H707" s="313" t="s">
        <v>1747</v>
      </c>
      <c r="I707" s="438"/>
      <c r="K707" t="s">
        <v>659</v>
      </c>
      <c r="L707" t="s">
        <v>669</v>
      </c>
    </row>
    <row r="708" spans="1:14" ht="37.200000000000003">
      <c r="A708" s="5">
        <v>707</v>
      </c>
      <c r="B708" t="str">
        <f t="shared" si="6"/>
        <v>TO</v>
      </c>
      <c r="C708" t="str">
        <f t="shared" si="7"/>
        <v>KB</v>
      </c>
      <c r="D708" s="5" t="s">
        <v>1711</v>
      </c>
      <c r="E708" s="5"/>
      <c r="G708" s="4" t="s">
        <v>1746</v>
      </c>
      <c r="H708" s="313" t="s">
        <v>367</v>
      </c>
      <c r="I708" s="438"/>
      <c r="K708" t="s">
        <v>659</v>
      </c>
      <c r="L708" t="s">
        <v>669</v>
      </c>
    </row>
    <row r="709" spans="1:14" ht="43.2">
      <c r="A709" s="5">
        <v>708</v>
      </c>
      <c r="B709" t="str">
        <f t="shared" si="6"/>
        <v>TO</v>
      </c>
      <c r="C709" t="str">
        <f t="shared" si="7"/>
        <v>KB</v>
      </c>
      <c r="D709" s="5" t="s">
        <v>1711</v>
      </c>
      <c r="E709" s="5"/>
      <c r="G709" s="4" t="s">
        <v>1746</v>
      </c>
      <c r="H709" s="313" t="s">
        <v>1748</v>
      </c>
      <c r="I709" s="438"/>
      <c r="K709" t="s">
        <v>659</v>
      </c>
      <c r="L709" t="s">
        <v>669</v>
      </c>
    </row>
    <row r="710" spans="1:14" ht="43.2">
      <c r="A710" s="5">
        <v>709</v>
      </c>
      <c r="B710" t="str">
        <f t="shared" si="6"/>
        <v>TO</v>
      </c>
      <c r="C710" t="str">
        <f t="shared" si="7"/>
        <v>KB</v>
      </c>
      <c r="D710" s="5" t="s">
        <v>1711</v>
      </c>
      <c r="E710" s="5"/>
      <c r="G710" s="4" t="s">
        <v>1746</v>
      </c>
      <c r="H710" s="313" t="s">
        <v>1749</v>
      </c>
      <c r="I710" s="438"/>
      <c r="K710" t="s">
        <v>659</v>
      </c>
      <c r="L710" t="s">
        <v>669</v>
      </c>
    </row>
    <row r="711" spans="1:14" ht="37.200000000000003">
      <c r="A711" s="5">
        <v>710</v>
      </c>
      <c r="B711" t="str">
        <f t="shared" si="6"/>
        <v>TO</v>
      </c>
      <c r="C711" t="str">
        <f t="shared" si="7"/>
        <v>KB</v>
      </c>
      <c r="D711" s="5" t="s">
        <v>1711</v>
      </c>
      <c r="E711" s="5"/>
      <c r="G711" s="4" t="s">
        <v>1746</v>
      </c>
      <c r="H711" s="313" t="s">
        <v>1750</v>
      </c>
      <c r="I711" s="438"/>
      <c r="K711" t="s">
        <v>659</v>
      </c>
      <c r="L711" t="s">
        <v>669</v>
      </c>
    </row>
    <row r="712" spans="1:14" ht="37.200000000000003">
      <c r="A712" s="5">
        <v>711</v>
      </c>
      <c r="B712" t="str">
        <f t="shared" si="6"/>
        <v>TO</v>
      </c>
      <c r="C712" t="str">
        <f t="shared" si="7"/>
        <v>KB</v>
      </c>
      <c r="D712" s="5" t="s">
        <v>1711</v>
      </c>
      <c r="E712" s="5"/>
      <c r="G712" s="4" t="s">
        <v>1746</v>
      </c>
      <c r="H712" s="313" t="s">
        <v>1751</v>
      </c>
      <c r="I712" s="438"/>
      <c r="K712" t="s">
        <v>659</v>
      </c>
      <c r="L712" t="s">
        <v>669</v>
      </c>
    </row>
    <row r="713" spans="1:14" ht="43.2">
      <c r="A713" s="5">
        <v>712</v>
      </c>
      <c r="B713" t="str">
        <f t="shared" si="6"/>
        <v>TO</v>
      </c>
      <c r="C713" t="str">
        <f t="shared" si="7"/>
        <v>KB</v>
      </c>
      <c r="D713" s="209" t="s">
        <v>1690</v>
      </c>
      <c r="E713" s="5"/>
      <c r="F713" s="185"/>
      <c r="G713" s="456" t="s">
        <v>1752</v>
      </c>
      <c r="H713" s="313" t="s">
        <v>1753</v>
      </c>
      <c r="I713" s="438"/>
      <c r="K713" t="s">
        <v>659</v>
      </c>
      <c r="L713" t="s">
        <v>669</v>
      </c>
    </row>
    <row r="714" spans="1:14" ht="37.200000000000003">
      <c r="A714" s="5">
        <v>713</v>
      </c>
      <c r="B714" t="str">
        <f t="shared" si="6"/>
        <v>TO</v>
      </c>
      <c r="C714" t="str">
        <f t="shared" si="7"/>
        <v>KB</v>
      </c>
      <c r="D714" s="209" t="s">
        <v>1690</v>
      </c>
      <c r="E714" s="5"/>
      <c r="F714" s="185"/>
      <c r="G714" s="456" t="s">
        <v>1754</v>
      </c>
      <c r="H714" s="313" t="s">
        <v>1755</v>
      </c>
      <c r="I714" s="438"/>
      <c r="K714" t="s">
        <v>659</v>
      </c>
      <c r="L714" t="s">
        <v>669</v>
      </c>
    </row>
    <row r="715" spans="1:14" ht="37.200000000000003">
      <c r="A715" s="5">
        <v>714</v>
      </c>
      <c r="B715" t="str">
        <f t="shared" si="6"/>
        <v>TO</v>
      </c>
      <c r="C715" t="str">
        <f t="shared" si="7"/>
        <v>KB</v>
      </c>
      <c r="D715" s="209" t="s">
        <v>1690</v>
      </c>
      <c r="E715" s="5"/>
      <c r="F715" s="185"/>
      <c r="G715" s="456" t="s">
        <v>1754</v>
      </c>
      <c r="H715" s="313" t="s">
        <v>1756</v>
      </c>
      <c r="I715" s="438"/>
      <c r="K715" t="s">
        <v>659</v>
      </c>
      <c r="L715" t="s">
        <v>669</v>
      </c>
    </row>
    <row r="716" spans="1:14" ht="37.200000000000003">
      <c r="A716" s="5">
        <v>715</v>
      </c>
      <c r="B716" t="str">
        <f t="shared" si="6"/>
        <v>TO</v>
      </c>
      <c r="C716" t="str">
        <f t="shared" si="7"/>
        <v>KB</v>
      </c>
      <c r="D716" s="209" t="s">
        <v>1690</v>
      </c>
      <c r="E716" s="5"/>
      <c r="F716" s="185"/>
      <c r="G716" s="456" t="s">
        <v>1754</v>
      </c>
      <c r="H716" s="313" t="s">
        <v>1757</v>
      </c>
      <c r="I716" s="438"/>
      <c r="K716" t="s">
        <v>659</v>
      </c>
      <c r="L716" t="s">
        <v>669</v>
      </c>
    </row>
    <row r="717" spans="1:14" ht="37.200000000000003">
      <c r="A717" s="5">
        <v>716</v>
      </c>
      <c r="B717" t="str">
        <f t="shared" si="6"/>
        <v>TO</v>
      </c>
      <c r="C717" t="str">
        <f t="shared" si="7"/>
        <v>KB</v>
      </c>
      <c r="D717" s="209" t="s">
        <v>1690</v>
      </c>
      <c r="E717" s="5"/>
      <c r="F717" s="185"/>
      <c r="G717" s="456" t="s">
        <v>1754</v>
      </c>
      <c r="H717" s="313" t="s">
        <v>1758</v>
      </c>
      <c r="I717" s="438"/>
      <c r="K717" t="s">
        <v>659</v>
      </c>
      <c r="L717" t="s">
        <v>669</v>
      </c>
    </row>
    <row r="718" spans="1:14" ht="43.2">
      <c r="A718" s="5">
        <v>717</v>
      </c>
      <c r="B718" t="str">
        <f t="shared" si="6"/>
        <v>TO</v>
      </c>
      <c r="C718" t="str">
        <f t="shared" si="7"/>
        <v>KB</v>
      </c>
      <c r="D718" s="209" t="s">
        <v>1690</v>
      </c>
      <c r="E718" s="5"/>
      <c r="F718" s="185"/>
      <c r="G718" s="456" t="s">
        <v>1754</v>
      </c>
      <c r="H718" s="313" t="s">
        <v>1759</v>
      </c>
      <c r="I718" s="438"/>
      <c r="K718" t="s">
        <v>659</v>
      </c>
      <c r="L718" t="s">
        <v>669</v>
      </c>
    </row>
    <row r="719" spans="1:14" ht="43.2">
      <c r="A719" s="5">
        <v>718</v>
      </c>
      <c r="B719" t="str">
        <f t="shared" si="6"/>
        <v>TO</v>
      </c>
      <c r="C719" t="str">
        <f t="shared" si="7"/>
        <v>KB</v>
      </c>
      <c r="D719" s="209" t="s">
        <v>1690</v>
      </c>
      <c r="E719" s="5"/>
      <c r="F719" s="185"/>
      <c r="G719" s="456" t="s">
        <v>1754</v>
      </c>
      <c r="H719" s="313" t="s">
        <v>258</v>
      </c>
      <c r="I719" s="438"/>
      <c r="K719" t="s">
        <v>659</v>
      </c>
      <c r="L719" t="s">
        <v>669</v>
      </c>
    </row>
    <row r="720" spans="1:14" ht="43.2">
      <c r="A720" s="5">
        <v>719</v>
      </c>
      <c r="B720" t="str">
        <f t="shared" si="6"/>
        <v>TO</v>
      </c>
      <c r="C720" t="str">
        <f t="shared" si="7"/>
        <v>KB</v>
      </c>
      <c r="D720" s="209" t="s">
        <v>1690</v>
      </c>
      <c r="E720" s="5"/>
      <c r="F720" s="185"/>
      <c r="G720" s="456" t="s">
        <v>1754</v>
      </c>
      <c r="H720" s="313" t="s">
        <v>1760</v>
      </c>
      <c r="I720" s="438"/>
      <c r="K720" t="s">
        <v>659</v>
      </c>
      <c r="L720" t="s">
        <v>669</v>
      </c>
    </row>
    <row r="721" spans="1:14" ht="37.200000000000003">
      <c r="A721" s="5">
        <v>720</v>
      </c>
      <c r="B721" t="str">
        <f t="shared" si="6"/>
        <v>TO</v>
      </c>
      <c r="C721" t="str">
        <f t="shared" si="7"/>
        <v>KB</v>
      </c>
      <c r="D721" s="209" t="s">
        <v>1690</v>
      </c>
      <c r="E721" s="5"/>
      <c r="F721" s="185"/>
      <c r="G721" s="456" t="s">
        <v>1754</v>
      </c>
      <c r="H721" s="313" t="s">
        <v>1761</v>
      </c>
      <c r="I721" s="438"/>
      <c r="K721" t="s">
        <v>659</v>
      </c>
      <c r="L721" t="s">
        <v>669</v>
      </c>
    </row>
    <row r="722" spans="1:14" ht="37.200000000000003">
      <c r="A722" s="5">
        <v>721</v>
      </c>
      <c r="B722" t="str">
        <f t="shared" si="6"/>
        <v>TO</v>
      </c>
      <c r="C722" t="str">
        <f t="shared" si="7"/>
        <v>KB</v>
      </c>
      <c r="D722" s="209" t="s">
        <v>1690</v>
      </c>
      <c r="E722" s="5"/>
      <c r="F722" s="185"/>
      <c r="G722" s="456" t="s">
        <v>1754</v>
      </c>
      <c r="H722" s="313" t="s">
        <v>1762</v>
      </c>
      <c r="I722" s="438"/>
      <c r="K722" t="s">
        <v>659</v>
      </c>
      <c r="L722" t="s">
        <v>669</v>
      </c>
    </row>
    <row r="723" spans="1:14" ht="37.200000000000003">
      <c r="A723" s="5">
        <v>722</v>
      </c>
      <c r="B723" t="str">
        <f t="shared" si="6"/>
        <v>TO</v>
      </c>
      <c r="C723" t="str">
        <f t="shared" si="7"/>
        <v>KB</v>
      </c>
      <c r="D723" s="209" t="s">
        <v>1690</v>
      </c>
      <c r="E723" s="5"/>
      <c r="F723" s="185"/>
      <c r="G723" s="456" t="s">
        <v>1754</v>
      </c>
      <c r="H723" s="313" t="s">
        <v>1763</v>
      </c>
      <c r="I723" s="438"/>
      <c r="K723" t="s">
        <v>659</v>
      </c>
      <c r="L723" t="s">
        <v>669</v>
      </c>
    </row>
    <row r="724" spans="1:14" ht="43.2">
      <c r="A724" s="5">
        <v>723</v>
      </c>
      <c r="B724" t="str">
        <f t="shared" si="6"/>
        <v>TO</v>
      </c>
      <c r="C724" t="str">
        <f t="shared" si="7"/>
        <v>KB</v>
      </c>
      <c r="D724" s="209" t="s">
        <v>1690</v>
      </c>
      <c r="E724" s="5"/>
      <c r="F724" s="185"/>
      <c r="G724" s="456" t="s">
        <v>1754</v>
      </c>
      <c r="H724" s="313" t="s">
        <v>1764</v>
      </c>
      <c r="I724" s="438"/>
      <c r="K724" t="s">
        <v>659</v>
      </c>
      <c r="L724" t="s">
        <v>669</v>
      </c>
    </row>
    <row r="725" spans="1:14" ht="43.2">
      <c r="A725" s="5">
        <v>724</v>
      </c>
      <c r="B725" t="str">
        <f t="shared" si="6"/>
        <v>TO</v>
      </c>
      <c r="C725" t="str">
        <f t="shared" si="7"/>
        <v>KB</v>
      </c>
      <c r="D725" s="209" t="s">
        <v>1690</v>
      </c>
      <c r="E725" s="5"/>
      <c r="F725" s="185"/>
      <c r="G725" s="456" t="s">
        <v>1754</v>
      </c>
      <c r="H725" s="313" t="s">
        <v>1765</v>
      </c>
      <c r="I725" s="438"/>
      <c r="K725" t="s">
        <v>659</v>
      </c>
      <c r="L725" t="s">
        <v>669</v>
      </c>
    </row>
    <row r="726" spans="1:14" ht="21.6">
      <c r="A726" s="5">
        <v>725</v>
      </c>
      <c r="B726" t="str">
        <f t="shared" si="6"/>
        <v>MH</v>
      </c>
      <c r="C726" t="str">
        <f t="shared" si="7"/>
        <v>KB</v>
      </c>
      <c r="D726" s="5" t="s">
        <v>1684</v>
      </c>
      <c r="E726" s="5"/>
      <c r="G726" s="455" t="s">
        <v>1766</v>
      </c>
      <c r="H726" s="313" t="s">
        <v>1420</v>
      </c>
      <c r="I726" s="438"/>
      <c r="K726" t="s">
        <v>659</v>
      </c>
      <c r="L726" t="s">
        <v>669</v>
      </c>
    </row>
    <row r="727" spans="1:14" ht="21.6">
      <c r="A727" s="5">
        <v>726</v>
      </c>
      <c r="B727" t="str">
        <f t="shared" si="6"/>
        <v>MH</v>
      </c>
      <c r="C727" t="str">
        <f t="shared" si="7"/>
        <v>KB</v>
      </c>
      <c r="D727" s="5" t="s">
        <v>1684</v>
      </c>
      <c r="E727" s="5"/>
      <c r="G727" s="455" t="s">
        <v>1767</v>
      </c>
      <c r="H727" s="313" t="s">
        <v>1692</v>
      </c>
      <c r="I727" s="438"/>
      <c r="K727" t="s">
        <v>659</v>
      </c>
      <c r="L727" t="s">
        <v>669</v>
      </c>
    </row>
    <row r="728" spans="1:14" ht="21.6">
      <c r="A728" s="5">
        <v>727</v>
      </c>
      <c r="B728" t="str">
        <f t="shared" si="6"/>
        <v>TO</v>
      </c>
      <c r="C728" t="str">
        <f t="shared" si="7"/>
        <v>KB</v>
      </c>
      <c r="D728" s="5" t="s">
        <v>1684</v>
      </c>
      <c r="E728" s="5"/>
      <c r="F728" s="210"/>
      <c r="G728" s="454" t="s">
        <v>1768</v>
      </c>
      <c r="H728" s="313" t="s">
        <v>1769</v>
      </c>
      <c r="I728" s="438"/>
      <c r="K728" t="s">
        <v>659</v>
      </c>
      <c r="L728" t="s">
        <v>669</v>
      </c>
    </row>
    <row r="729" spans="1:14" ht="37.200000000000003">
      <c r="A729" s="5">
        <v>728</v>
      </c>
      <c r="B729" t="str">
        <f t="shared" si="6"/>
        <v>TO</v>
      </c>
      <c r="C729" t="str">
        <f t="shared" si="7"/>
        <v>KB</v>
      </c>
      <c r="D729" s="5" t="s">
        <v>1684</v>
      </c>
      <c r="E729" s="5"/>
      <c r="G729" s="454" t="s">
        <v>1770</v>
      </c>
      <c r="H729" s="313" t="s">
        <v>1211</v>
      </c>
      <c r="I729" s="438"/>
      <c r="K729" t="s">
        <v>659</v>
      </c>
      <c r="L729" t="s">
        <v>669</v>
      </c>
    </row>
    <row r="730" spans="1:14" ht="21.6">
      <c r="A730" s="5">
        <v>729</v>
      </c>
      <c r="B730" t="str">
        <f t="shared" si="6"/>
        <v>TO</v>
      </c>
      <c r="C730" t="str">
        <f t="shared" si="7"/>
        <v>KB</v>
      </c>
      <c r="D730" s="5" t="s">
        <v>1684</v>
      </c>
      <c r="E730" s="5"/>
      <c r="G730" s="454" t="s">
        <v>1771</v>
      </c>
      <c r="H730" s="313" t="s">
        <v>345</v>
      </c>
      <c r="I730" s="438"/>
      <c r="K730" t="s">
        <v>659</v>
      </c>
      <c r="L730" t="s">
        <v>669</v>
      </c>
    </row>
    <row r="731" spans="1:14" ht="37.200000000000003">
      <c r="A731" s="5">
        <v>730</v>
      </c>
      <c r="B731" t="str">
        <f t="shared" si="6"/>
        <v>TO</v>
      </c>
      <c r="C731" t="str">
        <f t="shared" si="7"/>
        <v>KB</v>
      </c>
      <c r="D731" s="5" t="s">
        <v>1684</v>
      </c>
      <c r="E731" s="5"/>
      <c r="G731" s="454" t="s">
        <v>1772</v>
      </c>
      <c r="H731" s="313" t="s">
        <v>1773</v>
      </c>
      <c r="I731" s="438"/>
      <c r="K731" t="s">
        <v>659</v>
      </c>
      <c r="L731" t="s">
        <v>669</v>
      </c>
    </row>
    <row r="732" spans="1:14" ht="37.200000000000003">
      <c r="A732" s="5">
        <v>731</v>
      </c>
      <c r="B732" t="str">
        <f t="shared" si="6"/>
        <v>MH</v>
      </c>
      <c r="C732" t="str">
        <f t="shared" si="7"/>
        <v>KB</v>
      </c>
      <c r="D732" s="5" t="s">
        <v>1684</v>
      </c>
      <c r="E732" s="5"/>
      <c r="G732" s="455" t="s">
        <v>1774</v>
      </c>
      <c r="H732" s="313" t="s">
        <v>1775</v>
      </c>
      <c r="I732" s="438"/>
      <c r="K732" t="s">
        <v>659</v>
      </c>
      <c r="L732" t="s">
        <v>669</v>
      </c>
    </row>
    <row r="733" spans="1:14" ht="43.2">
      <c r="A733" s="5">
        <v>732</v>
      </c>
      <c r="B733" t="str">
        <f t="shared" si="6"/>
        <v>TO</v>
      </c>
      <c r="C733" t="str">
        <f t="shared" si="7"/>
        <v>KB</v>
      </c>
      <c r="D733" s="5" t="s">
        <v>1684</v>
      </c>
      <c r="E733" s="5"/>
      <c r="G733" s="454" t="s">
        <v>1776</v>
      </c>
      <c r="H733" s="313" t="s">
        <v>255</v>
      </c>
      <c r="I733" s="438"/>
      <c r="K733" t="s">
        <v>659</v>
      </c>
      <c r="L733" t="s">
        <v>669</v>
      </c>
    </row>
    <row r="734" spans="1:14" ht="21.6">
      <c r="A734" s="5">
        <v>733</v>
      </c>
      <c r="B734" t="str">
        <f t="shared" si="6"/>
        <v>TO</v>
      </c>
      <c r="C734" t="str">
        <f t="shared" si="7"/>
        <v>KB</v>
      </c>
      <c r="D734" s="5" t="s">
        <v>1684</v>
      </c>
      <c r="E734" s="5"/>
      <c r="G734" s="454" t="s">
        <v>1777</v>
      </c>
      <c r="H734" s="313" t="s">
        <v>239</v>
      </c>
      <c r="I734" s="438"/>
      <c r="K734" t="s">
        <v>659</v>
      </c>
      <c r="L734" t="s">
        <v>669</v>
      </c>
    </row>
    <row r="735" spans="1:14" ht="109.2">
      <c r="A735" s="5">
        <v>734</v>
      </c>
      <c r="B735" t="str">
        <f t="shared" si="6"/>
        <v>TO</v>
      </c>
      <c r="C735" t="str">
        <f t="shared" si="7"/>
        <v>KB</v>
      </c>
      <c r="D735" s="5" t="s">
        <v>1684</v>
      </c>
      <c r="E735" s="5"/>
      <c r="G735" s="454" t="s">
        <v>1778</v>
      </c>
      <c r="H735" s="313" t="s">
        <v>246</v>
      </c>
      <c r="I735" s="438"/>
      <c r="K735" t="s">
        <v>659</v>
      </c>
      <c r="L735" t="s">
        <v>669</v>
      </c>
      <c r="N735" s="4" t="s">
        <v>1779</v>
      </c>
    </row>
    <row r="736" spans="1:14" ht="36">
      <c r="A736" s="5">
        <v>735</v>
      </c>
      <c r="B736" t="str">
        <f t="shared" si="6"/>
        <v>TO</v>
      </c>
      <c r="C736" t="str">
        <f t="shared" si="7"/>
        <v>KB</v>
      </c>
      <c r="D736" s="209" t="s">
        <v>1780</v>
      </c>
      <c r="E736" s="5"/>
      <c r="F736" s="185"/>
      <c r="G736" s="456" t="s">
        <v>1781</v>
      </c>
      <c r="H736" s="306" t="s">
        <v>1782</v>
      </c>
      <c r="K736" t="s">
        <v>659</v>
      </c>
      <c r="L736" t="s">
        <v>669</v>
      </c>
    </row>
    <row r="737" spans="1:14" ht="36">
      <c r="A737" s="5">
        <v>736</v>
      </c>
      <c r="B737" t="str">
        <f t="shared" si="6"/>
        <v>TO</v>
      </c>
      <c r="C737" t="str">
        <f t="shared" si="7"/>
        <v>KB</v>
      </c>
      <c r="D737" s="209" t="s">
        <v>1780</v>
      </c>
      <c r="E737" s="5"/>
      <c r="F737" s="185"/>
      <c r="G737" s="456" t="s">
        <v>1783</v>
      </c>
      <c r="H737" s="306" t="s">
        <v>1784</v>
      </c>
      <c r="K737" t="s">
        <v>659</v>
      </c>
      <c r="L737" t="s">
        <v>669</v>
      </c>
    </row>
    <row r="738" spans="1:14" ht="36">
      <c r="A738" s="5">
        <v>737</v>
      </c>
      <c r="B738" t="str">
        <f t="shared" si="6"/>
        <v>TO</v>
      </c>
      <c r="C738" t="str">
        <f t="shared" si="7"/>
        <v>KB</v>
      </c>
      <c r="D738" s="209" t="s">
        <v>1780</v>
      </c>
      <c r="E738" s="5"/>
      <c r="F738" s="185"/>
      <c r="G738" s="456" t="s">
        <v>1785</v>
      </c>
      <c r="H738" s="306" t="s">
        <v>1786</v>
      </c>
      <c r="K738" t="s">
        <v>659</v>
      </c>
      <c r="L738" t="s">
        <v>669</v>
      </c>
    </row>
    <row r="739" spans="1:14">
      <c r="A739" s="5">
        <v>738</v>
      </c>
      <c r="B739" t="str">
        <f t="shared" si="6"/>
        <v>TO</v>
      </c>
      <c r="C739" t="str">
        <f t="shared" si="7"/>
        <v>KB</v>
      </c>
      <c r="D739" s="214" t="s">
        <v>1684</v>
      </c>
      <c r="E739" s="5"/>
      <c r="F739" s="215"/>
      <c r="G739" s="457" t="s">
        <v>1787</v>
      </c>
      <c r="H739" s="315" t="s">
        <v>254</v>
      </c>
      <c r="I739" s="441"/>
      <c r="K739" t="s">
        <v>659</v>
      </c>
      <c r="L739" t="s">
        <v>669</v>
      </c>
      <c r="N739" s="4" t="s">
        <v>1788</v>
      </c>
    </row>
    <row r="740" spans="1:14" ht="36">
      <c r="A740" s="5">
        <v>739</v>
      </c>
      <c r="B740" t="str">
        <f t="shared" si="6"/>
        <v>TO</v>
      </c>
      <c r="C740" t="str">
        <f t="shared" si="7"/>
        <v>KB</v>
      </c>
      <c r="D740" s="214" t="s">
        <v>1684</v>
      </c>
      <c r="E740" s="5"/>
      <c r="F740" s="215"/>
      <c r="G740" s="457" t="s">
        <v>1789</v>
      </c>
      <c r="H740" s="315" t="s">
        <v>255</v>
      </c>
      <c r="I740" s="441"/>
      <c r="K740" t="s">
        <v>659</v>
      </c>
      <c r="L740" t="s">
        <v>669</v>
      </c>
      <c r="N740" s="4" t="s">
        <v>1788</v>
      </c>
    </row>
    <row r="741" spans="1:14" ht="36">
      <c r="A741" s="5">
        <v>740</v>
      </c>
      <c r="B741" t="str">
        <f t="shared" si="6"/>
        <v>MH</v>
      </c>
      <c r="C741" t="str">
        <f t="shared" si="7"/>
        <v>KB</v>
      </c>
      <c r="D741" s="214" t="s">
        <v>1684</v>
      </c>
      <c r="E741" s="5"/>
      <c r="F741" s="215"/>
      <c r="G741" s="457" t="s">
        <v>1790</v>
      </c>
      <c r="H741" s="315" t="s">
        <v>256</v>
      </c>
      <c r="I741" s="441"/>
      <c r="K741" t="s">
        <v>659</v>
      </c>
      <c r="L741" t="s">
        <v>669</v>
      </c>
      <c r="N741" s="4" t="s">
        <v>1788</v>
      </c>
    </row>
    <row r="742" spans="1:14">
      <c r="A742" s="5">
        <v>741</v>
      </c>
      <c r="B742" t="str">
        <f t="shared" si="6"/>
        <v>TO</v>
      </c>
      <c r="C742" t="str">
        <f t="shared" si="7"/>
        <v>KB</v>
      </c>
      <c r="D742" s="5" t="s">
        <v>1684</v>
      </c>
      <c r="E742" s="5"/>
      <c r="G742" s="4" t="s">
        <v>1791</v>
      </c>
      <c r="H742" s="306" t="s">
        <v>257</v>
      </c>
      <c r="K742" t="s">
        <v>659</v>
      </c>
      <c r="L742" t="s">
        <v>669</v>
      </c>
      <c r="N742" s="4"/>
    </row>
    <row r="743" spans="1:14" ht="36">
      <c r="A743" s="5">
        <v>742</v>
      </c>
      <c r="B743" t="str">
        <f t="shared" si="6"/>
        <v>TO</v>
      </c>
      <c r="C743" t="str">
        <f t="shared" si="7"/>
        <v>KB</v>
      </c>
      <c r="D743" s="214" t="s">
        <v>1684</v>
      </c>
      <c r="E743" s="5"/>
      <c r="F743" s="215"/>
      <c r="G743" s="457" t="s">
        <v>1792</v>
      </c>
      <c r="H743" s="315" t="s">
        <v>258</v>
      </c>
      <c r="I743" s="441"/>
      <c r="K743" t="s">
        <v>659</v>
      </c>
      <c r="L743" t="s">
        <v>669</v>
      </c>
      <c r="N743" t="s">
        <v>1788</v>
      </c>
    </row>
    <row r="744" spans="1:14" ht="36">
      <c r="A744" s="5">
        <v>743</v>
      </c>
      <c r="B744" t="str">
        <f t="shared" si="6"/>
        <v>MH</v>
      </c>
      <c r="C744" t="str">
        <f t="shared" si="7"/>
        <v>KB</v>
      </c>
      <c r="D744" s="5" t="s">
        <v>1684</v>
      </c>
      <c r="E744" s="5"/>
      <c r="G744" s="4" t="s">
        <v>1793</v>
      </c>
      <c r="H744" s="306" t="s">
        <v>259</v>
      </c>
      <c r="K744" t="s">
        <v>659</v>
      </c>
      <c r="L744" t="s">
        <v>669</v>
      </c>
      <c r="N744" s="4" t="s">
        <v>1794</v>
      </c>
    </row>
    <row r="745" spans="1:14">
      <c r="A745" s="5">
        <v>744</v>
      </c>
      <c r="B745" t="s">
        <v>114</v>
      </c>
      <c r="C745" t="s">
        <v>17</v>
      </c>
      <c r="D745" s="209" t="s">
        <v>1780</v>
      </c>
      <c r="E745" s="5"/>
      <c r="F745" s="185"/>
      <c r="G745" s="456" t="s">
        <v>1795</v>
      </c>
      <c r="H745" s="306" t="s">
        <v>1796</v>
      </c>
      <c r="J745" t="s">
        <v>1797</v>
      </c>
      <c r="K745" t="s">
        <v>1434</v>
      </c>
      <c r="L745" t="s">
        <v>669</v>
      </c>
    </row>
    <row r="746" spans="1:14">
      <c r="A746" s="5">
        <v>745</v>
      </c>
      <c r="B746" t="s">
        <v>114</v>
      </c>
      <c r="C746" t="s">
        <v>17</v>
      </c>
      <c r="D746" s="209" t="s">
        <v>1780</v>
      </c>
      <c r="E746" s="5"/>
      <c r="F746" s="185"/>
      <c r="G746" s="456" t="s">
        <v>1795</v>
      </c>
      <c r="H746" s="306" t="s">
        <v>1798</v>
      </c>
      <c r="J746" t="s">
        <v>1799</v>
      </c>
      <c r="K746" t="s">
        <v>1434</v>
      </c>
      <c r="L746" t="s">
        <v>669</v>
      </c>
    </row>
    <row r="747" spans="1:14">
      <c r="A747" s="5">
        <v>746</v>
      </c>
      <c r="B747" t="s">
        <v>114</v>
      </c>
      <c r="C747" t="s">
        <v>17</v>
      </c>
      <c r="D747" s="209" t="s">
        <v>1780</v>
      </c>
      <c r="E747" s="5"/>
      <c r="F747" s="185"/>
      <c r="G747" s="456" t="s">
        <v>1795</v>
      </c>
      <c r="H747" s="306" t="s">
        <v>296</v>
      </c>
      <c r="J747" t="s">
        <v>1800</v>
      </c>
      <c r="K747" t="s">
        <v>659</v>
      </c>
      <c r="L747" t="s">
        <v>669</v>
      </c>
    </row>
    <row r="748" spans="1:14">
      <c r="A748" s="5">
        <v>747</v>
      </c>
      <c r="B748" t="s">
        <v>114</v>
      </c>
      <c r="C748" t="s">
        <v>17</v>
      </c>
      <c r="D748" s="209" t="s">
        <v>1780</v>
      </c>
      <c r="E748" s="5"/>
      <c r="F748" s="185"/>
      <c r="G748" s="456" t="s">
        <v>1795</v>
      </c>
      <c r="H748" s="306" t="s">
        <v>1801</v>
      </c>
      <c r="J748" t="s">
        <v>1802</v>
      </c>
      <c r="K748" t="s">
        <v>1434</v>
      </c>
      <c r="L748" t="s">
        <v>669</v>
      </c>
    </row>
    <row r="749" spans="1:14">
      <c r="A749" s="5">
        <v>748</v>
      </c>
      <c r="B749" t="s">
        <v>114</v>
      </c>
      <c r="C749" t="s">
        <v>17</v>
      </c>
      <c r="D749" s="209" t="s">
        <v>1780</v>
      </c>
      <c r="E749" s="5"/>
      <c r="F749" s="185"/>
      <c r="G749" s="456" t="s">
        <v>1795</v>
      </c>
      <c r="H749" s="306" t="s">
        <v>1803</v>
      </c>
      <c r="J749" t="s">
        <v>1804</v>
      </c>
      <c r="K749" t="s">
        <v>659</v>
      </c>
      <c r="L749" t="s">
        <v>669</v>
      </c>
    </row>
    <row r="750" spans="1:14">
      <c r="A750" s="5">
        <v>749</v>
      </c>
      <c r="B750" t="s">
        <v>114</v>
      </c>
      <c r="C750" t="s">
        <v>17</v>
      </c>
      <c r="D750" s="209" t="s">
        <v>1780</v>
      </c>
      <c r="E750" s="5"/>
      <c r="F750" s="185"/>
      <c r="G750" s="456" t="s">
        <v>1795</v>
      </c>
      <c r="H750" s="306" t="s">
        <v>1805</v>
      </c>
      <c r="J750" t="s">
        <v>1806</v>
      </c>
      <c r="K750" t="s">
        <v>659</v>
      </c>
      <c r="L750" t="s">
        <v>669</v>
      </c>
    </row>
    <row r="751" spans="1:14">
      <c r="A751" s="5">
        <v>750</v>
      </c>
      <c r="B751" t="s">
        <v>114</v>
      </c>
      <c r="C751" t="s">
        <v>17</v>
      </c>
      <c r="D751" s="209" t="s">
        <v>1780</v>
      </c>
      <c r="E751" s="5"/>
      <c r="F751" s="185"/>
      <c r="G751" s="456" t="s">
        <v>1795</v>
      </c>
      <c r="H751" s="306" t="s">
        <v>1807</v>
      </c>
      <c r="J751" t="s">
        <v>1808</v>
      </c>
      <c r="K751" t="s">
        <v>1434</v>
      </c>
      <c r="L751" t="s">
        <v>669</v>
      </c>
    </row>
    <row r="752" spans="1:14">
      <c r="A752" s="5">
        <v>751</v>
      </c>
      <c r="B752" t="s">
        <v>114</v>
      </c>
      <c r="C752" t="s">
        <v>17</v>
      </c>
      <c r="D752" s="209" t="s">
        <v>1780</v>
      </c>
      <c r="E752" s="5"/>
      <c r="F752" s="185"/>
      <c r="G752" s="456" t="s">
        <v>1795</v>
      </c>
      <c r="H752" s="306" t="s">
        <v>1809</v>
      </c>
      <c r="J752" t="s">
        <v>1810</v>
      </c>
      <c r="K752" t="s">
        <v>659</v>
      </c>
      <c r="L752" t="s">
        <v>669</v>
      </c>
    </row>
    <row r="753" spans="1:12">
      <c r="A753" s="5">
        <v>752</v>
      </c>
      <c r="B753" t="s">
        <v>114</v>
      </c>
      <c r="C753" t="s">
        <v>17</v>
      </c>
      <c r="D753" s="209" t="s">
        <v>1780</v>
      </c>
      <c r="E753" s="5"/>
      <c r="F753" s="185"/>
      <c r="G753" s="456" t="s">
        <v>1795</v>
      </c>
      <c r="H753" s="306" t="s">
        <v>1811</v>
      </c>
      <c r="J753" t="s">
        <v>1812</v>
      </c>
      <c r="K753" t="s">
        <v>1434</v>
      </c>
      <c r="L753" t="s">
        <v>669</v>
      </c>
    </row>
    <row r="754" spans="1:12">
      <c r="A754" s="5">
        <v>753</v>
      </c>
      <c r="B754" t="s">
        <v>114</v>
      </c>
      <c r="C754" t="s">
        <v>17</v>
      </c>
      <c r="D754" s="209" t="s">
        <v>1780</v>
      </c>
      <c r="E754" s="5"/>
      <c r="F754" s="185"/>
      <c r="G754" s="456" t="s">
        <v>1795</v>
      </c>
      <c r="H754" s="306" t="s">
        <v>294</v>
      </c>
      <c r="J754" t="s">
        <v>1813</v>
      </c>
      <c r="K754" t="s">
        <v>1434</v>
      </c>
      <c r="L754" t="s">
        <v>669</v>
      </c>
    </row>
    <row r="755" spans="1:12" ht="36">
      <c r="A755" s="5">
        <v>754</v>
      </c>
      <c r="B755" t="s">
        <v>114</v>
      </c>
      <c r="C755" t="s">
        <v>17</v>
      </c>
      <c r="D755" s="209" t="s">
        <v>1780</v>
      </c>
      <c r="E755" s="5"/>
      <c r="F755" s="185"/>
      <c r="G755" s="456" t="s">
        <v>1795</v>
      </c>
      <c r="H755" s="306" t="s">
        <v>1814</v>
      </c>
      <c r="J755" t="s">
        <v>1815</v>
      </c>
      <c r="K755" t="s">
        <v>1434</v>
      </c>
      <c r="L755" t="s">
        <v>669</v>
      </c>
    </row>
    <row r="756" spans="1:12">
      <c r="A756" s="5">
        <v>755</v>
      </c>
      <c r="B756" t="s">
        <v>114</v>
      </c>
      <c r="C756" t="s">
        <v>17</v>
      </c>
      <c r="D756" s="209" t="s">
        <v>1780</v>
      </c>
      <c r="E756" s="5"/>
      <c r="F756" s="185"/>
      <c r="G756" s="456" t="s">
        <v>1795</v>
      </c>
      <c r="H756" s="306" t="s">
        <v>1816</v>
      </c>
      <c r="J756" t="s">
        <v>1817</v>
      </c>
      <c r="K756" t="s">
        <v>1434</v>
      </c>
      <c r="L756" t="s">
        <v>669</v>
      </c>
    </row>
    <row r="757" spans="1:12">
      <c r="A757" s="5">
        <v>756</v>
      </c>
      <c r="B757" t="s">
        <v>114</v>
      </c>
      <c r="C757" t="s">
        <v>17</v>
      </c>
      <c r="D757" s="209" t="s">
        <v>1780</v>
      </c>
      <c r="E757" s="5"/>
      <c r="F757" s="185"/>
      <c r="G757" s="456" t="s">
        <v>1795</v>
      </c>
      <c r="H757" s="306" t="s">
        <v>1818</v>
      </c>
      <c r="J757" t="s">
        <v>1819</v>
      </c>
      <c r="K757" t="s">
        <v>1434</v>
      </c>
      <c r="L757" t="s">
        <v>669</v>
      </c>
    </row>
    <row r="758" spans="1:12">
      <c r="A758" s="5">
        <v>757</v>
      </c>
      <c r="B758" t="s">
        <v>114</v>
      </c>
      <c r="C758" t="s">
        <v>17</v>
      </c>
      <c r="D758" s="209" t="s">
        <v>1780</v>
      </c>
      <c r="E758" s="5"/>
      <c r="F758" s="185"/>
      <c r="G758" s="456" t="s">
        <v>1795</v>
      </c>
      <c r="H758" s="306" t="s">
        <v>1820</v>
      </c>
      <c r="J758" t="s">
        <v>1821</v>
      </c>
      <c r="K758" t="s">
        <v>659</v>
      </c>
      <c r="L758" t="s">
        <v>669</v>
      </c>
    </row>
    <row r="759" spans="1:12">
      <c r="A759" s="5">
        <v>758</v>
      </c>
      <c r="B759" t="str">
        <f t="shared" ref="B759:B790" si="8">MID(G759,8,2)</f>
        <v>TO</v>
      </c>
      <c r="C759" t="str">
        <f t="shared" ref="C759:C790" si="9">MID(G759,11,2)</f>
        <v>KB</v>
      </c>
      <c r="D759" s="209" t="s">
        <v>1780</v>
      </c>
      <c r="E759" s="5"/>
      <c r="F759" s="185"/>
      <c r="G759" s="456" t="s">
        <v>1822</v>
      </c>
      <c r="H759" s="306" t="s">
        <v>1823</v>
      </c>
      <c r="I759" s="436"/>
      <c r="J759" t="s">
        <v>1824</v>
      </c>
      <c r="K759" t="s">
        <v>1434</v>
      </c>
      <c r="L759" t="s">
        <v>669</v>
      </c>
    </row>
    <row r="760" spans="1:12">
      <c r="A760" s="5">
        <v>759</v>
      </c>
      <c r="B760" t="str">
        <f t="shared" si="8"/>
        <v>TO</v>
      </c>
      <c r="C760" t="str">
        <f t="shared" si="9"/>
        <v>KB</v>
      </c>
      <c r="D760" s="209" t="s">
        <v>1690</v>
      </c>
      <c r="E760" s="5"/>
      <c r="F760" s="185"/>
      <c r="G760" s="456" t="s">
        <v>1822</v>
      </c>
      <c r="H760" s="306" t="s">
        <v>1825</v>
      </c>
      <c r="I760" s="436"/>
      <c r="J760" t="s">
        <v>1826</v>
      </c>
      <c r="K760" t="s">
        <v>1434</v>
      </c>
      <c r="L760" t="s">
        <v>669</v>
      </c>
    </row>
    <row r="761" spans="1:12">
      <c r="A761" s="5">
        <v>760</v>
      </c>
      <c r="B761" t="str">
        <f t="shared" si="8"/>
        <v>TO</v>
      </c>
      <c r="C761" t="str">
        <f t="shared" si="9"/>
        <v>KB</v>
      </c>
      <c r="D761" s="209" t="s">
        <v>1780</v>
      </c>
      <c r="E761" s="5"/>
      <c r="F761" s="185"/>
      <c r="G761" s="456" t="s">
        <v>1822</v>
      </c>
      <c r="H761" s="306" t="s">
        <v>1827</v>
      </c>
      <c r="I761" s="436"/>
      <c r="J761" t="s">
        <v>1828</v>
      </c>
      <c r="K761" t="s">
        <v>1434</v>
      </c>
      <c r="L761" t="s">
        <v>669</v>
      </c>
    </row>
    <row r="762" spans="1:12">
      <c r="A762" s="5">
        <v>761</v>
      </c>
      <c r="B762" t="str">
        <f t="shared" si="8"/>
        <v>TO</v>
      </c>
      <c r="C762" t="str">
        <f t="shared" si="9"/>
        <v>KB</v>
      </c>
      <c r="D762" s="209" t="s">
        <v>1780</v>
      </c>
      <c r="E762" s="5"/>
      <c r="F762" s="185"/>
      <c r="G762" s="456" t="s">
        <v>1822</v>
      </c>
      <c r="H762" s="306" t="s">
        <v>1829</v>
      </c>
      <c r="I762" s="436"/>
      <c r="J762" t="s">
        <v>1830</v>
      </c>
      <c r="K762" t="s">
        <v>659</v>
      </c>
      <c r="L762" t="s">
        <v>669</v>
      </c>
    </row>
    <row r="763" spans="1:12">
      <c r="A763" s="5">
        <v>762</v>
      </c>
      <c r="B763" t="str">
        <f t="shared" si="8"/>
        <v>TO</v>
      </c>
      <c r="C763" t="str">
        <f t="shared" si="9"/>
        <v>KB</v>
      </c>
      <c r="D763" s="209" t="s">
        <v>1780</v>
      </c>
      <c r="E763" s="5"/>
      <c r="F763" s="185"/>
      <c r="G763" s="456" t="s">
        <v>1822</v>
      </c>
      <c r="H763" s="306" t="s">
        <v>1831</v>
      </c>
      <c r="I763" s="436"/>
      <c r="J763" t="s">
        <v>1832</v>
      </c>
      <c r="K763" t="s">
        <v>1434</v>
      </c>
      <c r="L763" t="s">
        <v>669</v>
      </c>
    </row>
    <row r="764" spans="1:12">
      <c r="A764" s="5">
        <v>763</v>
      </c>
      <c r="B764" t="str">
        <f t="shared" si="8"/>
        <v>TO</v>
      </c>
      <c r="C764" t="str">
        <f t="shared" si="9"/>
        <v>KB</v>
      </c>
      <c r="D764" s="209" t="s">
        <v>1780</v>
      </c>
      <c r="E764" s="5"/>
      <c r="F764" s="185"/>
      <c r="G764" s="456" t="s">
        <v>1822</v>
      </c>
      <c r="H764" s="306" t="s">
        <v>1833</v>
      </c>
      <c r="I764" s="436"/>
      <c r="J764" t="s">
        <v>1834</v>
      </c>
      <c r="K764" t="s">
        <v>1434</v>
      </c>
      <c r="L764" t="s">
        <v>669</v>
      </c>
    </row>
    <row r="765" spans="1:12" ht="36">
      <c r="A765" s="5">
        <v>764</v>
      </c>
      <c r="B765" t="str">
        <f t="shared" si="8"/>
        <v>TO</v>
      </c>
      <c r="C765" t="str">
        <f t="shared" si="9"/>
        <v>KB</v>
      </c>
      <c r="D765" s="209" t="s">
        <v>1780</v>
      </c>
      <c r="E765" s="5"/>
      <c r="F765" s="185"/>
      <c r="G765" s="456" t="s">
        <v>1822</v>
      </c>
      <c r="H765" s="306" t="s">
        <v>1835</v>
      </c>
      <c r="I765" s="436"/>
      <c r="J765" t="s">
        <v>1836</v>
      </c>
      <c r="K765" t="s">
        <v>1434</v>
      </c>
      <c r="L765" t="s">
        <v>669</v>
      </c>
    </row>
    <row r="766" spans="1:12">
      <c r="A766" s="5">
        <v>765</v>
      </c>
      <c r="B766" t="str">
        <f t="shared" si="8"/>
        <v>TO</v>
      </c>
      <c r="C766" t="str">
        <f t="shared" si="9"/>
        <v>KB</v>
      </c>
      <c r="D766" s="209" t="s">
        <v>1780</v>
      </c>
      <c r="E766" s="5"/>
      <c r="F766" s="185"/>
      <c r="G766" s="456" t="s">
        <v>1822</v>
      </c>
      <c r="H766" s="306" t="s">
        <v>1837</v>
      </c>
      <c r="I766" s="436"/>
      <c r="J766" t="s">
        <v>1838</v>
      </c>
      <c r="K766" t="s">
        <v>1434</v>
      </c>
      <c r="L766" t="s">
        <v>669</v>
      </c>
    </row>
    <row r="767" spans="1:12" ht="36">
      <c r="A767" s="5">
        <v>766</v>
      </c>
      <c r="B767" t="str">
        <f t="shared" si="8"/>
        <v>TO</v>
      </c>
      <c r="C767" t="str">
        <f t="shared" si="9"/>
        <v>KB</v>
      </c>
      <c r="D767" s="209" t="s">
        <v>1780</v>
      </c>
      <c r="E767" s="5"/>
      <c r="F767" s="185"/>
      <c r="G767" s="456" t="s">
        <v>1822</v>
      </c>
      <c r="H767" s="306" t="s">
        <v>1839</v>
      </c>
      <c r="I767" s="436"/>
      <c r="J767" t="s">
        <v>1840</v>
      </c>
      <c r="K767" t="s">
        <v>1434</v>
      </c>
      <c r="L767" t="s">
        <v>669</v>
      </c>
    </row>
    <row r="768" spans="1:12">
      <c r="A768" s="5">
        <v>767</v>
      </c>
      <c r="B768" t="str">
        <f t="shared" si="8"/>
        <v>TO</v>
      </c>
      <c r="C768" t="str">
        <f t="shared" si="9"/>
        <v>KB</v>
      </c>
      <c r="D768" s="209" t="s">
        <v>1780</v>
      </c>
      <c r="E768" s="5"/>
      <c r="F768" s="185"/>
      <c r="G768" s="456" t="s">
        <v>1822</v>
      </c>
      <c r="H768" s="306" t="s">
        <v>287</v>
      </c>
      <c r="I768" s="436"/>
      <c r="J768" t="s">
        <v>1841</v>
      </c>
      <c r="K768" t="s">
        <v>659</v>
      </c>
      <c r="L768" t="s">
        <v>669</v>
      </c>
    </row>
    <row r="769" spans="1:12">
      <c r="A769" s="5">
        <v>768</v>
      </c>
      <c r="B769" t="str">
        <f t="shared" si="8"/>
        <v>TO</v>
      </c>
      <c r="C769" t="str">
        <f t="shared" si="9"/>
        <v>KB</v>
      </c>
      <c r="D769" s="209" t="s">
        <v>1780</v>
      </c>
      <c r="E769" s="5"/>
      <c r="F769" s="185"/>
      <c r="G769" s="456" t="s">
        <v>1842</v>
      </c>
      <c r="H769" s="306" t="s">
        <v>1843</v>
      </c>
      <c r="I769" s="436"/>
      <c r="J769" t="s">
        <v>1844</v>
      </c>
      <c r="K769" t="s">
        <v>1434</v>
      </c>
      <c r="L769" t="s">
        <v>669</v>
      </c>
    </row>
    <row r="770" spans="1:12">
      <c r="A770" s="5">
        <v>769</v>
      </c>
      <c r="B770" t="str">
        <f t="shared" si="8"/>
        <v>TO</v>
      </c>
      <c r="C770" t="str">
        <f t="shared" si="9"/>
        <v>KB</v>
      </c>
      <c r="D770" s="209" t="s">
        <v>1780</v>
      </c>
      <c r="E770" s="5"/>
      <c r="F770" s="185"/>
      <c r="G770" s="456" t="s">
        <v>1842</v>
      </c>
      <c r="H770" s="306" t="s">
        <v>1845</v>
      </c>
      <c r="I770" s="436"/>
      <c r="J770" t="s">
        <v>1846</v>
      </c>
      <c r="K770" t="s">
        <v>1434</v>
      </c>
      <c r="L770" t="s">
        <v>669</v>
      </c>
    </row>
    <row r="771" spans="1:12">
      <c r="A771" s="5">
        <v>770</v>
      </c>
      <c r="B771" t="str">
        <f t="shared" si="8"/>
        <v>TO</v>
      </c>
      <c r="C771" t="str">
        <f t="shared" si="9"/>
        <v>KB</v>
      </c>
      <c r="D771" s="209" t="s">
        <v>1780</v>
      </c>
      <c r="E771" s="5"/>
      <c r="F771" s="185"/>
      <c r="G771" s="456" t="s">
        <v>1842</v>
      </c>
      <c r="H771" s="306" t="s">
        <v>1847</v>
      </c>
      <c r="I771" s="436"/>
      <c r="J771" t="s">
        <v>1848</v>
      </c>
      <c r="K771" t="s">
        <v>1434</v>
      </c>
      <c r="L771" t="s">
        <v>669</v>
      </c>
    </row>
    <row r="772" spans="1:12">
      <c r="A772" s="5">
        <v>771</v>
      </c>
      <c r="B772" t="str">
        <f t="shared" si="8"/>
        <v>TO</v>
      </c>
      <c r="C772" t="str">
        <f t="shared" si="9"/>
        <v>KB</v>
      </c>
      <c r="D772" s="209" t="s">
        <v>1780</v>
      </c>
      <c r="E772" s="5"/>
      <c r="F772" s="185"/>
      <c r="G772" s="456" t="s">
        <v>1842</v>
      </c>
      <c r="H772" s="306" t="s">
        <v>1849</v>
      </c>
      <c r="I772" s="436"/>
      <c r="J772" t="s">
        <v>1850</v>
      </c>
      <c r="K772" t="s">
        <v>1434</v>
      </c>
      <c r="L772" t="s">
        <v>669</v>
      </c>
    </row>
    <row r="773" spans="1:12">
      <c r="A773" s="5">
        <v>772</v>
      </c>
      <c r="B773" t="str">
        <f t="shared" si="8"/>
        <v>TO</v>
      </c>
      <c r="C773" t="str">
        <f t="shared" si="9"/>
        <v>KB</v>
      </c>
      <c r="D773" s="209" t="s">
        <v>1780</v>
      </c>
      <c r="E773" s="5"/>
      <c r="F773" s="185"/>
      <c r="G773" s="456" t="s">
        <v>1842</v>
      </c>
      <c r="H773" s="306" t="s">
        <v>1851</v>
      </c>
      <c r="I773" s="436"/>
      <c r="J773" t="s">
        <v>1852</v>
      </c>
      <c r="K773" t="s">
        <v>1434</v>
      </c>
      <c r="L773" t="s">
        <v>669</v>
      </c>
    </row>
    <row r="774" spans="1:12">
      <c r="A774" s="5">
        <v>773</v>
      </c>
      <c r="B774" t="str">
        <f t="shared" si="8"/>
        <v>TO</v>
      </c>
      <c r="C774" t="str">
        <f t="shared" si="9"/>
        <v>KB</v>
      </c>
      <c r="D774" s="209" t="s">
        <v>1780</v>
      </c>
      <c r="E774" s="5"/>
      <c r="F774" s="185"/>
      <c r="G774" s="456" t="s">
        <v>1842</v>
      </c>
      <c r="H774" s="306" t="s">
        <v>1853</v>
      </c>
      <c r="I774" s="436"/>
      <c r="J774" t="s">
        <v>1854</v>
      </c>
      <c r="K774" t="s">
        <v>1434</v>
      </c>
      <c r="L774" t="s">
        <v>669</v>
      </c>
    </row>
    <row r="775" spans="1:12">
      <c r="A775" s="5">
        <v>774</v>
      </c>
      <c r="B775" t="str">
        <f t="shared" si="8"/>
        <v>TO</v>
      </c>
      <c r="C775" t="str">
        <f t="shared" si="9"/>
        <v>KB</v>
      </c>
      <c r="D775" s="209" t="s">
        <v>1780</v>
      </c>
      <c r="E775" s="5"/>
      <c r="F775" s="185"/>
      <c r="G775" s="456" t="s">
        <v>1842</v>
      </c>
      <c r="H775" s="306" t="s">
        <v>1855</v>
      </c>
      <c r="I775" s="436"/>
      <c r="J775" t="s">
        <v>1856</v>
      </c>
      <c r="K775" t="s">
        <v>659</v>
      </c>
      <c r="L775" t="s">
        <v>669</v>
      </c>
    </row>
    <row r="776" spans="1:12">
      <c r="A776" s="5">
        <v>775</v>
      </c>
      <c r="B776" t="str">
        <f t="shared" si="8"/>
        <v>TO</v>
      </c>
      <c r="C776" t="str">
        <f t="shared" si="9"/>
        <v>KB</v>
      </c>
      <c r="D776" s="209" t="s">
        <v>1780</v>
      </c>
      <c r="E776" s="5"/>
      <c r="F776" s="185"/>
      <c r="G776" s="456" t="s">
        <v>1842</v>
      </c>
      <c r="H776" s="306" t="s">
        <v>1857</v>
      </c>
      <c r="I776" s="436"/>
      <c r="J776" t="s">
        <v>1858</v>
      </c>
      <c r="K776" t="s">
        <v>659</v>
      </c>
      <c r="L776" t="s">
        <v>669</v>
      </c>
    </row>
    <row r="777" spans="1:12">
      <c r="A777" s="5">
        <v>776</v>
      </c>
      <c r="B777" t="str">
        <f t="shared" si="8"/>
        <v>TO</v>
      </c>
      <c r="C777" t="str">
        <f t="shared" si="9"/>
        <v>KB</v>
      </c>
      <c r="D777" s="209" t="s">
        <v>1780</v>
      </c>
      <c r="E777" s="5"/>
      <c r="F777" s="185"/>
      <c r="G777" s="456" t="s">
        <v>1842</v>
      </c>
      <c r="H777" s="306" t="s">
        <v>1859</v>
      </c>
      <c r="I777" s="436"/>
      <c r="J777" t="s">
        <v>1860</v>
      </c>
      <c r="K777" t="s">
        <v>659</v>
      </c>
      <c r="L777" t="s">
        <v>669</v>
      </c>
    </row>
    <row r="778" spans="1:12">
      <c r="A778" s="5">
        <v>777</v>
      </c>
      <c r="B778" t="str">
        <f t="shared" si="8"/>
        <v>TO</v>
      </c>
      <c r="C778" t="str">
        <f t="shared" si="9"/>
        <v>KB</v>
      </c>
      <c r="D778" s="209" t="s">
        <v>1780</v>
      </c>
      <c r="E778" s="5"/>
      <c r="F778" s="185"/>
      <c r="G778" s="456" t="s">
        <v>1842</v>
      </c>
      <c r="H778" s="306" t="s">
        <v>1861</v>
      </c>
      <c r="I778" s="436"/>
      <c r="J778" t="s">
        <v>1862</v>
      </c>
      <c r="K778" t="s">
        <v>1434</v>
      </c>
      <c r="L778" t="s">
        <v>669</v>
      </c>
    </row>
    <row r="779" spans="1:12">
      <c r="A779" s="5">
        <v>778</v>
      </c>
      <c r="B779" t="str">
        <f t="shared" si="8"/>
        <v>TO</v>
      </c>
      <c r="C779" t="str">
        <f t="shared" si="9"/>
        <v>KB</v>
      </c>
      <c r="D779" s="209" t="s">
        <v>1780</v>
      </c>
      <c r="E779" s="5"/>
      <c r="F779" s="185"/>
      <c r="G779" s="456" t="s">
        <v>1863</v>
      </c>
      <c r="H779" s="306" t="s">
        <v>1436</v>
      </c>
      <c r="I779" s="436"/>
      <c r="J779" t="s">
        <v>1437</v>
      </c>
      <c r="K779" t="s">
        <v>659</v>
      </c>
      <c r="L779" t="s">
        <v>669</v>
      </c>
    </row>
    <row r="780" spans="1:12">
      <c r="A780" s="5">
        <v>779</v>
      </c>
      <c r="B780" t="str">
        <f t="shared" si="8"/>
        <v>TO</v>
      </c>
      <c r="C780" t="str">
        <f t="shared" si="9"/>
        <v>KB</v>
      </c>
      <c r="D780" s="209" t="s">
        <v>1780</v>
      </c>
      <c r="E780" s="5"/>
      <c r="F780" s="185"/>
      <c r="G780" s="456" t="s">
        <v>1863</v>
      </c>
      <c r="H780" s="306" t="s">
        <v>1438</v>
      </c>
      <c r="I780" s="436"/>
      <c r="J780" t="s">
        <v>1439</v>
      </c>
      <c r="K780" t="s">
        <v>659</v>
      </c>
      <c r="L780" t="s">
        <v>669</v>
      </c>
    </row>
    <row r="781" spans="1:12">
      <c r="A781" s="5">
        <v>780</v>
      </c>
      <c r="B781" t="str">
        <f t="shared" si="8"/>
        <v>TO</v>
      </c>
      <c r="C781" t="str">
        <f t="shared" si="9"/>
        <v>KB</v>
      </c>
      <c r="D781" s="209" t="s">
        <v>1780</v>
      </c>
      <c r="E781" s="5"/>
      <c r="F781" s="185"/>
      <c r="G781" s="456" t="s">
        <v>1863</v>
      </c>
      <c r="H781" s="306" t="s">
        <v>1864</v>
      </c>
      <c r="I781" s="436"/>
      <c r="J781" t="s">
        <v>1865</v>
      </c>
      <c r="K781" t="s">
        <v>1434</v>
      </c>
      <c r="L781" t="s">
        <v>669</v>
      </c>
    </row>
    <row r="782" spans="1:12">
      <c r="A782" s="5">
        <v>781</v>
      </c>
      <c r="B782" t="str">
        <f t="shared" si="8"/>
        <v>TO</v>
      </c>
      <c r="C782" t="str">
        <f t="shared" si="9"/>
        <v>KB</v>
      </c>
      <c r="D782" s="209" t="s">
        <v>1780</v>
      </c>
      <c r="E782" s="5"/>
      <c r="F782" s="185"/>
      <c r="G782" s="456" t="s">
        <v>1863</v>
      </c>
      <c r="H782" s="306" t="s">
        <v>1444</v>
      </c>
      <c r="I782" s="436"/>
      <c r="J782" t="s">
        <v>1445</v>
      </c>
      <c r="K782" t="s">
        <v>659</v>
      </c>
      <c r="L782" t="s">
        <v>669</v>
      </c>
    </row>
    <row r="783" spans="1:12">
      <c r="A783" s="5">
        <v>782</v>
      </c>
      <c r="B783" t="str">
        <f t="shared" si="8"/>
        <v>TO</v>
      </c>
      <c r="C783" t="str">
        <f t="shared" si="9"/>
        <v>KB</v>
      </c>
      <c r="D783" s="209" t="s">
        <v>1780</v>
      </c>
      <c r="E783" s="5"/>
      <c r="F783" s="185"/>
      <c r="G783" s="456" t="s">
        <v>1863</v>
      </c>
      <c r="H783" s="306" t="s">
        <v>1433</v>
      </c>
      <c r="I783" s="436"/>
      <c r="J783" t="s">
        <v>1866</v>
      </c>
      <c r="K783" t="s">
        <v>659</v>
      </c>
      <c r="L783" t="s">
        <v>669</v>
      </c>
    </row>
    <row r="784" spans="1:12" ht="36">
      <c r="A784" s="5">
        <v>783</v>
      </c>
      <c r="B784" t="str">
        <f t="shared" si="8"/>
        <v>TO</v>
      </c>
      <c r="C784" t="str">
        <f t="shared" si="9"/>
        <v>KB</v>
      </c>
      <c r="D784" s="209" t="s">
        <v>1780</v>
      </c>
      <c r="E784" s="5"/>
      <c r="F784" s="185"/>
      <c r="G784" s="456" t="s">
        <v>1863</v>
      </c>
      <c r="H784" s="306" t="s">
        <v>1867</v>
      </c>
      <c r="I784" s="436"/>
      <c r="J784" t="s">
        <v>1868</v>
      </c>
      <c r="K784" t="s">
        <v>1434</v>
      </c>
      <c r="L784" t="s">
        <v>669</v>
      </c>
    </row>
    <row r="785" spans="1:12">
      <c r="A785" s="5">
        <v>784</v>
      </c>
      <c r="B785" t="str">
        <f t="shared" si="8"/>
        <v>TO</v>
      </c>
      <c r="C785" t="str">
        <f t="shared" si="9"/>
        <v>KB</v>
      </c>
      <c r="D785" s="209" t="s">
        <v>1780</v>
      </c>
      <c r="E785" s="5"/>
      <c r="F785" s="185"/>
      <c r="G785" s="456" t="s">
        <v>1863</v>
      </c>
      <c r="H785" s="306" t="s">
        <v>1869</v>
      </c>
      <c r="I785" s="436"/>
      <c r="J785" t="s">
        <v>1870</v>
      </c>
      <c r="K785" t="s">
        <v>659</v>
      </c>
      <c r="L785" t="s">
        <v>669</v>
      </c>
    </row>
    <row r="786" spans="1:12">
      <c r="A786" s="5">
        <v>785</v>
      </c>
      <c r="B786" t="str">
        <f t="shared" si="8"/>
        <v>TO</v>
      </c>
      <c r="C786" t="str">
        <f t="shared" si="9"/>
        <v>KB</v>
      </c>
      <c r="D786" s="209" t="s">
        <v>1780</v>
      </c>
      <c r="E786" s="5"/>
      <c r="F786" s="185"/>
      <c r="G786" s="456" t="s">
        <v>1871</v>
      </c>
      <c r="H786" s="306" t="s">
        <v>1334</v>
      </c>
      <c r="I786" s="436"/>
      <c r="J786" t="s">
        <v>1335</v>
      </c>
      <c r="K786" t="s">
        <v>659</v>
      </c>
      <c r="L786" t="s">
        <v>669</v>
      </c>
    </row>
    <row r="787" spans="1:12">
      <c r="A787" s="5">
        <v>786</v>
      </c>
      <c r="B787" t="str">
        <f t="shared" si="8"/>
        <v>TO</v>
      </c>
      <c r="C787" t="str">
        <f t="shared" si="9"/>
        <v>KB</v>
      </c>
      <c r="D787" s="209" t="s">
        <v>1780</v>
      </c>
      <c r="E787" s="5"/>
      <c r="F787" s="185"/>
      <c r="G787" s="456" t="s">
        <v>1871</v>
      </c>
      <c r="H787" s="306" t="s">
        <v>1336</v>
      </c>
      <c r="I787" s="436"/>
      <c r="J787" t="s">
        <v>1337</v>
      </c>
      <c r="K787" t="s">
        <v>659</v>
      </c>
      <c r="L787" t="s">
        <v>669</v>
      </c>
    </row>
    <row r="788" spans="1:12">
      <c r="A788" s="5">
        <v>787</v>
      </c>
      <c r="B788" t="str">
        <f t="shared" si="8"/>
        <v>TO</v>
      </c>
      <c r="C788" t="str">
        <f t="shared" si="9"/>
        <v>KB</v>
      </c>
      <c r="D788" s="209" t="s">
        <v>1780</v>
      </c>
      <c r="E788" s="5"/>
      <c r="F788" s="185"/>
      <c r="G788" s="456" t="s">
        <v>1871</v>
      </c>
      <c r="H788" s="306" t="s">
        <v>1352</v>
      </c>
      <c r="I788" s="436"/>
      <c r="J788" t="s">
        <v>1353</v>
      </c>
      <c r="K788" t="s">
        <v>659</v>
      </c>
      <c r="L788" t="s">
        <v>669</v>
      </c>
    </row>
    <row r="789" spans="1:12">
      <c r="A789" s="5">
        <v>788</v>
      </c>
      <c r="B789" t="str">
        <f t="shared" si="8"/>
        <v>TO</v>
      </c>
      <c r="C789" t="str">
        <f t="shared" si="9"/>
        <v>KB</v>
      </c>
      <c r="D789" s="209" t="s">
        <v>1780</v>
      </c>
      <c r="E789" s="5"/>
      <c r="F789" s="185"/>
      <c r="G789" s="456" t="s">
        <v>1871</v>
      </c>
      <c r="H789" s="306" t="s">
        <v>1872</v>
      </c>
      <c r="I789" s="436"/>
      <c r="J789" t="s">
        <v>1873</v>
      </c>
      <c r="K789" t="s">
        <v>1434</v>
      </c>
      <c r="L789" t="s">
        <v>669</v>
      </c>
    </row>
    <row r="790" spans="1:12" ht="36">
      <c r="A790" s="5">
        <v>789</v>
      </c>
      <c r="B790" t="str">
        <f t="shared" si="8"/>
        <v>TO</v>
      </c>
      <c r="C790" t="str">
        <f t="shared" si="9"/>
        <v>KB</v>
      </c>
      <c r="D790" s="209" t="s">
        <v>1780</v>
      </c>
      <c r="E790" s="5"/>
      <c r="F790" s="185"/>
      <c r="G790" s="456" t="s">
        <v>1871</v>
      </c>
      <c r="H790" s="306" t="s">
        <v>1466</v>
      </c>
      <c r="I790" s="436"/>
      <c r="J790" t="s">
        <v>1467</v>
      </c>
      <c r="K790" t="s">
        <v>659</v>
      </c>
      <c r="L790" t="s">
        <v>669</v>
      </c>
    </row>
    <row r="791" spans="1:12">
      <c r="A791" s="5">
        <v>790</v>
      </c>
      <c r="B791" t="str">
        <f t="shared" ref="B791:B812" si="10">MID(G791,8,2)</f>
        <v>TO</v>
      </c>
      <c r="C791" t="str">
        <f t="shared" ref="C791:C812" si="11">MID(G791,11,2)</f>
        <v>KB</v>
      </c>
      <c r="D791" s="209" t="s">
        <v>1780</v>
      </c>
      <c r="E791" s="5"/>
      <c r="F791" s="185"/>
      <c r="G791" s="456" t="s">
        <v>1871</v>
      </c>
      <c r="H791" s="306" t="s">
        <v>1389</v>
      </c>
      <c r="I791" s="436"/>
      <c r="J791" t="s">
        <v>1390</v>
      </c>
      <c r="K791" t="s">
        <v>659</v>
      </c>
      <c r="L791" t="s">
        <v>669</v>
      </c>
    </row>
    <row r="792" spans="1:12">
      <c r="A792" s="5">
        <v>791</v>
      </c>
      <c r="B792" t="str">
        <f t="shared" si="10"/>
        <v>TO</v>
      </c>
      <c r="C792" t="str">
        <f t="shared" si="11"/>
        <v>KB</v>
      </c>
      <c r="D792" s="209" t="s">
        <v>1780</v>
      </c>
      <c r="E792" s="5"/>
      <c r="F792" s="185"/>
      <c r="G792" s="456" t="s">
        <v>1871</v>
      </c>
      <c r="H792" s="306" t="s">
        <v>1471</v>
      </c>
      <c r="I792" s="436"/>
      <c r="J792" t="s">
        <v>1392</v>
      </c>
      <c r="K792" t="s">
        <v>659</v>
      </c>
      <c r="L792" t="s">
        <v>669</v>
      </c>
    </row>
    <row r="793" spans="1:12">
      <c r="A793" s="5">
        <v>792</v>
      </c>
      <c r="B793" t="str">
        <f t="shared" si="10"/>
        <v>TO</v>
      </c>
      <c r="C793" t="str">
        <f t="shared" si="11"/>
        <v>KB</v>
      </c>
      <c r="D793" s="209" t="s">
        <v>1780</v>
      </c>
      <c r="E793" s="5"/>
      <c r="F793" s="185"/>
      <c r="G793" s="456" t="s">
        <v>1871</v>
      </c>
      <c r="H793" s="306" t="s">
        <v>1874</v>
      </c>
      <c r="I793" s="436"/>
      <c r="J793" t="s">
        <v>1875</v>
      </c>
      <c r="K793" t="s">
        <v>1434</v>
      </c>
      <c r="L793" t="s">
        <v>669</v>
      </c>
    </row>
    <row r="794" spans="1:12" ht="36">
      <c r="A794" s="5">
        <v>793</v>
      </c>
      <c r="B794" s="9" t="str">
        <f t="shared" si="10"/>
        <v>TO</v>
      </c>
      <c r="C794" s="9" t="str">
        <f t="shared" si="11"/>
        <v>KB</v>
      </c>
      <c r="D794" s="186" t="s">
        <v>1684</v>
      </c>
      <c r="E794" s="5"/>
      <c r="F794" s="9"/>
      <c r="G794" s="6" t="s">
        <v>1876</v>
      </c>
      <c r="H794" s="311" t="s">
        <v>1877</v>
      </c>
      <c r="I794" s="442"/>
      <c r="J794" t="s">
        <v>1878</v>
      </c>
      <c r="K794" t="s">
        <v>659</v>
      </c>
      <c r="L794" t="s">
        <v>669</v>
      </c>
    </row>
    <row r="795" spans="1:12" ht="36">
      <c r="A795" s="5">
        <v>794</v>
      </c>
      <c r="B795" s="9" t="str">
        <f t="shared" si="10"/>
        <v>TO</v>
      </c>
      <c r="C795" s="9" t="str">
        <f t="shared" si="11"/>
        <v>KB</v>
      </c>
      <c r="D795" s="186" t="s">
        <v>1684</v>
      </c>
      <c r="E795" s="5"/>
      <c r="F795" s="9"/>
      <c r="G795" s="6" t="s">
        <v>1876</v>
      </c>
      <c r="H795" s="311" t="s">
        <v>1063</v>
      </c>
      <c r="I795" s="442"/>
      <c r="J795" t="s">
        <v>1879</v>
      </c>
      <c r="K795" t="s">
        <v>659</v>
      </c>
      <c r="L795" t="s">
        <v>669</v>
      </c>
    </row>
    <row r="796" spans="1:12" ht="36">
      <c r="A796" s="5">
        <v>795</v>
      </c>
      <c r="B796" s="9" t="str">
        <f t="shared" si="10"/>
        <v>TO</v>
      </c>
      <c r="C796" s="9" t="str">
        <f t="shared" si="11"/>
        <v>KB</v>
      </c>
      <c r="D796" s="186" t="s">
        <v>1684</v>
      </c>
      <c r="E796" s="5"/>
      <c r="F796" s="9"/>
      <c r="G796" s="6" t="s">
        <v>366</v>
      </c>
      <c r="H796" s="311" t="s">
        <v>1033</v>
      </c>
      <c r="I796" s="442"/>
      <c r="J796" t="s">
        <v>1370</v>
      </c>
      <c r="K796" t="s">
        <v>659</v>
      </c>
      <c r="L796" t="s">
        <v>669</v>
      </c>
    </row>
    <row r="797" spans="1:12" ht="36">
      <c r="A797" s="5">
        <v>796</v>
      </c>
      <c r="B797" s="9" t="str">
        <f t="shared" si="10"/>
        <v>TO</v>
      </c>
      <c r="C797" s="9" t="str">
        <f t="shared" si="11"/>
        <v>KB</v>
      </c>
      <c r="D797" s="186" t="s">
        <v>1684</v>
      </c>
      <c r="E797" s="5"/>
      <c r="F797" s="9"/>
      <c r="G797" s="6" t="s">
        <v>366</v>
      </c>
      <c r="H797" s="311" t="s">
        <v>1034</v>
      </c>
      <c r="I797" s="442"/>
      <c r="J797" t="s">
        <v>1880</v>
      </c>
      <c r="K797" t="s">
        <v>659</v>
      </c>
      <c r="L797" t="s">
        <v>669</v>
      </c>
    </row>
    <row r="798" spans="1:12" ht="36">
      <c r="A798" s="5">
        <v>797</v>
      </c>
      <c r="B798" s="9" t="str">
        <f t="shared" si="10"/>
        <v>TO</v>
      </c>
      <c r="C798" s="9" t="str">
        <f t="shared" si="11"/>
        <v>KB</v>
      </c>
      <c r="D798" s="186" t="s">
        <v>1684</v>
      </c>
      <c r="E798" s="5"/>
      <c r="F798" s="9"/>
      <c r="G798" s="6" t="s">
        <v>366</v>
      </c>
      <c r="H798" s="311" t="s">
        <v>1046</v>
      </c>
      <c r="I798" s="442"/>
      <c r="J798" t="s">
        <v>1881</v>
      </c>
      <c r="K798" t="s">
        <v>659</v>
      </c>
      <c r="L798" t="s">
        <v>669</v>
      </c>
    </row>
    <row r="799" spans="1:12" ht="36">
      <c r="A799" s="5">
        <v>798</v>
      </c>
      <c r="B799" s="9" t="str">
        <f t="shared" si="10"/>
        <v>TO</v>
      </c>
      <c r="C799" s="9" t="str">
        <f t="shared" si="11"/>
        <v>KB</v>
      </c>
      <c r="D799" s="186" t="s">
        <v>1684</v>
      </c>
      <c r="E799" s="5"/>
      <c r="F799" s="9"/>
      <c r="G799" s="6" t="s">
        <v>366</v>
      </c>
      <c r="H799" s="311" t="s">
        <v>1882</v>
      </c>
      <c r="I799" s="442"/>
      <c r="J799" t="s">
        <v>1883</v>
      </c>
      <c r="K799" t="s">
        <v>659</v>
      </c>
      <c r="L799" t="s">
        <v>669</v>
      </c>
    </row>
    <row r="800" spans="1:12" ht="36">
      <c r="A800" s="5">
        <v>799</v>
      </c>
      <c r="B800" s="9" t="str">
        <f t="shared" si="10"/>
        <v>TO</v>
      </c>
      <c r="C800" s="9" t="str">
        <f t="shared" si="11"/>
        <v>KB</v>
      </c>
      <c r="D800" s="186" t="s">
        <v>1684</v>
      </c>
      <c r="E800" s="5"/>
      <c r="F800" s="9"/>
      <c r="G800" s="6" t="s">
        <v>366</v>
      </c>
      <c r="H800" s="311" t="s">
        <v>1052</v>
      </c>
      <c r="I800" s="442"/>
      <c r="J800" t="s">
        <v>1884</v>
      </c>
      <c r="K800" t="s">
        <v>659</v>
      </c>
      <c r="L800" t="s">
        <v>669</v>
      </c>
    </row>
    <row r="801" spans="1:12" ht="36">
      <c r="A801" s="5">
        <v>800</v>
      </c>
      <c r="B801" s="9" t="str">
        <f t="shared" si="10"/>
        <v>TO</v>
      </c>
      <c r="C801" s="9" t="str">
        <f t="shared" si="11"/>
        <v>KB</v>
      </c>
      <c r="D801" s="186" t="s">
        <v>1684</v>
      </c>
      <c r="E801" s="5"/>
      <c r="F801" s="9"/>
      <c r="G801" s="6" t="s">
        <v>366</v>
      </c>
      <c r="H801" s="311" t="s">
        <v>1055</v>
      </c>
      <c r="I801" s="442"/>
      <c r="J801" t="s">
        <v>1885</v>
      </c>
      <c r="K801" t="s">
        <v>659</v>
      </c>
      <c r="L801" t="s">
        <v>669</v>
      </c>
    </row>
    <row r="802" spans="1:12" ht="36">
      <c r="A802" s="5">
        <v>801</v>
      </c>
      <c r="B802" s="9" t="str">
        <f t="shared" si="10"/>
        <v>TO</v>
      </c>
      <c r="C802" s="9" t="str">
        <f t="shared" si="11"/>
        <v>KB</v>
      </c>
      <c r="D802" s="186" t="s">
        <v>1684</v>
      </c>
      <c r="E802" s="5"/>
      <c r="F802" s="9"/>
      <c r="G802" s="6" t="s">
        <v>366</v>
      </c>
      <c r="H802" s="311" t="s">
        <v>1886</v>
      </c>
      <c r="I802" s="442"/>
      <c r="J802" t="s">
        <v>1887</v>
      </c>
      <c r="K802" t="s">
        <v>659</v>
      </c>
      <c r="L802" t="s">
        <v>669</v>
      </c>
    </row>
    <row r="803" spans="1:12" ht="36">
      <c r="A803" s="5">
        <v>802</v>
      </c>
      <c r="B803" s="9" t="str">
        <f t="shared" si="10"/>
        <v>TO</v>
      </c>
      <c r="C803" s="9" t="str">
        <f t="shared" si="11"/>
        <v>KB</v>
      </c>
      <c r="D803" s="186" t="s">
        <v>1684</v>
      </c>
      <c r="E803" s="5"/>
      <c r="F803" s="9"/>
      <c r="G803" s="6" t="s">
        <v>366</v>
      </c>
      <c r="H803" s="311" t="s">
        <v>1061</v>
      </c>
      <c r="I803" s="442"/>
      <c r="J803" t="s">
        <v>1481</v>
      </c>
      <c r="K803" t="s">
        <v>659</v>
      </c>
      <c r="L803" t="s">
        <v>669</v>
      </c>
    </row>
    <row r="804" spans="1:12" ht="36">
      <c r="A804" s="5">
        <v>803</v>
      </c>
      <c r="B804" s="9" t="str">
        <f t="shared" si="10"/>
        <v>TO</v>
      </c>
      <c r="C804" s="9" t="str">
        <f t="shared" si="11"/>
        <v>KB</v>
      </c>
      <c r="D804" s="186" t="s">
        <v>1684</v>
      </c>
      <c r="E804" s="5"/>
      <c r="F804" s="9"/>
      <c r="G804" s="6" t="s">
        <v>366</v>
      </c>
      <c r="H804" s="311" t="s">
        <v>1888</v>
      </c>
      <c r="I804" s="442"/>
      <c r="J804" t="s">
        <v>1889</v>
      </c>
      <c r="K804" t="s">
        <v>659</v>
      </c>
      <c r="L804" t="s">
        <v>669</v>
      </c>
    </row>
    <row r="805" spans="1:12" ht="36">
      <c r="A805" s="5">
        <v>804</v>
      </c>
      <c r="B805" s="9" t="str">
        <f t="shared" si="10"/>
        <v>TO</v>
      </c>
      <c r="C805" s="9" t="str">
        <f t="shared" si="11"/>
        <v>KB</v>
      </c>
      <c r="D805" s="186" t="s">
        <v>1684</v>
      </c>
      <c r="E805" s="5"/>
      <c r="F805" s="9"/>
      <c r="G805" s="6" t="s">
        <v>366</v>
      </c>
      <c r="H805" s="311" t="s">
        <v>1890</v>
      </c>
      <c r="I805" s="442"/>
      <c r="J805" t="s">
        <v>1891</v>
      </c>
      <c r="K805" t="s">
        <v>659</v>
      </c>
      <c r="L805" t="s">
        <v>669</v>
      </c>
    </row>
    <row r="806" spans="1:12">
      <c r="A806" s="5">
        <v>805</v>
      </c>
      <c r="B806" t="str">
        <f t="shared" si="10"/>
        <v>TO</v>
      </c>
      <c r="C806" t="str">
        <f t="shared" si="11"/>
        <v>KB</v>
      </c>
      <c r="D806" s="5" t="s">
        <v>1684</v>
      </c>
      <c r="E806" s="5"/>
      <c r="G806" s="272" t="s">
        <v>1892</v>
      </c>
      <c r="H806" s="316" t="s">
        <v>266</v>
      </c>
      <c r="I806" s="443"/>
      <c r="K806" t="s">
        <v>1434</v>
      </c>
      <c r="L806" t="s">
        <v>669</v>
      </c>
    </row>
    <row r="807" spans="1:12">
      <c r="A807" s="5">
        <v>806</v>
      </c>
      <c r="B807" t="str">
        <f t="shared" si="10"/>
        <v>TO</v>
      </c>
      <c r="C807" t="str">
        <f t="shared" si="11"/>
        <v>KB</v>
      </c>
      <c r="D807" s="5" t="s">
        <v>1684</v>
      </c>
      <c r="E807" s="5"/>
      <c r="G807" s="272" t="s">
        <v>1893</v>
      </c>
      <c r="H807" s="316" t="s">
        <v>1894</v>
      </c>
      <c r="I807" s="443"/>
      <c r="J807" t="s">
        <v>1895</v>
      </c>
      <c r="K807" t="s">
        <v>659</v>
      </c>
      <c r="L807" t="s">
        <v>669</v>
      </c>
    </row>
    <row r="808" spans="1:12">
      <c r="A808" s="5">
        <v>807</v>
      </c>
      <c r="B808" t="str">
        <f t="shared" si="10"/>
        <v>TO</v>
      </c>
      <c r="C808" t="str">
        <f t="shared" si="11"/>
        <v>KB</v>
      </c>
      <c r="D808" s="5" t="s">
        <v>1684</v>
      </c>
      <c r="E808" s="5"/>
      <c r="G808" s="4" t="s">
        <v>1893</v>
      </c>
      <c r="H808" s="306" t="s">
        <v>1896</v>
      </c>
      <c r="J808" t="s">
        <v>1897</v>
      </c>
      <c r="K808" t="s">
        <v>659</v>
      </c>
      <c r="L808" t="s">
        <v>669</v>
      </c>
    </row>
    <row r="809" spans="1:12">
      <c r="A809" s="5">
        <v>808</v>
      </c>
      <c r="B809" t="str">
        <f t="shared" si="10"/>
        <v>TO</v>
      </c>
      <c r="C809" t="str">
        <f t="shared" si="11"/>
        <v>KB</v>
      </c>
      <c r="D809" s="5" t="s">
        <v>1684</v>
      </c>
      <c r="E809" s="5"/>
      <c r="G809" s="4" t="s">
        <v>1893</v>
      </c>
      <c r="H809" s="306" t="s">
        <v>1898</v>
      </c>
      <c r="J809" t="s">
        <v>1899</v>
      </c>
      <c r="K809" t="s">
        <v>1434</v>
      </c>
      <c r="L809" t="s">
        <v>669</v>
      </c>
    </row>
    <row r="810" spans="1:12">
      <c r="A810" s="5">
        <v>809</v>
      </c>
      <c r="B810" t="str">
        <f t="shared" si="10"/>
        <v>TO</v>
      </c>
      <c r="C810" t="str">
        <f t="shared" si="11"/>
        <v>KB</v>
      </c>
      <c r="D810" s="5" t="s">
        <v>1684</v>
      </c>
      <c r="E810" s="5"/>
      <c r="G810" s="4" t="s">
        <v>1893</v>
      </c>
      <c r="H810" s="306" t="s">
        <v>1900</v>
      </c>
      <c r="J810" t="s">
        <v>1901</v>
      </c>
      <c r="K810" t="s">
        <v>659</v>
      </c>
      <c r="L810" t="s">
        <v>669</v>
      </c>
    </row>
    <row r="811" spans="1:12">
      <c r="A811" s="5">
        <v>810</v>
      </c>
      <c r="B811" t="str">
        <f t="shared" si="10"/>
        <v>TO</v>
      </c>
      <c r="C811" t="str">
        <f t="shared" si="11"/>
        <v>KB</v>
      </c>
      <c r="D811" s="5" t="s">
        <v>1684</v>
      </c>
      <c r="E811" s="5"/>
      <c r="G811" s="4" t="s">
        <v>1893</v>
      </c>
      <c r="H811" s="306" t="s">
        <v>1902</v>
      </c>
      <c r="J811" t="s">
        <v>1903</v>
      </c>
      <c r="K811" t="s">
        <v>659</v>
      </c>
      <c r="L811" t="s">
        <v>669</v>
      </c>
    </row>
    <row r="812" spans="1:12">
      <c r="A812" s="5">
        <v>811</v>
      </c>
      <c r="B812" t="str">
        <f t="shared" si="10"/>
        <v>TO</v>
      </c>
      <c r="C812" t="str">
        <f t="shared" si="11"/>
        <v>KB</v>
      </c>
      <c r="D812" s="5" t="s">
        <v>1684</v>
      </c>
      <c r="E812" s="5"/>
      <c r="G812" s="4" t="s">
        <v>1893</v>
      </c>
      <c r="H812" s="306" t="s">
        <v>1904</v>
      </c>
      <c r="J812" t="s">
        <v>1905</v>
      </c>
      <c r="K812" t="s">
        <v>1434</v>
      </c>
      <c r="L812" t="s">
        <v>669</v>
      </c>
    </row>
    <row r="813" spans="1:12">
      <c r="A813" s="5">
        <v>812</v>
      </c>
      <c r="B813" t="s">
        <v>1906</v>
      </c>
      <c r="C813" t="s">
        <v>112</v>
      </c>
      <c r="D813" s="5" t="s">
        <v>1684</v>
      </c>
      <c r="E813" s="5"/>
      <c r="G813" s="4" t="s">
        <v>1907</v>
      </c>
      <c r="H813" s="306" t="s">
        <v>1908</v>
      </c>
      <c r="J813" t="s">
        <v>1800</v>
      </c>
      <c r="K813" t="s">
        <v>1434</v>
      </c>
      <c r="L813" t="s">
        <v>669</v>
      </c>
    </row>
    <row r="814" spans="1:12">
      <c r="A814" s="5">
        <v>813</v>
      </c>
      <c r="B814" t="s">
        <v>1906</v>
      </c>
      <c r="C814" t="s">
        <v>112</v>
      </c>
      <c r="D814" s="5" t="s">
        <v>1684</v>
      </c>
      <c r="E814" s="5"/>
      <c r="G814" s="4" t="s">
        <v>1907</v>
      </c>
      <c r="H814" s="306" t="s">
        <v>1909</v>
      </c>
      <c r="J814" t="s">
        <v>1355</v>
      </c>
      <c r="K814" t="s">
        <v>1434</v>
      </c>
      <c r="L814" t="s">
        <v>669</v>
      </c>
    </row>
    <row r="815" spans="1:12">
      <c r="A815" s="5">
        <v>814</v>
      </c>
      <c r="B815" t="s">
        <v>1906</v>
      </c>
      <c r="C815" t="s">
        <v>112</v>
      </c>
      <c r="D815" s="5" t="s">
        <v>1684</v>
      </c>
      <c r="E815" s="5"/>
      <c r="G815" s="4" t="s">
        <v>1907</v>
      </c>
      <c r="H815" s="306" t="s">
        <v>1910</v>
      </c>
      <c r="J815" t="s">
        <v>1911</v>
      </c>
      <c r="K815" t="s">
        <v>1434</v>
      </c>
      <c r="L815" t="s">
        <v>669</v>
      </c>
    </row>
    <row r="816" spans="1:12">
      <c r="A816" s="5">
        <v>815</v>
      </c>
      <c r="B816" t="s">
        <v>1906</v>
      </c>
      <c r="C816" t="s">
        <v>112</v>
      </c>
      <c r="D816" s="5" t="s">
        <v>1684</v>
      </c>
      <c r="E816" s="5"/>
      <c r="G816" s="4" t="s">
        <v>1907</v>
      </c>
      <c r="H816" s="306" t="s">
        <v>1912</v>
      </c>
      <c r="J816" t="s">
        <v>1913</v>
      </c>
      <c r="K816" t="s">
        <v>1434</v>
      </c>
      <c r="L816" t="s">
        <v>669</v>
      </c>
    </row>
    <row r="817" spans="1:12">
      <c r="A817" s="5">
        <v>816</v>
      </c>
      <c r="B817" t="s">
        <v>1906</v>
      </c>
      <c r="C817" t="s">
        <v>112</v>
      </c>
      <c r="D817" s="5" t="s">
        <v>1684</v>
      </c>
      <c r="E817" s="5"/>
      <c r="G817" s="4" t="s">
        <v>1907</v>
      </c>
      <c r="H817" s="306" t="s">
        <v>1914</v>
      </c>
      <c r="J817" t="s">
        <v>1813</v>
      </c>
      <c r="K817" t="s">
        <v>1434</v>
      </c>
      <c r="L817" t="s">
        <v>669</v>
      </c>
    </row>
    <row r="818" spans="1:12">
      <c r="A818" s="5">
        <v>817</v>
      </c>
      <c r="B818" t="s">
        <v>1906</v>
      </c>
      <c r="C818" t="s">
        <v>112</v>
      </c>
      <c r="D818" s="5" t="s">
        <v>1684</v>
      </c>
      <c r="E818" s="5"/>
      <c r="G818" s="4" t="s">
        <v>1907</v>
      </c>
      <c r="H818" s="306" t="s">
        <v>1915</v>
      </c>
      <c r="J818" t="s">
        <v>1916</v>
      </c>
      <c r="K818" t="s">
        <v>1434</v>
      </c>
      <c r="L818" t="s">
        <v>669</v>
      </c>
    </row>
    <row r="819" spans="1:12">
      <c r="A819" s="5">
        <v>818</v>
      </c>
      <c r="B819" t="s">
        <v>1906</v>
      </c>
      <c r="C819" t="s">
        <v>112</v>
      </c>
      <c r="D819" s="5" t="s">
        <v>1684</v>
      </c>
      <c r="E819" s="5"/>
      <c r="G819" s="4" t="s">
        <v>1907</v>
      </c>
      <c r="H819" s="306" t="s">
        <v>1917</v>
      </c>
      <c r="J819" t="s">
        <v>1918</v>
      </c>
      <c r="K819" t="s">
        <v>1434</v>
      </c>
      <c r="L819" t="s">
        <v>669</v>
      </c>
    </row>
    <row r="820" spans="1:12">
      <c r="A820" s="5">
        <v>819</v>
      </c>
      <c r="B820" t="s">
        <v>1906</v>
      </c>
      <c r="C820" t="s">
        <v>112</v>
      </c>
      <c r="D820" s="5" t="s">
        <v>1684</v>
      </c>
      <c r="E820" s="5"/>
      <c r="G820" s="4" t="s">
        <v>1907</v>
      </c>
      <c r="H820" s="306" t="s">
        <v>1919</v>
      </c>
      <c r="J820" t="s">
        <v>1920</v>
      </c>
      <c r="K820" t="s">
        <v>1434</v>
      </c>
      <c r="L820" t="s">
        <v>669</v>
      </c>
    </row>
    <row r="821" spans="1:12">
      <c r="A821" s="5">
        <v>820</v>
      </c>
      <c r="B821" t="s">
        <v>1906</v>
      </c>
      <c r="C821" t="s">
        <v>112</v>
      </c>
      <c r="D821" s="5" t="s">
        <v>1684</v>
      </c>
      <c r="E821" s="5"/>
      <c r="G821" s="4" t="s">
        <v>1907</v>
      </c>
      <c r="H821" s="306" t="s">
        <v>1921</v>
      </c>
      <c r="J821" t="s">
        <v>1922</v>
      </c>
      <c r="K821" t="s">
        <v>1434</v>
      </c>
      <c r="L821" t="s">
        <v>669</v>
      </c>
    </row>
    <row r="822" spans="1:12">
      <c r="A822" s="5">
        <v>821</v>
      </c>
      <c r="B822" t="s">
        <v>1906</v>
      </c>
      <c r="C822" t="s">
        <v>112</v>
      </c>
      <c r="D822" s="5" t="s">
        <v>1684</v>
      </c>
      <c r="E822" s="5"/>
      <c r="G822" s="4" t="s">
        <v>1907</v>
      </c>
      <c r="H822" s="306" t="s">
        <v>1923</v>
      </c>
      <c r="J822" t="s">
        <v>1292</v>
      </c>
      <c r="K822" t="s">
        <v>1434</v>
      </c>
      <c r="L822" t="s">
        <v>669</v>
      </c>
    </row>
    <row r="823" spans="1:12">
      <c r="A823" s="5">
        <v>822</v>
      </c>
      <c r="B823" t="s">
        <v>1906</v>
      </c>
      <c r="C823" t="s">
        <v>112</v>
      </c>
      <c r="D823" s="5" t="s">
        <v>1684</v>
      </c>
      <c r="E823" s="5"/>
      <c r="G823" s="4" t="s">
        <v>1907</v>
      </c>
      <c r="H823" s="306" t="s">
        <v>1924</v>
      </c>
      <c r="J823" t="s">
        <v>1925</v>
      </c>
      <c r="K823" t="s">
        <v>1434</v>
      </c>
      <c r="L823" t="s">
        <v>669</v>
      </c>
    </row>
    <row r="824" spans="1:12">
      <c r="A824" s="5">
        <v>823</v>
      </c>
      <c r="B824" t="s">
        <v>1906</v>
      </c>
      <c r="C824" t="s">
        <v>112</v>
      </c>
      <c r="D824" s="5" t="s">
        <v>1684</v>
      </c>
      <c r="E824" s="5"/>
      <c r="G824" s="4" t="s">
        <v>1907</v>
      </c>
      <c r="H824" s="306" t="s">
        <v>1926</v>
      </c>
      <c r="J824" t="s">
        <v>1927</v>
      </c>
      <c r="K824" t="s">
        <v>1434</v>
      </c>
      <c r="L824" t="s">
        <v>669</v>
      </c>
    </row>
    <row r="825" spans="1:12">
      <c r="A825" s="5">
        <v>824</v>
      </c>
      <c r="B825" t="s">
        <v>1906</v>
      </c>
      <c r="C825" t="s">
        <v>112</v>
      </c>
      <c r="D825" s="5" t="s">
        <v>1684</v>
      </c>
      <c r="E825" s="5"/>
      <c r="G825" s="4" t="s">
        <v>1907</v>
      </c>
      <c r="H825" s="306" t="s">
        <v>1928</v>
      </c>
      <c r="J825" t="s">
        <v>1841</v>
      </c>
      <c r="K825" t="s">
        <v>1434</v>
      </c>
      <c r="L825" t="s">
        <v>669</v>
      </c>
    </row>
    <row r="826" spans="1:12">
      <c r="A826" s="5">
        <v>825</v>
      </c>
      <c r="B826" t="s">
        <v>1906</v>
      </c>
      <c r="C826" t="s">
        <v>112</v>
      </c>
      <c r="D826" s="5" t="s">
        <v>1684</v>
      </c>
      <c r="E826" s="5"/>
      <c r="G826" s="4" t="s">
        <v>1929</v>
      </c>
      <c r="H826" s="306" t="s">
        <v>906</v>
      </c>
      <c r="J826" t="s">
        <v>1930</v>
      </c>
      <c r="K826" t="s">
        <v>1434</v>
      </c>
      <c r="L826" t="s">
        <v>669</v>
      </c>
    </row>
    <row r="827" spans="1:12">
      <c r="A827" s="5">
        <v>826</v>
      </c>
      <c r="B827" t="str">
        <f t="shared" ref="B827:B858" si="12">MID(G827,8,2)</f>
        <v>TO</v>
      </c>
      <c r="C827" t="str">
        <f t="shared" ref="C827:C858" si="13">MID(G827,11,2)</f>
        <v>KB</v>
      </c>
      <c r="D827" s="5" t="s">
        <v>1684</v>
      </c>
      <c r="E827" s="5"/>
      <c r="G827" s="272" t="s">
        <v>1931</v>
      </c>
      <c r="H827" s="306" t="s">
        <v>1932</v>
      </c>
      <c r="K827" s="5" t="s">
        <v>1933</v>
      </c>
      <c r="L827" t="s">
        <v>669</v>
      </c>
    </row>
    <row r="828" spans="1:12">
      <c r="A828" s="5">
        <v>827</v>
      </c>
      <c r="B828" t="str">
        <f t="shared" si="12"/>
        <v>TO</v>
      </c>
      <c r="C828" t="str">
        <f t="shared" si="13"/>
        <v>KB</v>
      </c>
      <c r="D828" s="5" t="s">
        <v>1684</v>
      </c>
      <c r="E828" s="5"/>
      <c r="G828" s="4" t="s">
        <v>1934</v>
      </c>
      <c r="H828" s="306" t="s">
        <v>1935</v>
      </c>
      <c r="K828" s="5" t="s">
        <v>1933</v>
      </c>
      <c r="L828" t="s">
        <v>669</v>
      </c>
    </row>
    <row r="829" spans="1:12">
      <c r="A829" s="5">
        <v>828</v>
      </c>
      <c r="B829" t="str">
        <f t="shared" si="12"/>
        <v>TO</v>
      </c>
      <c r="C829" t="str">
        <f t="shared" si="13"/>
        <v>KB</v>
      </c>
      <c r="D829" s="5" t="s">
        <v>1684</v>
      </c>
      <c r="E829" s="5"/>
      <c r="G829" s="4" t="s">
        <v>1934</v>
      </c>
      <c r="H829" s="306" t="s">
        <v>1936</v>
      </c>
      <c r="K829" s="5" t="s">
        <v>1933</v>
      </c>
      <c r="L829" t="s">
        <v>669</v>
      </c>
    </row>
    <row r="830" spans="1:12">
      <c r="A830" s="5">
        <v>829</v>
      </c>
      <c r="B830" t="str">
        <f t="shared" si="12"/>
        <v>TO</v>
      </c>
      <c r="C830" t="str">
        <f t="shared" si="13"/>
        <v>KB</v>
      </c>
      <c r="D830" s="5" t="s">
        <v>1684</v>
      </c>
      <c r="E830" s="5"/>
      <c r="G830" s="4" t="s">
        <v>1934</v>
      </c>
      <c r="H830" s="306" t="s">
        <v>1917</v>
      </c>
      <c r="K830" s="5" t="s">
        <v>1933</v>
      </c>
      <c r="L830" t="s">
        <v>669</v>
      </c>
    </row>
    <row r="831" spans="1:12">
      <c r="A831" s="5">
        <v>830</v>
      </c>
      <c r="B831" t="str">
        <f t="shared" si="12"/>
        <v>TO</v>
      </c>
      <c r="C831" t="str">
        <f t="shared" si="13"/>
        <v>KB</v>
      </c>
      <c r="D831" s="5" t="s">
        <v>1684</v>
      </c>
      <c r="E831" s="5"/>
      <c r="G831" s="4" t="s">
        <v>1934</v>
      </c>
      <c r="H831" s="306" t="s">
        <v>1937</v>
      </c>
      <c r="K831" s="5" t="s">
        <v>1933</v>
      </c>
      <c r="L831" t="s">
        <v>669</v>
      </c>
    </row>
    <row r="832" spans="1:12">
      <c r="A832" s="5">
        <v>831</v>
      </c>
      <c r="B832" t="str">
        <f t="shared" si="12"/>
        <v>TO</v>
      </c>
      <c r="C832" t="str">
        <f t="shared" si="13"/>
        <v>KB</v>
      </c>
      <c r="D832" s="5" t="s">
        <v>1684</v>
      </c>
      <c r="E832" s="5"/>
      <c r="G832" s="4" t="s">
        <v>1934</v>
      </c>
      <c r="H832" s="306" t="s">
        <v>1938</v>
      </c>
      <c r="K832" s="5" t="s">
        <v>1933</v>
      </c>
      <c r="L832" t="s">
        <v>669</v>
      </c>
    </row>
    <row r="833" spans="1:14">
      <c r="A833" s="5">
        <v>832</v>
      </c>
      <c r="B833" t="str">
        <f t="shared" si="12"/>
        <v>TO</v>
      </c>
      <c r="C833" t="str">
        <f t="shared" si="13"/>
        <v>KB</v>
      </c>
      <c r="D833" s="5" t="s">
        <v>1684</v>
      </c>
      <c r="E833" s="5"/>
      <c r="G833" s="4" t="s">
        <v>1934</v>
      </c>
      <c r="H833" s="306" t="s">
        <v>831</v>
      </c>
      <c r="K833" s="5" t="s">
        <v>1933</v>
      </c>
      <c r="L833" t="s">
        <v>669</v>
      </c>
    </row>
    <row r="834" spans="1:14">
      <c r="A834" s="5">
        <v>833</v>
      </c>
      <c r="B834" t="str">
        <f t="shared" si="12"/>
        <v>TO</v>
      </c>
      <c r="C834" t="str">
        <f t="shared" si="13"/>
        <v>KB</v>
      </c>
      <c r="D834" s="5" t="s">
        <v>1684</v>
      </c>
      <c r="E834" s="5"/>
      <c r="G834" s="4" t="s">
        <v>1934</v>
      </c>
      <c r="H834" s="306" t="s">
        <v>1939</v>
      </c>
      <c r="K834" s="5" t="s">
        <v>1434</v>
      </c>
      <c r="L834" t="s">
        <v>669</v>
      </c>
    </row>
    <row r="835" spans="1:14">
      <c r="A835" s="5">
        <v>834</v>
      </c>
      <c r="B835" t="str">
        <f t="shared" si="12"/>
        <v>TO</v>
      </c>
      <c r="C835" t="str">
        <f t="shared" si="13"/>
        <v>KB</v>
      </c>
      <c r="D835" s="5" t="s">
        <v>1684</v>
      </c>
      <c r="E835" s="5"/>
      <c r="G835" s="4" t="s">
        <v>1940</v>
      </c>
      <c r="H835" s="306" t="s">
        <v>1941</v>
      </c>
      <c r="K835" s="5" t="s">
        <v>1434</v>
      </c>
      <c r="L835" t="s">
        <v>669</v>
      </c>
    </row>
    <row r="836" spans="1:14">
      <c r="A836" s="5">
        <v>835</v>
      </c>
      <c r="B836" t="str">
        <f t="shared" si="12"/>
        <v>TO</v>
      </c>
      <c r="C836" t="str">
        <f t="shared" si="13"/>
        <v>KB</v>
      </c>
      <c r="D836" s="5" t="s">
        <v>1684</v>
      </c>
      <c r="E836" s="5"/>
      <c r="G836" s="4" t="s">
        <v>1940</v>
      </c>
      <c r="H836" s="306" t="s">
        <v>1942</v>
      </c>
      <c r="K836" s="5" t="s">
        <v>1434</v>
      </c>
      <c r="L836" t="s">
        <v>669</v>
      </c>
    </row>
    <row r="837" spans="1:14">
      <c r="A837" s="5">
        <v>836</v>
      </c>
      <c r="B837" t="str">
        <f t="shared" si="12"/>
        <v>TO</v>
      </c>
      <c r="C837" t="str">
        <f t="shared" si="13"/>
        <v>KB</v>
      </c>
      <c r="D837" s="5" t="s">
        <v>1684</v>
      </c>
      <c r="E837" s="5"/>
      <c r="G837" s="4" t="s">
        <v>1943</v>
      </c>
      <c r="H837" s="306" t="s">
        <v>1944</v>
      </c>
      <c r="K837" s="5" t="s">
        <v>1434</v>
      </c>
      <c r="L837" t="s">
        <v>669</v>
      </c>
    </row>
    <row r="838" spans="1:14">
      <c r="A838" s="5">
        <v>837</v>
      </c>
      <c r="B838" t="str">
        <f t="shared" si="12"/>
        <v>TO</v>
      </c>
      <c r="C838" t="str">
        <f t="shared" si="13"/>
        <v>KB</v>
      </c>
      <c r="D838" s="5" t="s">
        <v>1684</v>
      </c>
      <c r="E838" s="5"/>
      <c r="G838" s="4" t="s">
        <v>1943</v>
      </c>
      <c r="H838" s="306" t="s">
        <v>1945</v>
      </c>
      <c r="K838" s="5" t="s">
        <v>1434</v>
      </c>
      <c r="L838" t="s">
        <v>669</v>
      </c>
    </row>
    <row r="839" spans="1:14">
      <c r="A839" s="5">
        <v>838</v>
      </c>
      <c r="B839" t="str">
        <f t="shared" si="12"/>
        <v>TO</v>
      </c>
      <c r="C839" t="str">
        <f t="shared" si="13"/>
        <v>KB</v>
      </c>
      <c r="D839" s="5" t="s">
        <v>1684</v>
      </c>
      <c r="E839" s="5"/>
      <c r="G839" s="4" t="s">
        <v>1943</v>
      </c>
      <c r="H839" s="306" t="s">
        <v>1946</v>
      </c>
      <c r="K839" s="5" t="s">
        <v>1434</v>
      </c>
      <c r="L839" t="s">
        <v>669</v>
      </c>
    </row>
    <row r="840" spans="1:14">
      <c r="A840" s="5">
        <v>839</v>
      </c>
      <c r="B840" t="str">
        <f t="shared" si="12"/>
        <v>TO</v>
      </c>
      <c r="C840" t="str">
        <f t="shared" si="13"/>
        <v>KB</v>
      </c>
      <c r="D840" s="5" t="s">
        <v>1684</v>
      </c>
      <c r="E840" s="5"/>
      <c r="G840" s="4" t="s">
        <v>1943</v>
      </c>
      <c r="H840" s="306" t="s">
        <v>1947</v>
      </c>
      <c r="K840" s="5" t="s">
        <v>1434</v>
      </c>
      <c r="L840" t="s">
        <v>669</v>
      </c>
    </row>
    <row r="841" spans="1:14">
      <c r="A841" s="5">
        <v>840</v>
      </c>
      <c r="B841" t="str">
        <f t="shared" si="12"/>
        <v>TO</v>
      </c>
      <c r="C841" t="str">
        <f t="shared" si="13"/>
        <v>KB</v>
      </c>
      <c r="D841" s="5" t="s">
        <v>1684</v>
      </c>
      <c r="E841" s="5"/>
      <c r="G841" s="4" t="s">
        <v>1943</v>
      </c>
      <c r="H841" s="306" t="s">
        <v>1948</v>
      </c>
      <c r="K841" s="5" t="s">
        <v>1434</v>
      </c>
      <c r="L841" t="s">
        <v>669</v>
      </c>
    </row>
    <row r="842" spans="1:14">
      <c r="A842" s="5">
        <v>841</v>
      </c>
      <c r="B842" t="str">
        <f t="shared" si="12"/>
        <v>TO</v>
      </c>
      <c r="C842" t="str">
        <f t="shared" si="13"/>
        <v>KB</v>
      </c>
      <c r="D842" s="5" t="s">
        <v>1684</v>
      </c>
      <c r="E842" s="5"/>
      <c r="G842" s="4" t="s">
        <v>1943</v>
      </c>
      <c r="H842" s="306" t="s">
        <v>1949</v>
      </c>
      <c r="K842" s="5" t="s">
        <v>1434</v>
      </c>
      <c r="L842" t="s">
        <v>669</v>
      </c>
    </row>
    <row r="843" spans="1:14">
      <c r="A843" s="5">
        <v>842</v>
      </c>
      <c r="B843" t="str">
        <f t="shared" si="12"/>
        <v>TO</v>
      </c>
      <c r="C843" t="str">
        <f t="shared" si="13"/>
        <v>KB</v>
      </c>
      <c r="D843" s="5" t="s">
        <v>1684</v>
      </c>
      <c r="E843" s="5"/>
      <c r="G843" s="4" t="s">
        <v>1943</v>
      </c>
      <c r="H843" s="306" t="s">
        <v>1950</v>
      </c>
      <c r="K843" s="5" t="s">
        <v>1434</v>
      </c>
      <c r="L843" t="s">
        <v>669</v>
      </c>
    </row>
    <row r="844" spans="1:14">
      <c r="A844" s="5">
        <v>843</v>
      </c>
      <c r="B844" t="str">
        <f t="shared" si="12"/>
        <v>TO</v>
      </c>
      <c r="C844" t="str">
        <f t="shared" si="13"/>
        <v>KB</v>
      </c>
      <c r="D844" s="5" t="s">
        <v>1684</v>
      </c>
      <c r="E844" s="5"/>
      <c r="G844" s="4" t="s">
        <v>1951</v>
      </c>
      <c r="H844" s="305" t="s">
        <v>1952</v>
      </c>
      <c r="I844" s="433"/>
      <c r="K844" s="5" t="s">
        <v>1434</v>
      </c>
      <c r="L844" t="s">
        <v>669</v>
      </c>
    </row>
    <row r="845" spans="1:14">
      <c r="A845" s="5">
        <v>844</v>
      </c>
      <c r="B845" t="str">
        <f t="shared" si="12"/>
        <v>TO</v>
      </c>
      <c r="C845" t="str">
        <f t="shared" si="13"/>
        <v>KB</v>
      </c>
      <c r="D845" s="5" t="s">
        <v>1684</v>
      </c>
      <c r="E845" s="5"/>
      <c r="G845" s="4" t="s">
        <v>1953</v>
      </c>
      <c r="H845" s="305" t="s">
        <v>1954</v>
      </c>
      <c r="I845" s="433"/>
      <c r="K845" s="5" t="s">
        <v>659</v>
      </c>
      <c r="L845" t="s">
        <v>669</v>
      </c>
    </row>
    <row r="846" spans="1:14">
      <c r="A846" s="5">
        <v>845</v>
      </c>
      <c r="B846" t="str">
        <f t="shared" si="12"/>
        <v>TO</v>
      </c>
      <c r="C846" t="str">
        <f t="shared" si="13"/>
        <v>KB</v>
      </c>
      <c r="D846" s="5" t="s">
        <v>1684</v>
      </c>
      <c r="E846" s="5"/>
      <c r="G846" s="4" t="s">
        <v>1953</v>
      </c>
      <c r="H846" s="305" t="s">
        <v>1955</v>
      </c>
      <c r="I846" s="433"/>
      <c r="K846" s="5" t="s">
        <v>659</v>
      </c>
      <c r="L846" t="s">
        <v>669</v>
      </c>
    </row>
    <row r="847" spans="1:14">
      <c r="A847" s="5">
        <v>846</v>
      </c>
      <c r="B847" t="str">
        <f t="shared" si="12"/>
        <v>TO</v>
      </c>
      <c r="C847" t="str">
        <f t="shared" si="13"/>
        <v>KB</v>
      </c>
      <c r="D847" s="5" t="s">
        <v>1684</v>
      </c>
      <c r="E847" s="5"/>
      <c r="G847" s="4" t="s">
        <v>1953</v>
      </c>
      <c r="H847" s="305" t="s">
        <v>1956</v>
      </c>
      <c r="I847" s="433"/>
      <c r="K847" s="5" t="s">
        <v>659</v>
      </c>
      <c r="L847" t="s">
        <v>669</v>
      </c>
    </row>
    <row r="848" spans="1:14">
      <c r="A848" s="5">
        <v>847</v>
      </c>
      <c r="B848" t="str">
        <f t="shared" si="12"/>
        <v>TO</v>
      </c>
      <c r="C848" t="str">
        <f t="shared" si="13"/>
        <v>KB</v>
      </c>
      <c r="D848" s="5" t="s">
        <v>1684</v>
      </c>
      <c r="E848" s="5"/>
      <c r="G848" s="4" t="s">
        <v>1953</v>
      </c>
      <c r="H848" s="305" t="s">
        <v>1957</v>
      </c>
      <c r="I848" s="433"/>
      <c r="K848" s="5" t="s">
        <v>659</v>
      </c>
      <c r="L848" t="s">
        <v>669</v>
      </c>
      <c r="N848" t="s">
        <v>1479</v>
      </c>
    </row>
    <row r="849" spans="1:14">
      <c r="A849" s="5">
        <v>848</v>
      </c>
      <c r="B849" t="str">
        <f t="shared" si="12"/>
        <v>TO</v>
      </c>
      <c r="C849" t="str">
        <f t="shared" si="13"/>
        <v>KB</v>
      </c>
      <c r="D849" s="5" t="s">
        <v>1684</v>
      </c>
      <c r="E849" s="5"/>
      <c r="G849" s="4" t="s">
        <v>1953</v>
      </c>
      <c r="H849" s="305" t="s">
        <v>1958</v>
      </c>
      <c r="I849" s="433"/>
      <c r="K849" s="5" t="s">
        <v>659</v>
      </c>
      <c r="L849" t="s">
        <v>669</v>
      </c>
      <c r="N849" t="s">
        <v>1479</v>
      </c>
    </row>
    <row r="850" spans="1:14">
      <c r="A850" s="5">
        <v>849</v>
      </c>
      <c r="B850" t="str">
        <f t="shared" si="12"/>
        <v>TO</v>
      </c>
      <c r="C850" t="str">
        <f t="shared" si="13"/>
        <v>KB</v>
      </c>
      <c r="D850" s="5" t="s">
        <v>1684</v>
      </c>
      <c r="E850" s="5"/>
      <c r="G850" s="4" t="s">
        <v>1953</v>
      </c>
      <c r="H850" s="305" t="s">
        <v>1959</v>
      </c>
      <c r="I850" s="433"/>
      <c r="K850" s="5" t="s">
        <v>659</v>
      </c>
      <c r="L850" t="s">
        <v>669</v>
      </c>
      <c r="N850" t="s">
        <v>1479</v>
      </c>
    </row>
    <row r="851" spans="1:14">
      <c r="A851" s="5">
        <v>850</v>
      </c>
      <c r="B851" t="str">
        <f t="shared" si="12"/>
        <v>TO</v>
      </c>
      <c r="C851" t="str">
        <f t="shared" si="13"/>
        <v>KB</v>
      </c>
      <c r="D851" s="5" t="s">
        <v>1684</v>
      </c>
      <c r="E851" s="5"/>
      <c r="G851" s="4" t="s">
        <v>1953</v>
      </c>
      <c r="H851" s="305" t="s">
        <v>1960</v>
      </c>
      <c r="I851" s="433"/>
      <c r="K851" s="5" t="s">
        <v>1434</v>
      </c>
      <c r="L851" t="s">
        <v>669</v>
      </c>
      <c r="N851" t="s">
        <v>1479</v>
      </c>
    </row>
    <row r="852" spans="1:14">
      <c r="A852" s="5">
        <v>851</v>
      </c>
      <c r="B852" t="str">
        <f t="shared" si="12"/>
        <v>TO</v>
      </c>
      <c r="C852" t="str">
        <f t="shared" si="13"/>
        <v>KB</v>
      </c>
      <c r="D852" s="5" t="s">
        <v>1684</v>
      </c>
      <c r="E852" s="5"/>
      <c r="G852" s="4" t="s">
        <v>1953</v>
      </c>
      <c r="H852" s="305" t="s">
        <v>1961</v>
      </c>
      <c r="I852" s="433"/>
      <c r="K852" s="5" t="s">
        <v>659</v>
      </c>
      <c r="L852" t="s">
        <v>669</v>
      </c>
      <c r="N852" t="s">
        <v>1479</v>
      </c>
    </row>
    <row r="853" spans="1:14">
      <c r="A853" s="5">
        <v>852</v>
      </c>
      <c r="B853" t="str">
        <f t="shared" si="12"/>
        <v>TO</v>
      </c>
      <c r="C853" t="str">
        <f t="shared" si="13"/>
        <v>KB</v>
      </c>
      <c r="D853" s="5" t="s">
        <v>1684</v>
      </c>
      <c r="E853" s="5"/>
      <c r="G853" s="4" t="s">
        <v>1953</v>
      </c>
      <c r="H853" s="305" t="s">
        <v>1962</v>
      </c>
      <c r="I853" s="433"/>
      <c r="K853" s="5" t="s">
        <v>1434</v>
      </c>
      <c r="L853" t="s">
        <v>669</v>
      </c>
      <c r="N853" t="s">
        <v>1479</v>
      </c>
    </row>
    <row r="854" spans="1:14">
      <c r="A854" s="5">
        <v>853</v>
      </c>
      <c r="B854" t="str">
        <f t="shared" si="12"/>
        <v>TO</v>
      </c>
      <c r="C854" t="str">
        <f t="shared" si="13"/>
        <v>KB</v>
      </c>
      <c r="D854" s="5" t="s">
        <v>1684</v>
      </c>
      <c r="E854" s="5"/>
      <c r="G854" s="4" t="s">
        <v>1953</v>
      </c>
      <c r="H854" s="305" t="s">
        <v>1963</v>
      </c>
      <c r="I854" s="433"/>
      <c r="K854" s="5" t="s">
        <v>659</v>
      </c>
      <c r="L854" t="s">
        <v>669</v>
      </c>
      <c r="N854" t="s">
        <v>1479</v>
      </c>
    </row>
    <row r="855" spans="1:14">
      <c r="A855" s="5">
        <v>854</v>
      </c>
      <c r="B855" t="str">
        <f t="shared" si="12"/>
        <v>TO</v>
      </c>
      <c r="C855" t="str">
        <f t="shared" si="13"/>
        <v>KB</v>
      </c>
      <c r="D855" s="5" t="s">
        <v>1684</v>
      </c>
      <c r="E855" s="5"/>
      <c r="G855" s="4" t="s">
        <v>1953</v>
      </c>
      <c r="H855" s="305" t="s">
        <v>1964</v>
      </c>
      <c r="I855" s="433"/>
      <c r="K855" s="5" t="s">
        <v>659</v>
      </c>
      <c r="L855" t="s">
        <v>669</v>
      </c>
      <c r="N855" t="s">
        <v>1479</v>
      </c>
    </row>
    <row r="856" spans="1:14">
      <c r="A856" s="5">
        <v>855</v>
      </c>
      <c r="B856" t="str">
        <f t="shared" si="12"/>
        <v>TO</v>
      </c>
      <c r="C856" t="str">
        <f t="shared" si="13"/>
        <v>KB</v>
      </c>
      <c r="D856" s="5" t="s">
        <v>1684</v>
      </c>
      <c r="E856" s="5"/>
      <c r="G856" s="4" t="s">
        <v>1953</v>
      </c>
      <c r="H856" s="305" t="s">
        <v>1965</v>
      </c>
      <c r="I856" s="433"/>
      <c r="K856" s="5" t="s">
        <v>1434</v>
      </c>
      <c r="L856" t="s">
        <v>669</v>
      </c>
      <c r="N856" t="s">
        <v>1479</v>
      </c>
    </row>
    <row r="857" spans="1:14">
      <c r="A857" s="5">
        <v>856</v>
      </c>
      <c r="B857" t="str">
        <f t="shared" si="12"/>
        <v>TO</v>
      </c>
      <c r="C857" t="str">
        <f t="shared" si="13"/>
        <v>KB</v>
      </c>
      <c r="D857" s="5" t="s">
        <v>1684</v>
      </c>
      <c r="E857" s="5"/>
      <c r="G857" s="4" t="s">
        <v>1953</v>
      </c>
      <c r="H857" s="305" t="s">
        <v>1966</v>
      </c>
      <c r="I857" s="433"/>
      <c r="K857" s="5" t="s">
        <v>1434</v>
      </c>
      <c r="L857" t="s">
        <v>669</v>
      </c>
      <c r="N857" t="s">
        <v>1479</v>
      </c>
    </row>
    <row r="858" spans="1:14">
      <c r="A858" s="5">
        <v>857</v>
      </c>
      <c r="B858" t="str">
        <f t="shared" si="12"/>
        <v>TO</v>
      </c>
      <c r="C858" t="str">
        <f t="shared" si="13"/>
        <v>KB</v>
      </c>
      <c r="D858" s="5" t="s">
        <v>1684</v>
      </c>
      <c r="E858" s="5"/>
      <c r="G858" s="4" t="s">
        <v>1953</v>
      </c>
      <c r="H858" s="305" t="s">
        <v>1967</v>
      </c>
      <c r="I858" s="433"/>
      <c r="K858" s="5" t="s">
        <v>1434</v>
      </c>
      <c r="L858" t="s">
        <v>669</v>
      </c>
    </row>
    <row r="859" spans="1:14">
      <c r="A859" s="5">
        <v>858</v>
      </c>
      <c r="B859" t="str">
        <f t="shared" ref="B859:B891" si="14">MID(G859,8,2)</f>
        <v>TO</v>
      </c>
      <c r="C859" t="str">
        <f t="shared" ref="C859:C890" si="15">MID(G859,11,2)</f>
        <v>KB</v>
      </c>
      <c r="D859" s="5" t="s">
        <v>1684</v>
      </c>
      <c r="E859" s="5"/>
      <c r="G859" s="4" t="s">
        <v>1968</v>
      </c>
      <c r="H859" s="305" t="s">
        <v>1969</v>
      </c>
      <c r="I859" s="433"/>
      <c r="K859" s="5" t="s">
        <v>659</v>
      </c>
      <c r="L859" t="s">
        <v>669</v>
      </c>
    </row>
    <row r="860" spans="1:14">
      <c r="A860" s="5">
        <v>859</v>
      </c>
      <c r="B860" t="str">
        <f t="shared" si="14"/>
        <v>TO</v>
      </c>
      <c r="C860" t="str">
        <f t="shared" si="15"/>
        <v>KB</v>
      </c>
      <c r="D860" s="5" t="s">
        <v>1684</v>
      </c>
      <c r="E860" s="5"/>
      <c r="G860" s="4" t="s">
        <v>1968</v>
      </c>
      <c r="H860" s="305" t="s">
        <v>1970</v>
      </c>
      <c r="I860" s="433"/>
      <c r="K860" s="5" t="s">
        <v>659</v>
      </c>
      <c r="L860" t="s">
        <v>669</v>
      </c>
    </row>
    <row r="861" spans="1:14">
      <c r="A861" s="5">
        <v>860</v>
      </c>
      <c r="B861" t="str">
        <f t="shared" si="14"/>
        <v>TO</v>
      </c>
      <c r="C861" t="str">
        <f t="shared" si="15"/>
        <v>KB</v>
      </c>
      <c r="D861" s="5" t="s">
        <v>1684</v>
      </c>
      <c r="E861" s="5"/>
      <c r="G861" s="4" t="s">
        <v>1968</v>
      </c>
      <c r="H861" s="305" t="s">
        <v>1971</v>
      </c>
      <c r="I861" s="433"/>
      <c r="K861" s="5" t="s">
        <v>659</v>
      </c>
      <c r="L861" t="s">
        <v>669</v>
      </c>
    </row>
    <row r="862" spans="1:14">
      <c r="A862" s="5">
        <v>861</v>
      </c>
      <c r="B862" t="str">
        <f t="shared" si="14"/>
        <v>TO</v>
      </c>
      <c r="C862" t="str">
        <f t="shared" si="15"/>
        <v>KB</v>
      </c>
      <c r="D862" s="5" t="s">
        <v>1684</v>
      </c>
      <c r="E862" s="5"/>
      <c r="G862" s="4" t="s">
        <v>1968</v>
      </c>
      <c r="H862" s="305" t="s">
        <v>1972</v>
      </c>
      <c r="I862" s="433"/>
      <c r="K862" s="5" t="s">
        <v>659</v>
      </c>
      <c r="L862" t="s">
        <v>669</v>
      </c>
    </row>
    <row r="863" spans="1:14">
      <c r="A863" s="5">
        <v>862</v>
      </c>
      <c r="B863" t="str">
        <f t="shared" si="14"/>
        <v>TO</v>
      </c>
      <c r="C863" t="str">
        <f t="shared" si="15"/>
        <v>KB</v>
      </c>
      <c r="D863" s="5" t="s">
        <v>1684</v>
      </c>
      <c r="E863" s="5"/>
      <c r="G863" s="4" t="s">
        <v>1968</v>
      </c>
      <c r="H863" s="305" t="s">
        <v>1973</v>
      </c>
      <c r="I863" s="433"/>
      <c r="K863" s="5" t="s">
        <v>659</v>
      </c>
      <c r="L863" t="s">
        <v>669</v>
      </c>
    </row>
    <row r="864" spans="1:14">
      <c r="A864" s="5">
        <v>863</v>
      </c>
      <c r="B864" t="str">
        <f t="shared" si="14"/>
        <v>TO</v>
      </c>
      <c r="C864" t="str">
        <f t="shared" si="15"/>
        <v>KB</v>
      </c>
      <c r="D864" s="5" t="s">
        <v>1684</v>
      </c>
      <c r="E864" s="5"/>
      <c r="G864" s="4" t="s">
        <v>1968</v>
      </c>
      <c r="H864" s="305" t="s">
        <v>1974</v>
      </c>
      <c r="I864" s="433"/>
      <c r="K864" t="s">
        <v>1434</v>
      </c>
      <c r="L864" t="s">
        <v>669</v>
      </c>
    </row>
    <row r="865" spans="1:13">
      <c r="A865" s="5">
        <v>864</v>
      </c>
      <c r="B865" t="str">
        <f t="shared" si="14"/>
        <v>TO</v>
      </c>
      <c r="C865" t="str">
        <f t="shared" si="15"/>
        <v>KB</v>
      </c>
      <c r="D865" s="5" t="s">
        <v>1684</v>
      </c>
      <c r="E865" s="5"/>
      <c r="G865" s="4" t="s">
        <v>1968</v>
      </c>
      <c r="H865" s="305" t="s">
        <v>1975</v>
      </c>
      <c r="I865" s="433"/>
      <c r="K865" s="5" t="s">
        <v>659</v>
      </c>
      <c r="L865" t="s">
        <v>669</v>
      </c>
    </row>
    <row r="866" spans="1:13">
      <c r="A866" s="5">
        <v>865</v>
      </c>
      <c r="B866" t="str">
        <f t="shared" si="14"/>
        <v>TO</v>
      </c>
      <c r="C866" t="str">
        <f t="shared" si="15"/>
        <v>KB</v>
      </c>
      <c r="D866" s="5" t="s">
        <v>1684</v>
      </c>
      <c r="E866" s="5"/>
      <c r="G866" s="4" t="s">
        <v>1968</v>
      </c>
      <c r="H866" s="305" t="s">
        <v>1976</v>
      </c>
      <c r="I866" s="433"/>
      <c r="K866" s="5" t="s">
        <v>1434</v>
      </c>
      <c r="L866" t="s">
        <v>669</v>
      </c>
    </row>
    <row r="867" spans="1:13">
      <c r="A867" s="5">
        <v>866</v>
      </c>
      <c r="B867" t="str">
        <f t="shared" si="14"/>
        <v>TO</v>
      </c>
      <c r="C867" t="str">
        <f t="shared" si="15"/>
        <v>KB</v>
      </c>
      <c r="D867" s="5" t="s">
        <v>1684</v>
      </c>
      <c r="E867" s="5"/>
      <c r="G867" s="4" t="s">
        <v>1968</v>
      </c>
      <c r="H867" s="305" t="s">
        <v>1977</v>
      </c>
      <c r="I867" s="433"/>
      <c r="K867" s="5" t="s">
        <v>659</v>
      </c>
      <c r="L867" t="s">
        <v>669</v>
      </c>
    </row>
    <row r="868" spans="1:13">
      <c r="A868" s="5">
        <v>867</v>
      </c>
      <c r="B868" t="str">
        <f t="shared" si="14"/>
        <v>TO</v>
      </c>
      <c r="C868" t="str">
        <f t="shared" si="15"/>
        <v>KB</v>
      </c>
      <c r="D868" s="5" t="s">
        <v>1684</v>
      </c>
      <c r="E868" s="5"/>
      <c r="G868" s="4" t="s">
        <v>1968</v>
      </c>
      <c r="H868" s="305" t="s">
        <v>1978</v>
      </c>
      <c r="I868" s="433"/>
      <c r="K868" s="5" t="s">
        <v>659</v>
      </c>
      <c r="L868" t="s">
        <v>669</v>
      </c>
    </row>
    <row r="869" spans="1:13">
      <c r="A869" s="5">
        <v>868</v>
      </c>
      <c r="B869" t="str">
        <f t="shared" si="14"/>
        <v>TO</v>
      </c>
      <c r="C869" t="str">
        <f t="shared" si="15"/>
        <v>KB</v>
      </c>
      <c r="D869" s="5" t="s">
        <v>1684</v>
      </c>
      <c r="E869" s="5"/>
      <c r="G869" s="4" t="s">
        <v>1968</v>
      </c>
      <c r="H869" s="305" t="s">
        <v>1979</v>
      </c>
      <c r="I869" s="433"/>
      <c r="K869" s="5" t="s">
        <v>659</v>
      </c>
      <c r="L869" t="s">
        <v>669</v>
      </c>
    </row>
    <row r="870" spans="1:13">
      <c r="A870" s="5">
        <v>869</v>
      </c>
      <c r="B870" t="str">
        <f t="shared" si="14"/>
        <v>TO</v>
      </c>
      <c r="C870" t="str">
        <f t="shared" si="15"/>
        <v>KB</v>
      </c>
      <c r="D870" s="5" t="s">
        <v>1684</v>
      </c>
      <c r="E870" s="5"/>
      <c r="G870" s="4" t="s">
        <v>1968</v>
      </c>
      <c r="H870" s="305" t="s">
        <v>1980</v>
      </c>
      <c r="I870" s="433"/>
      <c r="K870" s="5" t="s">
        <v>659</v>
      </c>
      <c r="L870" t="s">
        <v>669</v>
      </c>
    </row>
    <row r="871" spans="1:13">
      <c r="A871" s="5">
        <v>870</v>
      </c>
      <c r="B871" t="str">
        <f t="shared" si="14"/>
        <v>TO</v>
      </c>
      <c r="C871" t="str">
        <f t="shared" si="15"/>
        <v>KB</v>
      </c>
      <c r="D871" s="5" t="s">
        <v>1684</v>
      </c>
      <c r="E871" s="5"/>
      <c r="G871" s="4" t="s">
        <v>1968</v>
      </c>
      <c r="H871" s="305" t="s">
        <v>1981</v>
      </c>
      <c r="I871" s="433"/>
      <c r="K871" s="5" t="s">
        <v>659</v>
      </c>
      <c r="L871" t="s">
        <v>669</v>
      </c>
    </row>
    <row r="872" spans="1:13">
      <c r="A872" s="5">
        <v>871</v>
      </c>
      <c r="B872" t="str">
        <f t="shared" si="14"/>
        <v>TO</v>
      </c>
      <c r="C872" t="str">
        <f t="shared" si="15"/>
        <v>KB</v>
      </c>
      <c r="D872" s="5" t="s">
        <v>1684</v>
      </c>
      <c r="E872" s="5"/>
      <c r="G872" s="4" t="s">
        <v>1968</v>
      </c>
      <c r="H872" s="305" t="s">
        <v>1982</v>
      </c>
      <c r="I872" s="433"/>
      <c r="K872" s="5" t="s">
        <v>659</v>
      </c>
      <c r="L872" t="s">
        <v>669</v>
      </c>
    </row>
    <row r="873" spans="1:13">
      <c r="A873" s="5">
        <v>872</v>
      </c>
      <c r="B873" t="str">
        <f t="shared" si="14"/>
        <v>TO</v>
      </c>
      <c r="C873" t="str">
        <f t="shared" si="15"/>
        <v>KB</v>
      </c>
      <c r="D873" s="5" t="s">
        <v>1684</v>
      </c>
      <c r="E873" s="5"/>
      <c r="G873" s="4" t="s">
        <v>1968</v>
      </c>
      <c r="H873" s="305" t="s">
        <v>1983</v>
      </c>
      <c r="I873" s="433"/>
      <c r="K873" s="5" t="s">
        <v>1434</v>
      </c>
      <c r="L873" t="s">
        <v>669</v>
      </c>
    </row>
    <row r="874" spans="1:13">
      <c r="A874" s="5">
        <v>873</v>
      </c>
      <c r="B874" t="str">
        <f t="shared" si="14"/>
        <v>TO</v>
      </c>
      <c r="C874" t="str">
        <f t="shared" si="15"/>
        <v>KB</v>
      </c>
      <c r="D874" s="5" t="s">
        <v>1684</v>
      </c>
      <c r="E874" s="5"/>
      <c r="G874" s="4" t="s">
        <v>1968</v>
      </c>
      <c r="H874" s="305" t="s">
        <v>1984</v>
      </c>
      <c r="I874" s="433"/>
      <c r="K874" s="5" t="s">
        <v>659</v>
      </c>
      <c r="L874" t="s">
        <v>669</v>
      </c>
    </row>
    <row r="875" spans="1:13">
      <c r="A875" s="5">
        <v>874</v>
      </c>
      <c r="B875" t="str">
        <f t="shared" si="14"/>
        <v>TO</v>
      </c>
      <c r="C875" t="str">
        <f t="shared" si="15"/>
        <v>KB</v>
      </c>
      <c r="D875" s="5" t="s">
        <v>1684</v>
      </c>
      <c r="E875" s="5"/>
      <c r="G875" s="4" t="s">
        <v>1968</v>
      </c>
      <c r="H875" s="305" t="s">
        <v>1985</v>
      </c>
      <c r="I875" s="433"/>
      <c r="K875" s="5" t="s">
        <v>659</v>
      </c>
      <c r="L875" t="s">
        <v>669</v>
      </c>
    </row>
    <row r="876" spans="1:13">
      <c r="A876" s="5">
        <v>875</v>
      </c>
      <c r="B876" t="str">
        <f t="shared" si="14"/>
        <v>TO</v>
      </c>
      <c r="C876" t="str">
        <f t="shared" si="15"/>
        <v>KB</v>
      </c>
      <c r="D876" s="5" t="s">
        <v>1684</v>
      </c>
      <c r="E876" s="5"/>
      <c r="G876" s="4" t="s">
        <v>1968</v>
      </c>
      <c r="H876" s="305" t="s">
        <v>1986</v>
      </c>
      <c r="I876" s="433"/>
      <c r="K876" s="5" t="s">
        <v>659</v>
      </c>
      <c r="L876" t="s">
        <v>669</v>
      </c>
    </row>
    <row r="877" spans="1:13">
      <c r="A877" s="5">
        <v>876</v>
      </c>
      <c r="B877" t="str">
        <f t="shared" si="14"/>
        <v>TO</v>
      </c>
      <c r="C877" t="str">
        <f t="shared" si="15"/>
        <v>KB</v>
      </c>
      <c r="D877" s="5" t="s">
        <v>1684</v>
      </c>
      <c r="E877" s="5"/>
      <c r="G877" s="4" t="s">
        <v>1968</v>
      </c>
      <c r="H877" s="305" t="s">
        <v>1987</v>
      </c>
      <c r="I877" s="433"/>
      <c r="K877" s="5" t="s">
        <v>659</v>
      </c>
      <c r="L877" t="s">
        <v>669</v>
      </c>
    </row>
    <row r="878" spans="1:13">
      <c r="A878" s="5">
        <v>877</v>
      </c>
      <c r="B878" t="str">
        <f t="shared" si="14"/>
        <v>TO</v>
      </c>
      <c r="C878" t="str">
        <f t="shared" si="15"/>
        <v>KB</v>
      </c>
      <c r="D878" s="5" t="s">
        <v>1684</v>
      </c>
      <c r="E878" s="5"/>
      <c r="G878" s="4" t="s">
        <v>1968</v>
      </c>
      <c r="H878" s="305" t="s">
        <v>1988</v>
      </c>
      <c r="I878" s="433"/>
      <c r="K878" s="5" t="s">
        <v>659</v>
      </c>
      <c r="L878" t="s">
        <v>669</v>
      </c>
    </row>
    <row r="879" spans="1:13">
      <c r="A879" s="5">
        <v>878</v>
      </c>
      <c r="B879" t="str">
        <f t="shared" si="14"/>
        <v>TO</v>
      </c>
      <c r="C879" t="str">
        <f t="shared" si="15"/>
        <v>Ap</v>
      </c>
      <c r="D879" s="5" t="s">
        <v>1989</v>
      </c>
      <c r="E879" s="5"/>
      <c r="G879" s="4" t="s">
        <v>1990</v>
      </c>
      <c r="H879" s="306" t="s">
        <v>1991</v>
      </c>
      <c r="L879" t="s">
        <v>669</v>
      </c>
      <c r="M879" t="s">
        <v>1424</v>
      </c>
    </row>
    <row r="880" spans="1:13">
      <c r="A880" s="5">
        <v>879</v>
      </c>
      <c r="B880" t="str">
        <f t="shared" si="14"/>
        <v>TO</v>
      </c>
      <c r="C880" t="str">
        <f t="shared" si="15"/>
        <v>Ap</v>
      </c>
      <c r="D880" s="5" t="s">
        <v>1989</v>
      </c>
      <c r="E880" s="5"/>
      <c r="G880" s="4" t="s">
        <v>1992</v>
      </c>
      <c r="H880" s="306" t="s">
        <v>1993</v>
      </c>
      <c r="L880" t="s">
        <v>669</v>
      </c>
      <c r="M880" t="s">
        <v>1424</v>
      </c>
    </row>
    <row r="881" spans="1:14">
      <c r="A881" s="5">
        <v>880</v>
      </c>
      <c r="B881" t="str">
        <f t="shared" si="14"/>
        <v>TO</v>
      </c>
      <c r="C881" t="str">
        <f t="shared" si="15"/>
        <v>Ap</v>
      </c>
      <c r="D881" s="5" t="s">
        <v>1989</v>
      </c>
      <c r="E881" s="5"/>
      <c r="G881" s="4" t="s">
        <v>1992</v>
      </c>
      <c r="H881" s="306" t="s">
        <v>1994</v>
      </c>
      <c r="L881" t="s">
        <v>669</v>
      </c>
      <c r="M881" t="s">
        <v>1424</v>
      </c>
    </row>
    <row r="882" spans="1:14">
      <c r="A882" s="5">
        <v>881</v>
      </c>
      <c r="B882" t="str">
        <f t="shared" si="14"/>
        <v>TO</v>
      </c>
      <c r="C882" t="str">
        <f t="shared" si="15"/>
        <v>Ap</v>
      </c>
      <c r="D882" s="5" t="s">
        <v>1989</v>
      </c>
      <c r="E882" s="5"/>
      <c r="G882" s="4" t="s">
        <v>1992</v>
      </c>
      <c r="H882" s="306" t="s">
        <v>1995</v>
      </c>
      <c r="L882" t="s">
        <v>669</v>
      </c>
      <c r="M882" t="s">
        <v>1424</v>
      </c>
    </row>
    <row r="883" spans="1:14">
      <c r="A883" s="5">
        <v>882</v>
      </c>
      <c r="B883" t="str">
        <f t="shared" si="14"/>
        <v>TO</v>
      </c>
      <c r="C883" t="str">
        <f t="shared" si="15"/>
        <v>Ap</v>
      </c>
      <c r="D883" s="5" t="s">
        <v>1989</v>
      </c>
      <c r="E883" s="5"/>
      <c r="G883" s="4" t="s">
        <v>1992</v>
      </c>
      <c r="H883" s="306" t="s">
        <v>1996</v>
      </c>
      <c r="L883" t="s">
        <v>669</v>
      </c>
      <c r="M883" t="s">
        <v>1424</v>
      </c>
    </row>
    <row r="884" spans="1:14">
      <c r="A884" s="5">
        <v>883</v>
      </c>
      <c r="B884" s="8" t="str">
        <f t="shared" si="14"/>
        <v>MH</v>
      </c>
      <c r="C884" s="8" t="str">
        <f t="shared" si="15"/>
        <v>KB</v>
      </c>
      <c r="D884" s="224" t="s">
        <v>1684</v>
      </c>
      <c r="E884" s="5"/>
      <c r="F884" s="8"/>
      <c r="G884" s="235" t="s">
        <v>1997</v>
      </c>
      <c r="H884" s="317" t="s">
        <v>272</v>
      </c>
      <c r="I884" s="444"/>
      <c r="J884" s="189"/>
      <c r="K884" t="s">
        <v>659</v>
      </c>
      <c r="L884" s="291" t="s">
        <v>1083</v>
      </c>
      <c r="M884" s="128" t="s">
        <v>985</v>
      </c>
    </row>
    <row r="885" spans="1:14">
      <c r="A885" s="5">
        <v>884</v>
      </c>
      <c r="B885" s="8" t="str">
        <f t="shared" si="14"/>
        <v>MH</v>
      </c>
      <c r="C885" s="8" t="str">
        <f t="shared" si="15"/>
        <v>KB</v>
      </c>
      <c r="D885" s="224" t="s">
        <v>1989</v>
      </c>
      <c r="E885" s="5"/>
      <c r="F885" s="8"/>
      <c r="G885" s="235" t="s">
        <v>1998</v>
      </c>
      <c r="H885" s="317" t="s">
        <v>390</v>
      </c>
      <c r="I885" s="444"/>
      <c r="J885" s="189"/>
      <c r="K885" t="s">
        <v>659</v>
      </c>
      <c r="L885" s="291" t="s">
        <v>1999</v>
      </c>
      <c r="M885" s="128" t="s">
        <v>979</v>
      </c>
    </row>
    <row r="886" spans="1:14" ht="36">
      <c r="A886" s="5">
        <v>885</v>
      </c>
      <c r="B886" s="8" t="str">
        <f t="shared" si="14"/>
        <v>TO</v>
      </c>
      <c r="C886" s="8" t="str">
        <f t="shared" si="15"/>
        <v>Ap</v>
      </c>
      <c r="D886" s="224" t="s">
        <v>1989</v>
      </c>
      <c r="E886" s="5"/>
      <c r="F886" s="8"/>
      <c r="G886" s="235" t="s">
        <v>2000</v>
      </c>
      <c r="H886" s="317" t="s">
        <v>1996</v>
      </c>
      <c r="I886" s="444"/>
      <c r="J886" s="189"/>
      <c r="K886" t="s">
        <v>659</v>
      </c>
      <c r="L886" s="291" t="s">
        <v>1999</v>
      </c>
      <c r="M886" t="s">
        <v>1424</v>
      </c>
    </row>
    <row r="887" spans="1:14">
      <c r="A887" s="5">
        <v>886</v>
      </c>
      <c r="B887" s="8" t="str">
        <f t="shared" si="14"/>
        <v>MH</v>
      </c>
      <c r="C887" s="8" t="str">
        <f t="shared" si="15"/>
        <v>KB</v>
      </c>
      <c r="D887" s="224" t="s">
        <v>1989</v>
      </c>
      <c r="E887" s="5"/>
      <c r="F887" s="8"/>
      <c r="G887" s="235" t="s">
        <v>2001</v>
      </c>
      <c r="H887" s="317" t="s">
        <v>2002</v>
      </c>
      <c r="I887" s="444"/>
      <c r="J887" s="189"/>
      <c r="K887" t="s">
        <v>659</v>
      </c>
      <c r="L887" s="291" t="s">
        <v>1083</v>
      </c>
      <c r="M887" s="128" t="s">
        <v>985</v>
      </c>
    </row>
    <row r="888" spans="1:14">
      <c r="A888" s="5">
        <v>887</v>
      </c>
      <c r="B888" s="8" t="str">
        <f t="shared" si="14"/>
        <v>MH</v>
      </c>
      <c r="C888" s="8" t="str">
        <f t="shared" si="15"/>
        <v>KB</v>
      </c>
      <c r="D888" s="224" t="s">
        <v>1989</v>
      </c>
      <c r="E888" s="5"/>
      <c r="F888" s="8"/>
      <c r="G888" s="235" t="s">
        <v>2003</v>
      </c>
      <c r="H888" s="317" t="s">
        <v>2004</v>
      </c>
      <c r="I888" s="444"/>
      <c r="J888" s="189"/>
      <c r="K888" t="s">
        <v>659</v>
      </c>
      <c r="L888" s="291" t="s">
        <v>1999</v>
      </c>
      <c r="M888" s="128" t="s">
        <v>985</v>
      </c>
    </row>
    <row r="889" spans="1:14" ht="36">
      <c r="A889" s="5">
        <v>888</v>
      </c>
      <c r="B889" s="8" t="str">
        <f t="shared" si="14"/>
        <v>MH</v>
      </c>
      <c r="C889" s="8" t="str">
        <f t="shared" si="15"/>
        <v>KB</v>
      </c>
      <c r="D889" s="224" t="s">
        <v>1989</v>
      </c>
      <c r="E889" s="5"/>
      <c r="F889" s="8"/>
      <c r="G889" s="458" t="s">
        <v>2005</v>
      </c>
      <c r="H889" s="317" t="s">
        <v>266</v>
      </c>
      <c r="I889" s="444"/>
      <c r="J889" s="189"/>
      <c r="K889" t="s">
        <v>659</v>
      </c>
      <c r="L889" s="291" t="s">
        <v>1999</v>
      </c>
      <c r="M889" s="128" t="s">
        <v>979</v>
      </c>
      <c r="N889" s="9" t="s">
        <v>2006</v>
      </c>
    </row>
    <row r="890" spans="1:14">
      <c r="A890" s="5">
        <v>889</v>
      </c>
      <c r="B890" s="8" t="str">
        <f t="shared" si="14"/>
        <v>MH</v>
      </c>
      <c r="C890" s="8" t="str">
        <f t="shared" si="15"/>
        <v>KB</v>
      </c>
      <c r="D890" s="224" t="s">
        <v>1989</v>
      </c>
      <c r="E890" s="5"/>
      <c r="F890" s="8"/>
      <c r="G890" s="235" t="s">
        <v>2007</v>
      </c>
      <c r="H890" s="317" t="s">
        <v>1030</v>
      </c>
      <c r="I890" s="444"/>
      <c r="J890" s="189"/>
      <c r="K890" t="s">
        <v>659</v>
      </c>
      <c r="L890" s="291" t="s">
        <v>1999</v>
      </c>
      <c r="M890" s="128" t="s">
        <v>985</v>
      </c>
    </row>
    <row r="891" spans="1:14">
      <c r="A891" s="5">
        <v>890</v>
      </c>
      <c r="B891" s="8" t="str">
        <f t="shared" si="14"/>
        <v>MH</v>
      </c>
      <c r="C891" s="8" t="str">
        <f t="shared" ref="C891:C922" si="16">MID(G891,11,2)</f>
        <v>KB</v>
      </c>
      <c r="D891" s="224" t="s">
        <v>1989</v>
      </c>
      <c r="E891" s="5"/>
      <c r="F891" s="8"/>
      <c r="G891" s="235" t="s">
        <v>2007</v>
      </c>
      <c r="H891" s="317" t="s">
        <v>1029</v>
      </c>
      <c r="I891" s="444"/>
      <c r="J891" s="189"/>
      <c r="K891" t="s">
        <v>659</v>
      </c>
      <c r="L891" s="291" t="s">
        <v>669</v>
      </c>
      <c r="M891" s="128" t="s">
        <v>985</v>
      </c>
    </row>
    <row r="892" spans="1:14">
      <c r="A892" s="5">
        <v>891</v>
      </c>
      <c r="B892" s="8" t="s">
        <v>1906</v>
      </c>
      <c r="C892" s="8" t="str">
        <f t="shared" si="16"/>
        <v>KB</v>
      </c>
      <c r="D892" s="224" t="s">
        <v>1989</v>
      </c>
      <c r="E892" s="5"/>
      <c r="F892" s="8"/>
      <c r="G892" s="235" t="s">
        <v>2008</v>
      </c>
      <c r="H892" s="317" t="s">
        <v>2009</v>
      </c>
      <c r="I892" s="444"/>
      <c r="J892" s="189"/>
      <c r="K892" t="s">
        <v>659</v>
      </c>
      <c r="L892" s="291" t="s">
        <v>2010</v>
      </c>
      <c r="M892" s="128" t="s">
        <v>985</v>
      </c>
    </row>
    <row r="893" spans="1:14">
      <c r="A893" s="5">
        <v>892</v>
      </c>
      <c r="B893" s="8" t="s">
        <v>1906</v>
      </c>
      <c r="C893" s="8" t="str">
        <f t="shared" si="16"/>
        <v>KB</v>
      </c>
      <c r="D893" s="224" t="s">
        <v>1989</v>
      </c>
      <c r="E893" s="5"/>
      <c r="F893" s="8"/>
      <c r="G893" s="235" t="s">
        <v>2011</v>
      </c>
      <c r="H893" s="317" t="s">
        <v>2012</v>
      </c>
      <c r="I893" s="444"/>
      <c r="J893" s="189"/>
      <c r="K893" t="s">
        <v>659</v>
      </c>
      <c r="L893" s="291" t="s">
        <v>669</v>
      </c>
      <c r="M893" s="128" t="s">
        <v>985</v>
      </c>
    </row>
    <row r="894" spans="1:14">
      <c r="A894" s="5">
        <v>893</v>
      </c>
      <c r="B894" s="8" t="s">
        <v>1906</v>
      </c>
      <c r="C894" s="8" t="str">
        <f t="shared" si="16"/>
        <v>KB</v>
      </c>
      <c r="D894" s="224" t="s">
        <v>1989</v>
      </c>
      <c r="E894" s="5"/>
      <c r="F894" s="8"/>
      <c r="G894" s="235" t="s">
        <v>2011</v>
      </c>
      <c r="H894" s="317" t="s">
        <v>2013</v>
      </c>
      <c r="I894" s="444"/>
      <c r="J894" s="189"/>
      <c r="K894" t="s">
        <v>1434</v>
      </c>
      <c r="L894" s="291" t="s">
        <v>669</v>
      </c>
      <c r="M894" s="128" t="s">
        <v>979</v>
      </c>
    </row>
    <row r="895" spans="1:14">
      <c r="A895" s="5">
        <v>894</v>
      </c>
      <c r="B895" s="8" t="s">
        <v>1906</v>
      </c>
      <c r="C895" s="8" t="str">
        <f t="shared" si="16"/>
        <v>KB</v>
      </c>
      <c r="D895" s="224" t="s">
        <v>1989</v>
      </c>
      <c r="E895" s="5"/>
      <c r="F895" s="8"/>
      <c r="G895" s="235" t="s">
        <v>2011</v>
      </c>
      <c r="H895" s="317" t="s">
        <v>2014</v>
      </c>
      <c r="I895" s="444"/>
      <c r="J895" s="189"/>
      <c r="K895" t="s">
        <v>659</v>
      </c>
      <c r="L895" s="291" t="s">
        <v>2015</v>
      </c>
      <c r="M895" s="128" t="s">
        <v>985</v>
      </c>
    </row>
    <row r="896" spans="1:14">
      <c r="A896" s="5">
        <v>895</v>
      </c>
      <c r="B896" s="8" t="s">
        <v>1906</v>
      </c>
      <c r="C896" s="8" t="str">
        <f t="shared" si="16"/>
        <v>KB</v>
      </c>
      <c r="D896" s="224" t="s">
        <v>1989</v>
      </c>
      <c r="E896" s="5"/>
      <c r="F896" s="8"/>
      <c r="G896" s="235" t="s">
        <v>2011</v>
      </c>
      <c r="H896" s="317" t="s">
        <v>786</v>
      </c>
      <c r="I896" s="444"/>
      <c r="J896" s="189"/>
      <c r="K896" t="s">
        <v>659</v>
      </c>
      <c r="L896" s="291" t="s">
        <v>2015</v>
      </c>
      <c r="M896" s="128" t="s">
        <v>979</v>
      </c>
    </row>
    <row r="897" spans="1:15">
      <c r="A897" s="5">
        <v>896</v>
      </c>
      <c r="B897" s="8" t="str">
        <f t="shared" ref="B897:B928" si="17">MID(G897,8,2)</f>
        <v>MH</v>
      </c>
      <c r="C897" s="8" t="str">
        <f t="shared" si="16"/>
        <v>KB</v>
      </c>
      <c r="D897" s="224" t="s">
        <v>1989</v>
      </c>
      <c r="E897" s="5"/>
      <c r="F897" s="8"/>
      <c r="G897" s="235" t="s">
        <v>2016</v>
      </c>
      <c r="H897" s="317" t="s">
        <v>2017</v>
      </c>
      <c r="I897" s="444"/>
      <c r="J897" s="189"/>
      <c r="K897" t="s">
        <v>659</v>
      </c>
      <c r="L897" s="291" t="s">
        <v>1999</v>
      </c>
      <c r="M897" s="128" t="s">
        <v>985</v>
      </c>
    </row>
    <row r="898" spans="1:15">
      <c r="A898" s="5">
        <v>897</v>
      </c>
      <c r="B898" s="8" t="str">
        <f t="shared" si="17"/>
        <v>MH</v>
      </c>
      <c r="C898" s="8" t="str">
        <f t="shared" si="16"/>
        <v>KB</v>
      </c>
      <c r="D898" s="224" t="s">
        <v>1989</v>
      </c>
      <c r="E898" s="5"/>
      <c r="F898" s="8"/>
      <c r="G898" s="235" t="s">
        <v>2016</v>
      </c>
      <c r="H898" s="317" t="s">
        <v>2018</v>
      </c>
      <c r="I898" s="444"/>
      <c r="J898" s="189"/>
      <c r="K898" t="s">
        <v>659</v>
      </c>
      <c r="L898" s="291" t="s">
        <v>1999</v>
      </c>
      <c r="M898" s="128" t="s">
        <v>985</v>
      </c>
    </row>
    <row r="899" spans="1:15">
      <c r="A899" s="5">
        <v>898</v>
      </c>
      <c r="B899" s="8" t="str">
        <f t="shared" si="17"/>
        <v>MH</v>
      </c>
      <c r="C899" s="8" t="str">
        <f t="shared" si="16"/>
        <v>KB</v>
      </c>
      <c r="D899" s="224" t="s">
        <v>1989</v>
      </c>
      <c r="E899" s="5"/>
      <c r="F899" s="8"/>
      <c r="G899" s="235" t="s">
        <v>2019</v>
      </c>
      <c r="H899" s="317" t="s">
        <v>2020</v>
      </c>
      <c r="I899" s="444"/>
      <c r="J899" s="189"/>
      <c r="K899" t="s">
        <v>659</v>
      </c>
      <c r="L899" s="291" t="s">
        <v>2021</v>
      </c>
      <c r="M899" s="128" t="s">
        <v>985</v>
      </c>
    </row>
    <row r="900" spans="1:15">
      <c r="A900" s="5">
        <v>899</v>
      </c>
      <c r="B900" s="8" t="str">
        <f t="shared" si="17"/>
        <v>MH</v>
      </c>
      <c r="C900" s="8" t="str">
        <f t="shared" si="16"/>
        <v>KB</v>
      </c>
      <c r="D900" s="224" t="s">
        <v>1989</v>
      </c>
      <c r="E900" s="5"/>
      <c r="F900" s="8"/>
      <c r="G900" s="274" t="s">
        <v>2019</v>
      </c>
      <c r="H900" s="318" t="s">
        <v>2022</v>
      </c>
      <c r="I900" s="445"/>
      <c r="J900" s="189"/>
      <c r="K900" t="s">
        <v>659</v>
      </c>
      <c r="L900" s="291" t="s">
        <v>2021</v>
      </c>
      <c r="M900" s="128"/>
      <c r="N900" s="233" t="s">
        <v>2023</v>
      </c>
    </row>
    <row r="901" spans="1:15">
      <c r="A901" s="5">
        <v>900</v>
      </c>
      <c r="B901" s="8" t="str">
        <f t="shared" si="17"/>
        <v>MH</v>
      </c>
      <c r="C901" s="8" t="str">
        <f t="shared" si="16"/>
        <v>KB</v>
      </c>
      <c r="D901" s="224" t="s">
        <v>1989</v>
      </c>
      <c r="E901" s="5"/>
      <c r="F901" s="8"/>
      <c r="G901" s="235" t="s">
        <v>2024</v>
      </c>
      <c r="H901" s="319" t="s">
        <v>1784</v>
      </c>
      <c r="I901" s="446"/>
      <c r="J901" s="189"/>
      <c r="K901" t="s">
        <v>659</v>
      </c>
      <c r="L901" s="291" t="s">
        <v>1999</v>
      </c>
      <c r="M901" s="128" t="s">
        <v>985</v>
      </c>
    </row>
    <row r="902" spans="1:15">
      <c r="A902" s="5">
        <v>901</v>
      </c>
      <c r="B902" s="8" t="str">
        <f t="shared" si="17"/>
        <v>MH</v>
      </c>
      <c r="C902" s="8" t="str">
        <f t="shared" si="16"/>
        <v>KB</v>
      </c>
      <c r="D902" s="224" t="s">
        <v>1989</v>
      </c>
      <c r="E902" s="5"/>
      <c r="F902" s="8"/>
      <c r="G902" s="235" t="s">
        <v>2024</v>
      </c>
      <c r="H902" s="319" t="s">
        <v>1457</v>
      </c>
      <c r="I902" s="446"/>
      <c r="J902" s="189"/>
      <c r="K902" t="s">
        <v>659</v>
      </c>
      <c r="L902" s="291" t="s">
        <v>1999</v>
      </c>
      <c r="M902" s="128" t="s">
        <v>985</v>
      </c>
    </row>
    <row r="903" spans="1:15">
      <c r="A903" s="5">
        <v>902</v>
      </c>
      <c r="B903" s="8" t="str">
        <f t="shared" si="17"/>
        <v>MH</v>
      </c>
      <c r="C903" s="8" t="str">
        <f t="shared" si="16"/>
        <v>KB</v>
      </c>
      <c r="D903" s="224" t="s">
        <v>1989</v>
      </c>
      <c r="E903" s="5"/>
      <c r="F903" s="8"/>
      <c r="G903" s="235" t="s">
        <v>2024</v>
      </c>
      <c r="H903" s="319" t="s">
        <v>1459</v>
      </c>
      <c r="I903" s="446"/>
      <c r="J903" s="189"/>
      <c r="K903" t="s">
        <v>659</v>
      </c>
      <c r="L903" s="291" t="s">
        <v>1999</v>
      </c>
      <c r="M903" s="128" t="s">
        <v>979</v>
      </c>
    </row>
    <row r="904" spans="1:15" ht="36">
      <c r="A904" s="5">
        <v>903</v>
      </c>
      <c r="B904" s="8" t="str">
        <f t="shared" si="17"/>
        <v>MH</v>
      </c>
      <c r="C904" s="8" t="str">
        <f t="shared" si="16"/>
        <v>KB</v>
      </c>
      <c r="D904" s="224" t="s">
        <v>1989</v>
      </c>
      <c r="E904" s="5"/>
      <c r="F904" s="8"/>
      <c r="G904" s="235" t="s">
        <v>2024</v>
      </c>
      <c r="H904" s="319" t="s">
        <v>1461</v>
      </c>
      <c r="I904" s="446"/>
      <c r="J904" s="189"/>
      <c r="K904" t="s">
        <v>659</v>
      </c>
      <c r="L904" s="291" t="s">
        <v>1999</v>
      </c>
      <c r="M904" s="128" t="s">
        <v>985</v>
      </c>
    </row>
    <row r="905" spans="1:15">
      <c r="A905" s="5">
        <v>904</v>
      </c>
      <c r="B905" s="8" t="str">
        <f t="shared" si="17"/>
        <v>MH</v>
      </c>
      <c r="C905" s="8" t="str">
        <f t="shared" si="16"/>
        <v>KB</v>
      </c>
      <c r="D905" s="224" t="s">
        <v>1989</v>
      </c>
      <c r="E905" s="5"/>
      <c r="F905" s="8"/>
      <c r="G905" s="235" t="s">
        <v>2024</v>
      </c>
      <c r="H905" s="317" t="s">
        <v>1464</v>
      </c>
      <c r="I905" s="444"/>
      <c r="J905" s="189"/>
      <c r="K905" t="s">
        <v>659</v>
      </c>
      <c r="L905" s="291" t="s">
        <v>1999</v>
      </c>
      <c r="M905" s="128" t="s">
        <v>985</v>
      </c>
      <c r="N905" s="233" t="s">
        <v>2025</v>
      </c>
    </row>
    <row r="906" spans="1:15" ht="36">
      <c r="A906" s="5">
        <v>905</v>
      </c>
      <c r="B906" s="8" t="str">
        <f t="shared" si="17"/>
        <v>MH</v>
      </c>
      <c r="C906" s="8" t="str">
        <f t="shared" si="16"/>
        <v>KB</v>
      </c>
      <c r="D906" s="224" t="s">
        <v>2026</v>
      </c>
      <c r="E906" s="5"/>
      <c r="F906" s="8"/>
      <c r="G906" s="235" t="s">
        <v>2027</v>
      </c>
      <c r="H906" s="320" t="s">
        <v>2028</v>
      </c>
      <c r="I906" s="447"/>
      <c r="J906" s="290"/>
      <c r="K906" s="9" t="s">
        <v>659</v>
      </c>
      <c r="L906" s="291" t="s">
        <v>1999</v>
      </c>
      <c r="M906" s="228"/>
      <c r="N906" s="9" t="s">
        <v>2029</v>
      </c>
      <c r="O906" s="9" t="s">
        <v>2030</v>
      </c>
    </row>
    <row r="907" spans="1:15">
      <c r="A907" s="5">
        <v>906</v>
      </c>
      <c r="B907" s="8" t="str">
        <f t="shared" si="17"/>
        <v>MH</v>
      </c>
      <c r="C907" s="8" t="str">
        <f t="shared" si="16"/>
        <v>KB</v>
      </c>
      <c r="D907" s="224" t="s">
        <v>2026</v>
      </c>
      <c r="E907" s="5"/>
      <c r="F907" s="8"/>
      <c r="G907" s="235" t="s">
        <v>2027</v>
      </c>
      <c r="H907" s="320" t="s">
        <v>2031</v>
      </c>
      <c r="I907" s="447"/>
      <c r="J907" s="290"/>
      <c r="K907" s="9" t="s">
        <v>659</v>
      </c>
      <c r="L907" s="291" t="s">
        <v>1999</v>
      </c>
      <c r="M907" s="228"/>
      <c r="N907" s="9" t="s">
        <v>2029</v>
      </c>
      <c r="O907" s="9" t="s">
        <v>2030</v>
      </c>
    </row>
    <row r="908" spans="1:15">
      <c r="A908" s="5">
        <v>907</v>
      </c>
      <c r="B908" s="8" t="str">
        <f t="shared" si="17"/>
        <v>MH</v>
      </c>
      <c r="C908" s="8" t="str">
        <f t="shared" si="16"/>
        <v>KB</v>
      </c>
      <c r="D908" s="224" t="s">
        <v>2026</v>
      </c>
      <c r="E908" s="5"/>
      <c r="F908" s="8"/>
      <c r="G908" s="235" t="s">
        <v>2027</v>
      </c>
      <c r="H908" s="320" t="s">
        <v>2032</v>
      </c>
      <c r="I908" s="447"/>
      <c r="J908" s="290"/>
      <c r="K908" s="9" t="s">
        <v>659</v>
      </c>
      <c r="L908" s="291" t="s">
        <v>1999</v>
      </c>
      <c r="M908" s="228"/>
      <c r="N908" s="9" t="s">
        <v>2029</v>
      </c>
      <c r="O908" s="9" t="s">
        <v>2030</v>
      </c>
    </row>
    <row r="909" spans="1:15">
      <c r="A909" s="5">
        <v>908</v>
      </c>
      <c r="B909" s="8" t="str">
        <f t="shared" si="17"/>
        <v>MH</v>
      </c>
      <c r="C909" s="8" t="str">
        <f t="shared" si="16"/>
        <v>KB</v>
      </c>
      <c r="D909" s="224" t="s">
        <v>2026</v>
      </c>
      <c r="E909" s="5"/>
      <c r="F909" s="8"/>
      <c r="G909" s="235" t="s">
        <v>2033</v>
      </c>
      <c r="H909" s="317" t="s">
        <v>1928</v>
      </c>
      <c r="I909" s="444"/>
      <c r="J909" s="189"/>
      <c r="K909" t="s">
        <v>659</v>
      </c>
      <c r="L909" s="291" t="s">
        <v>1999</v>
      </c>
      <c r="M909" s="128" t="s">
        <v>985</v>
      </c>
    </row>
    <row r="910" spans="1:15">
      <c r="A910" s="5">
        <v>909</v>
      </c>
      <c r="B910" s="8" t="str">
        <f t="shared" si="17"/>
        <v>MH</v>
      </c>
      <c r="C910" s="8" t="str">
        <f t="shared" si="16"/>
        <v>KB</v>
      </c>
      <c r="D910" s="224" t="s">
        <v>2026</v>
      </c>
      <c r="E910" s="5"/>
      <c r="F910" s="8"/>
      <c r="G910" s="235" t="s">
        <v>2034</v>
      </c>
      <c r="H910" s="317" t="s">
        <v>2009</v>
      </c>
      <c r="I910" s="444"/>
      <c r="J910" s="189"/>
      <c r="K910" t="s">
        <v>659</v>
      </c>
      <c r="L910" s="291" t="s">
        <v>1999</v>
      </c>
      <c r="M910" s="128" t="s">
        <v>985</v>
      </c>
    </row>
    <row r="911" spans="1:15">
      <c r="A911" s="5">
        <v>910</v>
      </c>
      <c r="B911" s="8" t="str">
        <f t="shared" si="17"/>
        <v>MH</v>
      </c>
      <c r="C911" s="8" t="str">
        <f t="shared" si="16"/>
        <v>KB</v>
      </c>
      <c r="D911" s="224" t="s">
        <v>2026</v>
      </c>
      <c r="E911" s="5"/>
      <c r="F911" s="8"/>
      <c r="G911" s="235" t="s">
        <v>2034</v>
      </c>
      <c r="H911" s="317" t="s">
        <v>2012</v>
      </c>
      <c r="I911" s="444"/>
      <c r="J911" s="189"/>
      <c r="K911" t="s">
        <v>659</v>
      </c>
      <c r="L911" s="291" t="s">
        <v>1999</v>
      </c>
      <c r="M911" s="128" t="s">
        <v>985</v>
      </c>
    </row>
    <row r="912" spans="1:15">
      <c r="A912" s="5">
        <v>911</v>
      </c>
      <c r="B912" s="8" t="str">
        <f t="shared" si="17"/>
        <v>MH</v>
      </c>
      <c r="C912" s="8" t="str">
        <f t="shared" si="16"/>
        <v>KB</v>
      </c>
      <c r="D912" s="224" t="s">
        <v>2026</v>
      </c>
      <c r="E912" s="5"/>
      <c r="F912" s="8"/>
      <c r="G912" s="235" t="s">
        <v>2034</v>
      </c>
      <c r="H912" s="317" t="s">
        <v>2013</v>
      </c>
      <c r="I912" s="444"/>
      <c r="J912" s="189"/>
      <c r="K912" t="s">
        <v>659</v>
      </c>
      <c r="L912" s="291" t="s">
        <v>1999</v>
      </c>
      <c r="M912" s="128" t="s">
        <v>985</v>
      </c>
    </row>
    <row r="913" spans="1:14">
      <c r="A913" s="5">
        <v>912</v>
      </c>
      <c r="B913" s="8" t="str">
        <f t="shared" si="17"/>
        <v>MH</v>
      </c>
      <c r="C913" s="8" t="str">
        <f t="shared" si="16"/>
        <v>KB</v>
      </c>
      <c r="D913" s="224" t="s">
        <v>2026</v>
      </c>
      <c r="E913" s="5"/>
      <c r="F913" s="8"/>
      <c r="G913" s="235" t="s">
        <v>2034</v>
      </c>
      <c r="H913" s="317" t="s">
        <v>2014</v>
      </c>
      <c r="I913" s="444"/>
      <c r="J913" s="189"/>
      <c r="K913" t="s">
        <v>659</v>
      </c>
      <c r="L913" s="291" t="s">
        <v>1999</v>
      </c>
      <c r="M913" s="128" t="s">
        <v>985</v>
      </c>
    </row>
    <row r="914" spans="1:14">
      <c r="A914" s="5">
        <v>913</v>
      </c>
      <c r="B914" s="8" t="str">
        <f t="shared" si="17"/>
        <v>MH</v>
      </c>
      <c r="C914" s="8" t="str">
        <f t="shared" si="16"/>
        <v>KB</v>
      </c>
      <c r="D914" s="224" t="s">
        <v>2026</v>
      </c>
      <c r="E914" s="5"/>
      <c r="F914" s="8"/>
      <c r="G914" s="235" t="s">
        <v>2034</v>
      </c>
      <c r="H914" s="317" t="s">
        <v>786</v>
      </c>
      <c r="I914" s="444"/>
      <c r="J914" s="189"/>
      <c r="K914" t="s">
        <v>659</v>
      </c>
      <c r="L914" s="291" t="s">
        <v>1999</v>
      </c>
      <c r="M914" s="128" t="s">
        <v>985</v>
      </c>
    </row>
    <row r="915" spans="1:14" ht="36">
      <c r="A915" s="5">
        <v>914</v>
      </c>
      <c r="B915" s="8" t="str">
        <f t="shared" si="17"/>
        <v>TO</v>
      </c>
      <c r="C915" s="8" t="str">
        <f t="shared" si="16"/>
        <v>KB</v>
      </c>
      <c r="D915" s="224" t="s">
        <v>2035</v>
      </c>
      <c r="E915" s="5"/>
      <c r="F915" s="8"/>
      <c r="G915" s="235" t="s">
        <v>2036</v>
      </c>
      <c r="H915" s="317" t="s">
        <v>2037</v>
      </c>
      <c r="I915" s="444"/>
      <c r="J915" s="189"/>
      <c r="K915" t="s">
        <v>659</v>
      </c>
      <c r="L915" s="291" t="s">
        <v>1999</v>
      </c>
      <c r="M915" s="128" t="s">
        <v>2038</v>
      </c>
    </row>
    <row r="916" spans="1:14" ht="36">
      <c r="A916" s="5">
        <v>915</v>
      </c>
      <c r="B916" s="8" t="str">
        <f t="shared" si="17"/>
        <v>TO</v>
      </c>
      <c r="C916" s="8" t="str">
        <f t="shared" si="16"/>
        <v>KB</v>
      </c>
      <c r="D916" s="224" t="s">
        <v>2035</v>
      </c>
      <c r="E916" s="5"/>
      <c r="F916" s="8"/>
      <c r="G916" s="235" t="s">
        <v>2036</v>
      </c>
      <c r="H916" s="317" t="s">
        <v>2039</v>
      </c>
      <c r="I916" s="444"/>
      <c r="J916" s="189"/>
      <c r="K916" t="s">
        <v>659</v>
      </c>
      <c r="L916" s="291" t="s">
        <v>1999</v>
      </c>
      <c r="M916" s="128" t="s">
        <v>2038</v>
      </c>
    </row>
    <row r="917" spans="1:14" ht="36">
      <c r="A917" s="5">
        <v>916</v>
      </c>
      <c r="B917" s="8" t="str">
        <f t="shared" si="17"/>
        <v>TO</v>
      </c>
      <c r="C917" s="8" t="str">
        <f t="shared" si="16"/>
        <v>KB</v>
      </c>
      <c r="D917" s="224" t="s">
        <v>2035</v>
      </c>
      <c r="E917" s="5"/>
      <c r="F917" s="8"/>
      <c r="G917" s="235" t="s">
        <v>2036</v>
      </c>
      <c r="H917" s="317" t="s">
        <v>1908</v>
      </c>
      <c r="I917" s="444"/>
      <c r="J917" s="189"/>
      <c r="K917" t="s">
        <v>659</v>
      </c>
      <c r="L917" s="291" t="s">
        <v>1999</v>
      </c>
      <c r="M917" s="128" t="s">
        <v>2038</v>
      </c>
    </row>
    <row r="918" spans="1:14" ht="36">
      <c r="A918" s="5">
        <v>917</v>
      </c>
      <c r="B918" s="8" t="str">
        <f t="shared" si="17"/>
        <v>TO</v>
      </c>
      <c r="C918" s="8" t="str">
        <f t="shared" si="16"/>
        <v>KB</v>
      </c>
      <c r="D918" s="224" t="s">
        <v>2035</v>
      </c>
      <c r="E918" s="5"/>
      <c r="F918" s="8"/>
      <c r="G918" s="235" t="s">
        <v>2036</v>
      </c>
      <c r="H918" s="317" t="s">
        <v>1755</v>
      </c>
      <c r="I918" s="444"/>
      <c r="J918" s="189"/>
      <c r="K918" t="s">
        <v>659</v>
      </c>
      <c r="L918" s="291" t="s">
        <v>1999</v>
      </c>
      <c r="M918" s="128" t="s">
        <v>2038</v>
      </c>
    </row>
    <row r="919" spans="1:14" ht="36">
      <c r="A919" s="5">
        <v>918</v>
      </c>
      <c r="B919" s="8" t="str">
        <f t="shared" si="17"/>
        <v>TO</v>
      </c>
      <c r="C919" s="8" t="str">
        <f t="shared" si="16"/>
        <v>KB</v>
      </c>
      <c r="D919" s="224" t="s">
        <v>2035</v>
      </c>
      <c r="E919" s="5"/>
      <c r="F919" s="8"/>
      <c r="G919" s="235" t="s">
        <v>2036</v>
      </c>
      <c r="H919" s="317" t="s">
        <v>2040</v>
      </c>
      <c r="I919" s="444"/>
      <c r="J919" s="189"/>
      <c r="K919" t="s">
        <v>659</v>
      </c>
      <c r="L919" s="291" t="s">
        <v>1999</v>
      </c>
      <c r="M919" s="128" t="s">
        <v>2038</v>
      </c>
    </row>
    <row r="920" spans="1:14" ht="36">
      <c r="A920" s="5">
        <v>919</v>
      </c>
      <c r="B920" s="8" t="str">
        <f t="shared" si="17"/>
        <v>TO</v>
      </c>
      <c r="C920" s="8" t="str">
        <f t="shared" si="16"/>
        <v>KB</v>
      </c>
      <c r="D920" s="224" t="s">
        <v>2035</v>
      </c>
      <c r="E920" s="5"/>
      <c r="F920" s="8"/>
      <c r="G920" s="235" t="s">
        <v>2041</v>
      </c>
      <c r="H920" s="317" t="s">
        <v>2042</v>
      </c>
      <c r="I920" s="444"/>
      <c r="J920" s="189"/>
      <c r="K920" t="s">
        <v>659</v>
      </c>
      <c r="L920" s="291" t="s">
        <v>2043</v>
      </c>
      <c r="M920" s="128"/>
    </row>
    <row r="921" spans="1:14" ht="36">
      <c r="A921" s="5">
        <v>920</v>
      </c>
      <c r="B921" s="8" t="str">
        <f t="shared" si="17"/>
        <v>TO</v>
      </c>
      <c r="C921" s="8" t="str">
        <f t="shared" si="16"/>
        <v>KB</v>
      </c>
      <c r="D921" s="224" t="s">
        <v>2035</v>
      </c>
      <c r="E921" s="5"/>
      <c r="F921" s="8"/>
      <c r="G921" s="235" t="s">
        <v>2041</v>
      </c>
      <c r="H921" s="317" t="s">
        <v>111</v>
      </c>
      <c r="I921" s="444"/>
      <c r="J921" s="189"/>
      <c r="K921" t="s">
        <v>659</v>
      </c>
      <c r="L921" s="291" t="s">
        <v>2043</v>
      </c>
      <c r="M921" s="128"/>
    </row>
    <row r="922" spans="1:14" ht="36">
      <c r="A922" s="5">
        <v>921</v>
      </c>
      <c r="B922" s="8" t="str">
        <f t="shared" si="17"/>
        <v>TO</v>
      </c>
      <c r="C922" s="8" t="str">
        <f t="shared" si="16"/>
        <v>KB</v>
      </c>
      <c r="D922" s="224" t="s">
        <v>2035</v>
      </c>
      <c r="E922" s="5"/>
      <c r="F922" s="8"/>
      <c r="G922" s="235" t="s">
        <v>2041</v>
      </c>
      <c r="H922" s="317" t="s">
        <v>1731</v>
      </c>
      <c r="I922" s="444"/>
      <c r="J922" s="189"/>
      <c r="K922" t="s">
        <v>659</v>
      </c>
      <c r="L922" s="291" t="s">
        <v>2043</v>
      </c>
      <c r="M922" s="128"/>
    </row>
    <row r="923" spans="1:14" ht="36">
      <c r="A923" s="5">
        <v>922</v>
      </c>
      <c r="B923" s="8" t="str">
        <f t="shared" si="17"/>
        <v>TO</v>
      </c>
      <c r="C923" s="8" t="str">
        <f t="shared" ref="C923:C951" si="18">MID(G923,11,2)</f>
        <v>KB</v>
      </c>
      <c r="D923" s="224" t="s">
        <v>2035</v>
      </c>
      <c r="E923" s="5"/>
      <c r="F923" s="8"/>
      <c r="G923" s="235" t="s">
        <v>2041</v>
      </c>
      <c r="H923" s="317" t="s">
        <v>1909</v>
      </c>
      <c r="I923" s="444"/>
      <c r="J923" s="189"/>
      <c r="K923" t="s">
        <v>659</v>
      </c>
      <c r="L923" s="291" t="s">
        <v>2043</v>
      </c>
      <c r="M923" s="128"/>
    </row>
    <row r="924" spans="1:14" ht="36">
      <c r="A924" s="5">
        <v>923</v>
      </c>
      <c r="B924" s="8" t="str">
        <f t="shared" si="17"/>
        <v>TO</v>
      </c>
      <c r="C924" s="8" t="str">
        <f t="shared" si="18"/>
        <v>KB</v>
      </c>
      <c r="D924" s="224" t="s">
        <v>2035</v>
      </c>
      <c r="E924" s="5"/>
      <c r="F924" s="8"/>
      <c r="G924" s="235" t="s">
        <v>2041</v>
      </c>
      <c r="H924" s="317" t="s">
        <v>2044</v>
      </c>
      <c r="I924" s="444"/>
      <c r="J924" s="189"/>
      <c r="K924" t="s">
        <v>659</v>
      </c>
      <c r="L924" s="291" t="s">
        <v>5775</v>
      </c>
      <c r="M924" s="128"/>
    </row>
    <row r="925" spans="1:14" ht="36">
      <c r="A925" s="5">
        <v>924</v>
      </c>
      <c r="B925" s="8" t="str">
        <f t="shared" si="17"/>
        <v>TO</v>
      </c>
      <c r="C925" s="8" t="str">
        <f t="shared" si="18"/>
        <v>KB</v>
      </c>
      <c r="D925" s="224" t="s">
        <v>2035</v>
      </c>
      <c r="E925" s="5"/>
      <c r="F925" s="8"/>
      <c r="G925" s="235" t="s">
        <v>2045</v>
      </c>
      <c r="H925" s="317" t="s">
        <v>1910</v>
      </c>
      <c r="I925" s="444"/>
      <c r="J925" s="189"/>
      <c r="K925" t="s">
        <v>659</v>
      </c>
      <c r="L925" s="291" t="s">
        <v>1999</v>
      </c>
      <c r="M925" s="128"/>
      <c r="N925" t="s">
        <v>2046</v>
      </c>
    </row>
    <row r="926" spans="1:14" ht="36">
      <c r="A926" s="5">
        <v>925</v>
      </c>
      <c r="B926" s="8" t="str">
        <f t="shared" si="17"/>
        <v>TO</v>
      </c>
      <c r="C926" s="8" t="str">
        <f t="shared" si="18"/>
        <v>KB</v>
      </c>
      <c r="D926" s="224" t="s">
        <v>2035</v>
      </c>
      <c r="E926" s="5"/>
      <c r="F926" s="8"/>
      <c r="G926" s="235" t="s">
        <v>2045</v>
      </c>
      <c r="H926" s="317" t="s">
        <v>1912</v>
      </c>
      <c r="I926" s="444"/>
      <c r="J926" s="189"/>
      <c r="K926" t="s">
        <v>659</v>
      </c>
      <c r="L926" s="291" t="s">
        <v>1999</v>
      </c>
      <c r="M926" s="128"/>
      <c r="N926" t="s">
        <v>2046</v>
      </c>
    </row>
    <row r="927" spans="1:14" ht="36">
      <c r="A927" s="5">
        <v>926</v>
      </c>
      <c r="B927" s="8" t="str">
        <f t="shared" si="17"/>
        <v>TO</v>
      </c>
      <c r="C927" s="8" t="str">
        <f t="shared" si="18"/>
        <v>KB</v>
      </c>
      <c r="D927" s="224" t="s">
        <v>2035</v>
      </c>
      <c r="E927" s="5"/>
      <c r="F927" s="8"/>
      <c r="G927" s="235" t="s">
        <v>2047</v>
      </c>
      <c r="H927" s="317" t="s">
        <v>1406</v>
      </c>
      <c r="I927" s="444"/>
      <c r="J927" s="189"/>
      <c r="K927" t="s">
        <v>659</v>
      </c>
      <c r="L927" s="292" t="s">
        <v>1999</v>
      </c>
      <c r="M927" s="128" t="s">
        <v>1083</v>
      </c>
    </row>
    <row r="928" spans="1:14" ht="36">
      <c r="A928" s="5">
        <v>927</v>
      </c>
      <c r="B928" s="8" t="str">
        <f t="shared" si="17"/>
        <v>TO</v>
      </c>
      <c r="C928" s="8" t="str">
        <f t="shared" si="18"/>
        <v>KB</v>
      </c>
      <c r="D928" s="224" t="s">
        <v>2035</v>
      </c>
      <c r="E928" s="5"/>
      <c r="F928" s="8"/>
      <c r="G928" s="235" t="s">
        <v>2047</v>
      </c>
      <c r="H928" s="317" t="s">
        <v>1762</v>
      </c>
      <c r="I928" s="444"/>
      <c r="J928" s="189"/>
      <c r="K928" t="s">
        <v>659</v>
      </c>
      <c r="L928" s="292" t="s">
        <v>1999</v>
      </c>
      <c r="M928" s="128" t="s">
        <v>1083</v>
      </c>
    </row>
    <row r="929" spans="1:13" ht="36">
      <c r="A929" s="5">
        <v>928</v>
      </c>
      <c r="B929" s="8" t="str">
        <f t="shared" ref="B929:B951" si="19">MID(G929,8,2)</f>
        <v>TO</v>
      </c>
      <c r="C929" s="8" t="str">
        <f t="shared" si="18"/>
        <v>KB</v>
      </c>
      <c r="D929" s="224" t="s">
        <v>2035</v>
      </c>
      <c r="E929" s="5"/>
      <c r="F929" s="8"/>
      <c r="G929" s="235" t="s">
        <v>2047</v>
      </c>
      <c r="H929" s="317" t="s">
        <v>1914</v>
      </c>
      <c r="I929" s="444"/>
      <c r="J929" s="189"/>
      <c r="K929" t="s">
        <v>659</v>
      </c>
      <c r="L929" s="292" t="s">
        <v>1999</v>
      </c>
      <c r="M929" s="128" t="s">
        <v>1083</v>
      </c>
    </row>
    <row r="930" spans="1:13" ht="36">
      <c r="A930" s="5">
        <v>929</v>
      </c>
      <c r="B930" s="8" t="str">
        <f t="shared" si="19"/>
        <v>TO</v>
      </c>
      <c r="C930" s="8" t="str">
        <f t="shared" si="18"/>
        <v>KB</v>
      </c>
      <c r="D930" s="224" t="s">
        <v>2035</v>
      </c>
      <c r="E930" s="5"/>
      <c r="F930" s="8"/>
      <c r="G930" s="235" t="s">
        <v>2047</v>
      </c>
      <c r="H930" s="317" t="s">
        <v>1915</v>
      </c>
      <c r="I930" s="444"/>
      <c r="J930" s="189"/>
      <c r="K930" t="s">
        <v>659</v>
      </c>
      <c r="L930" s="292" t="s">
        <v>1999</v>
      </c>
      <c r="M930" s="128" t="s">
        <v>1083</v>
      </c>
    </row>
    <row r="931" spans="1:13" ht="36">
      <c r="A931" s="5">
        <v>930</v>
      </c>
      <c r="B931" s="8" t="str">
        <f t="shared" si="19"/>
        <v>TO</v>
      </c>
      <c r="C931" s="8" t="str">
        <f t="shared" si="18"/>
        <v>KB</v>
      </c>
      <c r="D931" s="224" t="s">
        <v>2035</v>
      </c>
      <c r="E931" s="5"/>
      <c r="F931" s="8"/>
      <c r="G931" s="235" t="s">
        <v>2048</v>
      </c>
      <c r="H931" s="317" t="s">
        <v>2049</v>
      </c>
      <c r="I931" s="444"/>
      <c r="J931" s="189"/>
      <c r="K931" t="s">
        <v>659</v>
      </c>
      <c r="L931" s="292" t="s">
        <v>2043</v>
      </c>
      <c r="M931" s="128"/>
    </row>
    <row r="932" spans="1:13" ht="36">
      <c r="A932" s="5">
        <v>931</v>
      </c>
      <c r="B932" s="8" t="str">
        <f t="shared" si="19"/>
        <v>TO</v>
      </c>
      <c r="C932" s="8" t="str">
        <f t="shared" si="18"/>
        <v>KB</v>
      </c>
      <c r="D932" s="224" t="s">
        <v>2035</v>
      </c>
      <c r="E932" s="5"/>
      <c r="F932" s="8"/>
      <c r="G932" s="235" t="s">
        <v>2048</v>
      </c>
      <c r="H932" s="317" t="s">
        <v>2050</v>
      </c>
      <c r="I932" s="444"/>
      <c r="J932" s="189"/>
      <c r="K932" t="s">
        <v>659</v>
      </c>
      <c r="L932" s="292" t="s">
        <v>2043</v>
      </c>
      <c r="M932" s="128"/>
    </row>
    <row r="933" spans="1:13" ht="36">
      <c r="A933" s="5">
        <v>932</v>
      </c>
      <c r="B933" s="8" t="str">
        <f t="shared" si="19"/>
        <v>TO</v>
      </c>
      <c r="C933" s="8" t="str">
        <f t="shared" si="18"/>
        <v>KB</v>
      </c>
      <c r="D933" s="224" t="s">
        <v>2035</v>
      </c>
      <c r="E933" s="5"/>
      <c r="F933" s="8"/>
      <c r="G933" s="235" t="s">
        <v>2048</v>
      </c>
      <c r="H933" s="317" t="s">
        <v>65</v>
      </c>
      <c r="I933" s="444"/>
      <c r="J933" s="189"/>
      <c r="K933" t="s">
        <v>659</v>
      </c>
      <c r="L933" s="292" t="s">
        <v>2043</v>
      </c>
      <c r="M933" s="128"/>
    </row>
    <row r="934" spans="1:13" ht="36">
      <c r="A934" s="5">
        <v>933</v>
      </c>
      <c r="B934" s="8" t="str">
        <f t="shared" si="19"/>
        <v>TO</v>
      </c>
      <c r="C934" s="8" t="str">
        <f t="shared" si="18"/>
        <v>KB</v>
      </c>
      <c r="D934" s="224" t="s">
        <v>2035</v>
      </c>
      <c r="E934" s="5"/>
      <c r="F934" s="8"/>
      <c r="G934" s="235" t="s">
        <v>2048</v>
      </c>
      <c r="H934" s="317" t="s">
        <v>1763</v>
      </c>
      <c r="I934" s="444"/>
      <c r="J934" s="189"/>
      <c r="K934" t="s">
        <v>659</v>
      </c>
      <c r="L934" s="292" t="s">
        <v>2043</v>
      </c>
      <c r="M934" s="128"/>
    </row>
    <row r="935" spans="1:13" ht="36">
      <c r="A935" s="5">
        <v>934</v>
      </c>
      <c r="B935" s="8" t="str">
        <f t="shared" si="19"/>
        <v>TO</v>
      </c>
      <c r="C935" s="8" t="str">
        <f t="shared" si="18"/>
        <v>KB</v>
      </c>
      <c r="D935" s="224" t="s">
        <v>2035</v>
      </c>
      <c r="E935" s="5"/>
      <c r="F935" s="8"/>
      <c r="G935" s="235" t="s">
        <v>2048</v>
      </c>
      <c r="H935" s="317" t="s">
        <v>2051</v>
      </c>
      <c r="I935" s="444"/>
      <c r="J935" s="189"/>
      <c r="K935" t="s">
        <v>659</v>
      </c>
      <c r="L935" s="292" t="s">
        <v>2043</v>
      </c>
      <c r="M935" s="128"/>
    </row>
    <row r="936" spans="1:13" ht="36">
      <c r="A936" s="5">
        <v>935</v>
      </c>
      <c r="B936" s="8" t="str">
        <f t="shared" si="19"/>
        <v>TO</v>
      </c>
      <c r="C936" s="8" t="str">
        <f t="shared" si="18"/>
        <v>KB</v>
      </c>
      <c r="D936" s="224" t="s">
        <v>2035</v>
      </c>
      <c r="E936" s="5"/>
      <c r="F936" s="8"/>
      <c r="G936" s="235" t="s">
        <v>2048</v>
      </c>
      <c r="H936" s="317" t="s">
        <v>2052</v>
      </c>
      <c r="I936" s="444"/>
      <c r="J936" s="189"/>
      <c r="K936" t="s">
        <v>659</v>
      </c>
      <c r="L936" s="292" t="s">
        <v>2043</v>
      </c>
      <c r="M936" s="128"/>
    </row>
    <row r="937" spans="1:13" ht="36">
      <c r="A937" s="5">
        <v>936</v>
      </c>
      <c r="B937" s="8" t="str">
        <f t="shared" si="19"/>
        <v>TO</v>
      </c>
      <c r="C937" s="8" t="str">
        <f t="shared" si="18"/>
        <v>KB</v>
      </c>
      <c r="D937" s="224" t="s">
        <v>2035</v>
      </c>
      <c r="E937" s="5"/>
      <c r="F937" s="8"/>
      <c r="G937" s="235" t="s">
        <v>2048</v>
      </c>
      <c r="H937" s="317" t="s">
        <v>2053</v>
      </c>
      <c r="I937" s="444"/>
      <c r="J937" s="189"/>
      <c r="K937" t="s">
        <v>659</v>
      </c>
      <c r="L937" s="292" t="s">
        <v>2043</v>
      </c>
      <c r="M937" s="128"/>
    </row>
    <row r="938" spans="1:13" ht="36">
      <c r="A938" s="5">
        <v>937</v>
      </c>
      <c r="B938" s="8" t="str">
        <f t="shared" si="19"/>
        <v>TO</v>
      </c>
      <c r="C938" s="8" t="str">
        <f t="shared" si="18"/>
        <v>KB</v>
      </c>
      <c r="D938" s="224" t="s">
        <v>2035</v>
      </c>
      <c r="E938" s="5"/>
      <c r="F938" s="8"/>
      <c r="G938" s="235" t="s">
        <v>2054</v>
      </c>
      <c r="H938" s="306" t="s">
        <v>1917</v>
      </c>
      <c r="J938" s="189"/>
      <c r="K938" t="s">
        <v>659</v>
      </c>
      <c r="L938" s="292" t="s">
        <v>1999</v>
      </c>
      <c r="M938" s="1" t="s">
        <v>1083</v>
      </c>
    </row>
    <row r="939" spans="1:13" ht="36">
      <c r="A939" s="5">
        <v>938</v>
      </c>
      <c r="B939" s="8" t="str">
        <f t="shared" si="19"/>
        <v>TO</v>
      </c>
      <c r="C939" s="8" t="str">
        <f t="shared" si="18"/>
        <v>KB</v>
      </c>
      <c r="D939" s="224" t="s">
        <v>2035</v>
      </c>
      <c r="E939" s="5"/>
      <c r="F939" s="8"/>
      <c r="G939" s="235" t="s">
        <v>2054</v>
      </c>
      <c r="H939" s="317" t="s">
        <v>1919</v>
      </c>
      <c r="I939" s="444"/>
      <c r="J939" s="189"/>
      <c r="K939" t="s">
        <v>659</v>
      </c>
      <c r="L939" s="292" t="s">
        <v>1999</v>
      </c>
      <c r="M939" s="1" t="s">
        <v>1083</v>
      </c>
    </row>
    <row r="940" spans="1:13" ht="36">
      <c r="A940" s="5">
        <v>939</v>
      </c>
      <c r="B940" s="8" t="str">
        <f t="shared" si="19"/>
        <v>TO</v>
      </c>
      <c r="C940" s="8" t="str">
        <f t="shared" si="18"/>
        <v>KB</v>
      </c>
      <c r="D940" s="224" t="s">
        <v>2035</v>
      </c>
      <c r="E940" s="5"/>
      <c r="F940" s="8"/>
      <c r="G940" s="235" t="s">
        <v>2055</v>
      </c>
      <c r="H940" s="317" t="s">
        <v>1921</v>
      </c>
      <c r="I940" s="444"/>
      <c r="J940" s="189"/>
      <c r="K940" t="s">
        <v>659</v>
      </c>
      <c r="L940" s="292" t="s">
        <v>1999</v>
      </c>
      <c r="M940" s="1" t="s">
        <v>1083</v>
      </c>
    </row>
    <row r="941" spans="1:13" ht="36">
      <c r="A941" s="5">
        <v>940</v>
      </c>
      <c r="B941" s="8" t="str">
        <f t="shared" si="19"/>
        <v>TO</v>
      </c>
      <c r="C941" s="8" t="str">
        <f t="shared" si="18"/>
        <v>KB</v>
      </c>
      <c r="D941" s="224" t="s">
        <v>2035</v>
      </c>
      <c r="E941" s="5"/>
      <c r="F941" s="8"/>
      <c r="G941" s="235" t="s">
        <v>2055</v>
      </c>
      <c r="H941" s="317" t="s">
        <v>1923</v>
      </c>
      <c r="I941" s="444"/>
      <c r="J941" s="189"/>
      <c r="K941" t="s">
        <v>659</v>
      </c>
      <c r="L941" s="292" t="s">
        <v>1999</v>
      </c>
      <c r="M941" s="1" t="s">
        <v>1083</v>
      </c>
    </row>
    <row r="942" spans="1:13" ht="36">
      <c r="A942" s="5">
        <v>941</v>
      </c>
      <c r="B942" s="8" t="str">
        <f t="shared" si="19"/>
        <v>TO</v>
      </c>
      <c r="C942" s="8" t="str">
        <f t="shared" si="18"/>
        <v>KB</v>
      </c>
      <c r="D942" s="224" t="s">
        <v>2035</v>
      </c>
      <c r="E942" s="5"/>
      <c r="F942" s="8"/>
      <c r="G942" s="235" t="s">
        <v>2055</v>
      </c>
      <c r="H942" s="317" t="s">
        <v>1924</v>
      </c>
      <c r="I942" s="444"/>
      <c r="J942" s="189"/>
      <c r="K942" t="s">
        <v>659</v>
      </c>
      <c r="L942" s="292" t="s">
        <v>1999</v>
      </c>
      <c r="M942" s="1" t="s">
        <v>1083</v>
      </c>
    </row>
    <row r="943" spans="1:13" ht="36">
      <c r="A943" s="5">
        <v>942</v>
      </c>
      <c r="B943" s="8" t="str">
        <f t="shared" si="19"/>
        <v>TO</v>
      </c>
      <c r="C943" s="8" t="str">
        <f t="shared" si="18"/>
        <v>KB</v>
      </c>
      <c r="D943" s="224" t="s">
        <v>2035</v>
      </c>
      <c r="E943" s="5"/>
      <c r="F943" s="8"/>
      <c r="G943" s="235" t="s">
        <v>2056</v>
      </c>
      <c r="H943" s="317" t="s">
        <v>2057</v>
      </c>
      <c r="I943" s="444"/>
      <c r="J943" s="189"/>
      <c r="K943" t="s">
        <v>659</v>
      </c>
      <c r="L943" s="292" t="s">
        <v>1999</v>
      </c>
      <c r="M943" s="1" t="s">
        <v>1083</v>
      </c>
    </row>
    <row r="944" spans="1:13" ht="36">
      <c r="A944" s="5">
        <v>943</v>
      </c>
      <c r="B944" s="8" t="str">
        <f t="shared" si="19"/>
        <v>TO</v>
      </c>
      <c r="C944" s="8" t="str">
        <f t="shared" si="18"/>
        <v>KB</v>
      </c>
      <c r="D944" s="224" t="s">
        <v>2035</v>
      </c>
      <c r="E944" s="5"/>
      <c r="F944" s="8"/>
      <c r="G944" s="235" t="s">
        <v>2058</v>
      </c>
      <c r="H944" s="317" t="s">
        <v>1926</v>
      </c>
      <c r="I944" s="444"/>
      <c r="J944" s="189"/>
      <c r="K944" t="s">
        <v>1434</v>
      </c>
      <c r="L944" s="292" t="s">
        <v>1999</v>
      </c>
      <c r="M944" s="1" t="s">
        <v>1083</v>
      </c>
    </row>
    <row r="945" spans="1:15" ht="36">
      <c r="A945" s="5">
        <v>944</v>
      </c>
      <c r="B945" s="8" t="str">
        <f t="shared" si="19"/>
        <v>TO</v>
      </c>
      <c r="C945" s="8" t="str">
        <f t="shared" si="18"/>
        <v>KB</v>
      </c>
      <c r="D945" s="224" t="s">
        <v>2035</v>
      </c>
      <c r="E945" s="5"/>
      <c r="F945" s="8"/>
      <c r="G945" s="235" t="s">
        <v>2059</v>
      </c>
      <c r="H945" s="317" t="s">
        <v>2060</v>
      </c>
      <c r="I945" s="444"/>
      <c r="J945" s="189"/>
      <c r="K945" t="s">
        <v>659</v>
      </c>
      <c r="L945" s="292" t="s">
        <v>1999</v>
      </c>
      <c r="M945" s="1" t="s">
        <v>1083</v>
      </c>
      <c r="O945" s="8" t="s">
        <v>1086</v>
      </c>
    </row>
    <row r="946" spans="1:15" ht="36">
      <c r="A946" s="5">
        <v>945</v>
      </c>
      <c r="B946" s="8" t="str">
        <f t="shared" si="19"/>
        <v>TO</v>
      </c>
      <c r="C946" s="8" t="str">
        <f t="shared" si="18"/>
        <v>KB</v>
      </c>
      <c r="D946" s="224" t="s">
        <v>2035</v>
      </c>
      <c r="E946" s="5"/>
      <c r="F946" s="8"/>
      <c r="G946" s="235" t="s">
        <v>2059</v>
      </c>
      <c r="H946" s="317" t="s">
        <v>2061</v>
      </c>
      <c r="I946" s="444"/>
      <c r="J946" s="189"/>
      <c r="K946" t="s">
        <v>659</v>
      </c>
      <c r="L946" s="292" t="s">
        <v>1999</v>
      </c>
      <c r="M946" s="1" t="s">
        <v>1083</v>
      </c>
      <c r="O946" s="8" t="s">
        <v>1079</v>
      </c>
    </row>
    <row r="947" spans="1:15" ht="36">
      <c r="A947" s="5">
        <v>946</v>
      </c>
      <c r="B947" s="8" t="str">
        <f t="shared" si="19"/>
        <v>TO</v>
      </c>
      <c r="C947" s="8" t="str">
        <f t="shared" si="18"/>
        <v>KB</v>
      </c>
      <c r="D947" s="224" t="s">
        <v>2035</v>
      </c>
      <c r="E947" s="5"/>
      <c r="F947" s="8"/>
      <c r="G947" s="235" t="s">
        <v>1085</v>
      </c>
      <c r="H947" s="317" t="s">
        <v>2062</v>
      </c>
      <c r="I947" s="444"/>
      <c r="J947" s="189"/>
      <c r="K947" t="s">
        <v>659</v>
      </c>
      <c r="L947" s="292" t="s">
        <v>1999</v>
      </c>
      <c r="M947" s="1" t="s">
        <v>1083</v>
      </c>
      <c r="O947" s="8" t="s">
        <v>1086</v>
      </c>
    </row>
    <row r="948" spans="1:15" ht="36">
      <c r="A948" s="5">
        <v>947</v>
      </c>
      <c r="B948" s="8" t="str">
        <f t="shared" si="19"/>
        <v>TO</v>
      </c>
      <c r="C948" s="8" t="str">
        <f t="shared" si="18"/>
        <v>KB</v>
      </c>
      <c r="D948" s="224" t="s">
        <v>2035</v>
      </c>
      <c r="E948" s="5"/>
      <c r="F948" s="8"/>
      <c r="G948" s="235" t="s">
        <v>1085</v>
      </c>
      <c r="H948" s="306" t="s">
        <v>2063</v>
      </c>
      <c r="J948" s="189"/>
      <c r="K948" t="s">
        <v>659</v>
      </c>
      <c r="L948" s="292" t="s">
        <v>1999</v>
      </c>
      <c r="M948" s="1" t="s">
        <v>1083</v>
      </c>
      <c r="O948" s="8" t="s">
        <v>1086</v>
      </c>
    </row>
    <row r="949" spans="1:15" ht="36">
      <c r="A949" s="5">
        <v>948</v>
      </c>
      <c r="B949" s="8" t="str">
        <f t="shared" si="19"/>
        <v>TO</v>
      </c>
      <c r="C949" s="8" t="str">
        <f t="shared" si="18"/>
        <v>KB</v>
      </c>
      <c r="D949" s="224" t="s">
        <v>2035</v>
      </c>
      <c r="E949" s="5"/>
      <c r="F949" s="8"/>
      <c r="G949" s="235" t="s">
        <v>1085</v>
      </c>
      <c r="H949" s="306" t="s">
        <v>2064</v>
      </c>
      <c r="J949" s="189"/>
      <c r="K949" t="s">
        <v>659</v>
      </c>
      <c r="L949" s="292" t="s">
        <v>1999</v>
      </c>
      <c r="M949" s="1" t="s">
        <v>1083</v>
      </c>
      <c r="O949" s="8" t="s">
        <v>1079</v>
      </c>
    </row>
    <row r="950" spans="1:15" ht="36">
      <c r="A950" s="5">
        <v>949</v>
      </c>
      <c r="B950" s="8" t="str">
        <f t="shared" si="19"/>
        <v>TO</v>
      </c>
      <c r="C950" s="8" t="str">
        <f t="shared" si="18"/>
        <v>KB</v>
      </c>
      <c r="D950" s="224" t="s">
        <v>2035</v>
      </c>
      <c r="E950" s="5"/>
      <c r="F950" s="8"/>
      <c r="G950" s="235" t="s">
        <v>1085</v>
      </c>
      <c r="H950" s="306" t="s">
        <v>2065</v>
      </c>
      <c r="J950" s="189"/>
      <c r="K950" t="s">
        <v>659</v>
      </c>
      <c r="L950" s="292" t="s">
        <v>1999</v>
      </c>
      <c r="M950" s="1" t="s">
        <v>1083</v>
      </c>
      <c r="O950" s="8" t="s">
        <v>1086</v>
      </c>
    </row>
    <row r="951" spans="1:15" ht="36">
      <c r="A951" s="5">
        <v>950</v>
      </c>
      <c r="B951" s="8" t="str">
        <f t="shared" si="19"/>
        <v>TO</v>
      </c>
      <c r="C951" s="8" t="str">
        <f t="shared" si="18"/>
        <v>KB</v>
      </c>
      <c r="D951" s="224" t="s">
        <v>2035</v>
      </c>
      <c r="E951" s="5"/>
      <c r="F951" s="8"/>
      <c r="G951" s="235" t="s">
        <v>1085</v>
      </c>
      <c r="H951" s="306" t="s">
        <v>2066</v>
      </c>
      <c r="J951" s="189"/>
      <c r="K951" t="s">
        <v>659</v>
      </c>
      <c r="L951" s="292" t="s">
        <v>1999</v>
      </c>
      <c r="M951" s="1" t="s">
        <v>1083</v>
      </c>
      <c r="O951" s="8" t="s">
        <v>1086</v>
      </c>
    </row>
    <row r="952" spans="1:15" ht="36">
      <c r="A952" s="5">
        <v>951</v>
      </c>
      <c r="B952" s="8" t="str">
        <f>MID(G947,8,2)</f>
        <v>TO</v>
      </c>
      <c r="C952" s="8" t="str">
        <f>MID(G947,11,2)</f>
        <v>KB</v>
      </c>
      <c r="D952" s="224" t="s">
        <v>2035</v>
      </c>
      <c r="E952" s="5"/>
      <c r="F952" s="8"/>
      <c r="G952" s="235" t="s">
        <v>1085</v>
      </c>
      <c r="H952" s="317" t="s">
        <v>2067</v>
      </c>
      <c r="I952" s="444"/>
      <c r="J952" s="189"/>
      <c r="K952" t="s">
        <v>659</v>
      </c>
      <c r="L952" s="292" t="s">
        <v>1999</v>
      </c>
      <c r="M952" s="1" t="s">
        <v>1083</v>
      </c>
      <c r="O952" s="8" t="s">
        <v>1086</v>
      </c>
    </row>
    <row r="953" spans="1:15" ht="37.200000000000003">
      <c r="A953" s="5">
        <v>952</v>
      </c>
      <c r="B953" t="str">
        <f t="shared" ref="B953:B984" si="20">MID(G953,8,2)</f>
        <v>TO</v>
      </c>
      <c r="C953" t="str">
        <f t="shared" ref="C953:C1016" si="21">MID(G953,11,2)</f>
        <v>KB</v>
      </c>
      <c r="D953" s="224" t="s">
        <v>2035</v>
      </c>
      <c r="E953" s="5"/>
      <c r="G953" s="4" t="s">
        <v>2068</v>
      </c>
      <c r="H953" s="313" t="s">
        <v>1587</v>
      </c>
      <c r="I953" s="438"/>
      <c r="K953" t="s">
        <v>659</v>
      </c>
      <c r="L953" s="292" t="s">
        <v>1999</v>
      </c>
      <c r="M953" s="1" t="s">
        <v>1083</v>
      </c>
      <c r="O953" t="s">
        <v>2069</v>
      </c>
    </row>
    <row r="954" spans="1:15" ht="43.2">
      <c r="A954" s="5">
        <v>953</v>
      </c>
      <c r="B954" t="str">
        <f t="shared" si="20"/>
        <v>TO</v>
      </c>
      <c r="C954" t="str">
        <f t="shared" si="21"/>
        <v>KB</v>
      </c>
      <c r="D954" s="224" t="s">
        <v>2035</v>
      </c>
      <c r="E954" s="5"/>
      <c r="G954" s="4" t="s">
        <v>2068</v>
      </c>
      <c r="H954" s="313" t="s">
        <v>1590</v>
      </c>
      <c r="I954" s="438"/>
      <c r="K954" t="s">
        <v>659</v>
      </c>
      <c r="L954" s="292" t="s">
        <v>1999</v>
      </c>
      <c r="M954" s="1" t="s">
        <v>1083</v>
      </c>
      <c r="O954" t="s">
        <v>2069</v>
      </c>
    </row>
    <row r="955" spans="1:15" ht="37.200000000000003">
      <c r="A955" s="5">
        <v>954</v>
      </c>
      <c r="B955" t="str">
        <f t="shared" si="20"/>
        <v>TO</v>
      </c>
      <c r="C955" t="str">
        <f t="shared" si="21"/>
        <v>KB</v>
      </c>
      <c r="D955" s="224" t="s">
        <v>2035</v>
      </c>
      <c r="E955" s="5"/>
      <c r="G955" s="4" t="s">
        <v>2068</v>
      </c>
      <c r="H955" s="313" t="s">
        <v>1592</v>
      </c>
      <c r="I955" s="438"/>
      <c r="K955" t="s">
        <v>659</v>
      </c>
      <c r="L955" s="292" t="s">
        <v>1999</v>
      </c>
      <c r="M955" s="1" t="s">
        <v>1083</v>
      </c>
      <c r="O955" t="s">
        <v>2069</v>
      </c>
    </row>
    <row r="956" spans="1:15" ht="37.200000000000003">
      <c r="A956" s="5">
        <v>955</v>
      </c>
      <c r="B956" t="str">
        <f t="shared" si="20"/>
        <v>TO</v>
      </c>
      <c r="C956" t="str">
        <f t="shared" si="21"/>
        <v>KB</v>
      </c>
      <c r="D956" s="224" t="s">
        <v>2035</v>
      </c>
      <c r="E956" s="5"/>
      <c r="G956" s="4" t="s">
        <v>2068</v>
      </c>
      <c r="H956" s="313" t="s">
        <v>1594</v>
      </c>
      <c r="I956" s="438"/>
      <c r="K956" t="s">
        <v>659</v>
      </c>
      <c r="L956" s="292" t="s">
        <v>1999</v>
      </c>
      <c r="M956" s="1" t="s">
        <v>1083</v>
      </c>
      <c r="O956" t="s">
        <v>2069</v>
      </c>
    </row>
    <row r="957" spans="1:15" ht="37.200000000000003">
      <c r="A957" s="5">
        <v>956</v>
      </c>
      <c r="B957" t="str">
        <f t="shared" si="20"/>
        <v>TO</v>
      </c>
      <c r="C957" t="str">
        <f t="shared" si="21"/>
        <v>KB</v>
      </c>
      <c r="D957" s="224" t="s">
        <v>2035</v>
      </c>
      <c r="E957" s="5"/>
      <c r="G957" s="4" t="s">
        <v>2070</v>
      </c>
      <c r="H957" s="313" t="s">
        <v>1596</v>
      </c>
      <c r="I957" s="438"/>
      <c r="K957" t="s">
        <v>659</v>
      </c>
      <c r="L957" s="292" t="s">
        <v>1999</v>
      </c>
      <c r="M957" s="1" t="s">
        <v>1083</v>
      </c>
      <c r="O957" t="s">
        <v>2069</v>
      </c>
    </row>
    <row r="958" spans="1:15" ht="37.200000000000003">
      <c r="A958" s="5">
        <v>957</v>
      </c>
      <c r="B958" t="str">
        <f t="shared" si="20"/>
        <v>TO</v>
      </c>
      <c r="C958" t="str">
        <f t="shared" si="21"/>
        <v>KB</v>
      </c>
      <c r="D958" s="224" t="s">
        <v>2035</v>
      </c>
      <c r="E958" s="5"/>
      <c r="G958" s="4" t="s">
        <v>2070</v>
      </c>
      <c r="H958" s="313" t="s">
        <v>1179</v>
      </c>
      <c r="I958" s="438"/>
      <c r="K958" t="s">
        <v>659</v>
      </c>
      <c r="L958" s="292" t="s">
        <v>1999</v>
      </c>
      <c r="M958" s="1" t="s">
        <v>1083</v>
      </c>
      <c r="O958" t="s">
        <v>2069</v>
      </c>
    </row>
    <row r="959" spans="1:15" ht="37.200000000000003">
      <c r="A959" s="5">
        <v>958</v>
      </c>
      <c r="B959" t="str">
        <f t="shared" si="20"/>
        <v>TO</v>
      </c>
      <c r="C959" t="str">
        <f t="shared" si="21"/>
        <v>KB</v>
      </c>
      <c r="D959" s="224" t="s">
        <v>2035</v>
      </c>
      <c r="E959" s="5"/>
      <c r="G959" s="4" t="s">
        <v>2070</v>
      </c>
      <c r="H959" s="313" t="s">
        <v>1600</v>
      </c>
      <c r="I959" s="438"/>
      <c r="K959" t="s">
        <v>659</v>
      </c>
      <c r="L959" s="292" t="s">
        <v>1999</v>
      </c>
      <c r="M959" s="1" t="s">
        <v>1083</v>
      </c>
      <c r="O959" t="s">
        <v>2069</v>
      </c>
    </row>
    <row r="960" spans="1:15" ht="37.200000000000003">
      <c r="A960" s="5">
        <v>959</v>
      </c>
      <c r="B960" t="str">
        <f t="shared" si="20"/>
        <v>TO</v>
      </c>
      <c r="C960" t="str">
        <f t="shared" si="21"/>
        <v>KB</v>
      </c>
      <c r="D960" s="224" t="s">
        <v>2035</v>
      </c>
      <c r="E960" s="5"/>
      <c r="G960" s="4" t="s">
        <v>2070</v>
      </c>
      <c r="H960" s="313" t="s">
        <v>1602</v>
      </c>
      <c r="I960" s="438"/>
      <c r="K960" t="s">
        <v>659</v>
      </c>
      <c r="L960" s="292" t="s">
        <v>1999</v>
      </c>
      <c r="M960" s="1" t="s">
        <v>1083</v>
      </c>
      <c r="O960" t="s">
        <v>2069</v>
      </c>
    </row>
    <row r="961" spans="1:15" ht="37.200000000000003">
      <c r="A961" s="5">
        <v>960</v>
      </c>
      <c r="B961" t="str">
        <f t="shared" si="20"/>
        <v>TO</v>
      </c>
      <c r="C961" t="str">
        <f t="shared" si="21"/>
        <v>KB</v>
      </c>
      <c r="D961" s="224" t="s">
        <v>2035</v>
      </c>
      <c r="E961" s="5"/>
      <c r="G961" s="4" t="s">
        <v>2070</v>
      </c>
      <c r="H961" s="313" t="s">
        <v>1604</v>
      </c>
      <c r="I961" s="438"/>
      <c r="K961" t="s">
        <v>659</v>
      </c>
      <c r="L961" s="292" t="s">
        <v>1999</v>
      </c>
      <c r="M961" s="1" t="s">
        <v>1083</v>
      </c>
      <c r="O961" t="s">
        <v>2069</v>
      </c>
    </row>
    <row r="962" spans="1:15" ht="37.200000000000003">
      <c r="A962" s="5">
        <v>961</v>
      </c>
      <c r="B962" t="str">
        <f t="shared" si="20"/>
        <v>TO</v>
      </c>
      <c r="C962" t="str">
        <f t="shared" si="21"/>
        <v>KB</v>
      </c>
      <c r="D962" s="224" t="s">
        <v>2035</v>
      </c>
      <c r="E962" s="5"/>
      <c r="G962" s="4" t="s">
        <v>2070</v>
      </c>
      <c r="H962" s="313" t="s">
        <v>1606</v>
      </c>
      <c r="I962" s="438"/>
      <c r="K962" t="s">
        <v>659</v>
      </c>
      <c r="L962" s="292" t="s">
        <v>1999</v>
      </c>
      <c r="M962" s="1" t="s">
        <v>1083</v>
      </c>
      <c r="O962" t="s">
        <v>2069</v>
      </c>
    </row>
    <row r="963" spans="1:15" ht="37.200000000000003">
      <c r="A963" s="5">
        <v>962</v>
      </c>
      <c r="B963" t="str">
        <f t="shared" si="20"/>
        <v>TO</v>
      </c>
      <c r="C963" t="str">
        <f t="shared" si="21"/>
        <v>KB</v>
      </c>
      <c r="D963" s="224" t="s">
        <v>2035</v>
      </c>
      <c r="E963" s="5"/>
      <c r="G963" s="4" t="s">
        <v>2071</v>
      </c>
      <c r="H963" s="313" t="s">
        <v>1608</v>
      </c>
      <c r="I963" s="438"/>
      <c r="K963" t="s">
        <v>659</v>
      </c>
      <c r="L963" s="292" t="s">
        <v>1999</v>
      </c>
      <c r="M963" s="1" t="s">
        <v>1083</v>
      </c>
      <c r="O963" t="s">
        <v>2069</v>
      </c>
    </row>
    <row r="964" spans="1:15" ht="37.200000000000003">
      <c r="A964" s="5">
        <v>963</v>
      </c>
      <c r="B964" t="str">
        <f t="shared" si="20"/>
        <v>TO</v>
      </c>
      <c r="C964" t="str">
        <f t="shared" si="21"/>
        <v>KB</v>
      </c>
      <c r="D964" s="224" t="s">
        <v>2035</v>
      </c>
      <c r="E964" s="5"/>
      <c r="G964" s="4" t="s">
        <v>2071</v>
      </c>
      <c r="H964" s="313" t="s">
        <v>1610</v>
      </c>
      <c r="I964" s="438"/>
      <c r="K964" t="s">
        <v>659</v>
      </c>
      <c r="L964" s="292" t="s">
        <v>1999</v>
      </c>
      <c r="M964" s="1" t="s">
        <v>1083</v>
      </c>
      <c r="O964" t="s">
        <v>2069</v>
      </c>
    </row>
    <row r="965" spans="1:15" ht="37.200000000000003">
      <c r="A965" s="5">
        <v>964</v>
      </c>
      <c r="B965" t="str">
        <f t="shared" si="20"/>
        <v>TO</v>
      </c>
      <c r="C965" t="str">
        <f t="shared" si="21"/>
        <v>KB</v>
      </c>
      <c r="D965" s="224" t="s">
        <v>2035</v>
      </c>
      <c r="E965" s="5"/>
      <c r="G965" s="4" t="s">
        <v>2071</v>
      </c>
      <c r="H965" s="313" t="s">
        <v>1612</v>
      </c>
      <c r="I965" s="438"/>
      <c r="K965" t="s">
        <v>659</v>
      </c>
      <c r="L965" s="292" t="s">
        <v>1999</v>
      </c>
      <c r="M965" s="1" t="s">
        <v>1083</v>
      </c>
      <c r="O965" t="s">
        <v>2069</v>
      </c>
    </row>
    <row r="966" spans="1:15" ht="37.200000000000003">
      <c r="A966" s="5">
        <v>965</v>
      </c>
      <c r="B966" t="str">
        <f t="shared" si="20"/>
        <v>TO</v>
      </c>
      <c r="C966" t="str">
        <f t="shared" si="21"/>
        <v>KB</v>
      </c>
      <c r="D966" s="224" t="s">
        <v>2035</v>
      </c>
      <c r="E966" s="5"/>
      <c r="G966" s="4" t="s">
        <v>2071</v>
      </c>
      <c r="H966" s="313" t="s">
        <v>1275</v>
      </c>
      <c r="I966" s="438"/>
      <c r="K966" t="s">
        <v>659</v>
      </c>
      <c r="L966" s="292" t="s">
        <v>1999</v>
      </c>
      <c r="M966" s="1" t="s">
        <v>1083</v>
      </c>
      <c r="O966" t="s">
        <v>2069</v>
      </c>
    </row>
    <row r="967" spans="1:15" ht="37.200000000000003">
      <c r="A967" s="5">
        <v>966</v>
      </c>
      <c r="B967" t="str">
        <f t="shared" si="20"/>
        <v>TO</v>
      </c>
      <c r="C967" t="str">
        <f t="shared" si="21"/>
        <v>KB</v>
      </c>
      <c r="D967" s="224" t="s">
        <v>2035</v>
      </c>
      <c r="E967" s="5"/>
      <c r="G967" s="4" t="s">
        <v>2071</v>
      </c>
      <c r="H967" s="313" t="s">
        <v>1617</v>
      </c>
      <c r="I967" s="438"/>
      <c r="K967" t="s">
        <v>659</v>
      </c>
      <c r="L967" s="292" t="s">
        <v>1999</v>
      </c>
      <c r="M967" s="1" t="s">
        <v>1083</v>
      </c>
      <c r="O967" t="s">
        <v>2069</v>
      </c>
    </row>
    <row r="968" spans="1:15" ht="37.200000000000003">
      <c r="A968" s="5">
        <v>967</v>
      </c>
      <c r="B968" t="str">
        <f t="shared" si="20"/>
        <v>TO</v>
      </c>
      <c r="C968" t="str">
        <f t="shared" si="21"/>
        <v>KB</v>
      </c>
      <c r="D968" s="224" t="s">
        <v>2035</v>
      </c>
      <c r="E968" s="5"/>
      <c r="G968" s="4" t="s">
        <v>2071</v>
      </c>
      <c r="H968" s="313" t="s">
        <v>1619</v>
      </c>
      <c r="I968" s="438"/>
      <c r="K968" t="s">
        <v>659</v>
      </c>
      <c r="L968" s="292" t="s">
        <v>1999</v>
      </c>
      <c r="M968" s="1" t="s">
        <v>1083</v>
      </c>
      <c r="O968" t="s">
        <v>2069</v>
      </c>
    </row>
    <row r="969" spans="1:15" ht="37.200000000000003">
      <c r="A969" s="5">
        <v>968</v>
      </c>
      <c r="B969" t="str">
        <f t="shared" si="20"/>
        <v>TO</v>
      </c>
      <c r="C969" t="str">
        <f t="shared" si="21"/>
        <v>KB</v>
      </c>
      <c r="D969" s="224" t="s">
        <v>2035</v>
      </c>
      <c r="E969" s="5"/>
      <c r="G969" s="4" t="s">
        <v>2071</v>
      </c>
      <c r="H969" s="313" t="s">
        <v>1621</v>
      </c>
      <c r="I969" s="438"/>
      <c r="K969" t="s">
        <v>659</v>
      </c>
      <c r="L969" s="292" t="s">
        <v>1999</v>
      </c>
      <c r="M969" s="1" t="s">
        <v>1083</v>
      </c>
      <c r="O969" t="s">
        <v>2069</v>
      </c>
    </row>
    <row r="970" spans="1:15" ht="37.200000000000003">
      <c r="A970" s="5">
        <v>969</v>
      </c>
      <c r="B970" t="str">
        <f t="shared" si="20"/>
        <v>TO</v>
      </c>
      <c r="C970" t="str">
        <f t="shared" si="21"/>
        <v>KB</v>
      </c>
      <c r="D970" s="224" t="s">
        <v>2035</v>
      </c>
      <c r="E970" s="5"/>
      <c r="G970" s="4" t="s">
        <v>2071</v>
      </c>
      <c r="H970" s="313" t="s">
        <v>1623</v>
      </c>
      <c r="I970" s="438"/>
      <c r="K970" t="s">
        <v>659</v>
      </c>
      <c r="L970" s="292" t="s">
        <v>1999</v>
      </c>
      <c r="M970" s="1" t="s">
        <v>1083</v>
      </c>
      <c r="O970" t="s">
        <v>2069</v>
      </c>
    </row>
    <row r="971" spans="1:15" ht="37.200000000000003">
      <c r="A971" s="5">
        <v>970</v>
      </c>
      <c r="B971" t="str">
        <f t="shared" si="20"/>
        <v>TO</v>
      </c>
      <c r="C971" t="str">
        <f t="shared" si="21"/>
        <v>KB</v>
      </c>
      <c r="D971" s="224" t="s">
        <v>2035</v>
      </c>
      <c r="E971" s="5"/>
      <c r="G971" s="4" t="s">
        <v>2071</v>
      </c>
      <c r="H971" s="313" t="s">
        <v>1627</v>
      </c>
      <c r="I971" s="438"/>
      <c r="K971" t="s">
        <v>659</v>
      </c>
      <c r="L971" s="292" t="s">
        <v>1999</v>
      </c>
      <c r="M971" s="1" t="s">
        <v>1083</v>
      </c>
      <c r="O971" t="s">
        <v>2069</v>
      </c>
    </row>
    <row r="972" spans="1:15" ht="37.200000000000003">
      <c r="A972" s="5">
        <v>971</v>
      </c>
      <c r="B972" t="str">
        <f t="shared" si="20"/>
        <v>TO</v>
      </c>
      <c r="C972" t="str">
        <f t="shared" si="21"/>
        <v>KB</v>
      </c>
      <c r="D972" s="224" t="s">
        <v>2035</v>
      </c>
      <c r="E972" s="5"/>
      <c r="G972" s="4" t="s">
        <v>2071</v>
      </c>
      <c r="H972" s="313" t="s">
        <v>1629</v>
      </c>
      <c r="I972" s="438"/>
      <c r="K972" t="s">
        <v>659</v>
      </c>
      <c r="L972" s="292" t="s">
        <v>1999</v>
      </c>
      <c r="M972" s="1" t="s">
        <v>1083</v>
      </c>
      <c r="O972" t="s">
        <v>2069</v>
      </c>
    </row>
    <row r="973" spans="1:15" ht="37.200000000000003">
      <c r="A973" s="5">
        <v>972</v>
      </c>
      <c r="B973" t="str">
        <f t="shared" si="20"/>
        <v>TO</v>
      </c>
      <c r="C973" t="str">
        <f t="shared" si="21"/>
        <v>KB</v>
      </c>
      <c r="D973" s="224" t="s">
        <v>2035</v>
      </c>
      <c r="E973" s="5"/>
      <c r="G973" s="4" t="s">
        <v>2071</v>
      </c>
      <c r="H973" s="313" t="s">
        <v>1631</v>
      </c>
      <c r="I973" s="438"/>
      <c r="K973" t="s">
        <v>659</v>
      </c>
      <c r="L973" s="292" t="s">
        <v>1999</v>
      </c>
      <c r="M973" s="1" t="s">
        <v>1083</v>
      </c>
      <c r="O973" t="s">
        <v>2069</v>
      </c>
    </row>
    <row r="974" spans="1:15" ht="37.200000000000003">
      <c r="A974" s="5">
        <v>973</v>
      </c>
      <c r="B974" t="str">
        <f t="shared" si="20"/>
        <v>TO</v>
      </c>
      <c r="C974" t="str">
        <f t="shared" si="21"/>
        <v>KB</v>
      </c>
      <c r="D974" s="224" t="s">
        <v>2035</v>
      </c>
      <c r="E974" s="5"/>
      <c r="G974" s="4" t="s">
        <v>2071</v>
      </c>
      <c r="H974" s="313" t="s">
        <v>1633</v>
      </c>
      <c r="I974" s="438"/>
      <c r="K974" t="s">
        <v>659</v>
      </c>
      <c r="L974" s="292" t="s">
        <v>1999</v>
      </c>
      <c r="M974" s="1" t="s">
        <v>1083</v>
      </c>
      <c r="O974" t="s">
        <v>2069</v>
      </c>
    </row>
    <row r="975" spans="1:15" ht="43.2">
      <c r="A975" s="5">
        <v>974</v>
      </c>
      <c r="B975" t="str">
        <f t="shared" si="20"/>
        <v>TO</v>
      </c>
      <c r="C975" t="str">
        <f t="shared" si="21"/>
        <v>KB</v>
      </c>
      <c r="D975" s="224" t="s">
        <v>2035</v>
      </c>
      <c r="E975" s="5"/>
      <c r="G975" s="4" t="s">
        <v>2071</v>
      </c>
      <c r="H975" s="313" t="s">
        <v>1635</v>
      </c>
      <c r="I975" s="438"/>
      <c r="K975" t="s">
        <v>659</v>
      </c>
      <c r="L975" s="292" t="s">
        <v>1999</v>
      </c>
      <c r="M975" s="1" t="s">
        <v>1083</v>
      </c>
      <c r="O975" t="s">
        <v>2069</v>
      </c>
    </row>
    <row r="976" spans="1:15" ht="37.200000000000003">
      <c r="A976" s="5">
        <v>975</v>
      </c>
      <c r="B976" t="str">
        <f t="shared" si="20"/>
        <v>TO</v>
      </c>
      <c r="C976" t="str">
        <f t="shared" si="21"/>
        <v>KB</v>
      </c>
      <c r="D976" s="224" t="s">
        <v>2035</v>
      </c>
      <c r="E976" s="5"/>
      <c r="G976" s="4" t="s">
        <v>2072</v>
      </c>
      <c r="H976" s="313" t="s">
        <v>371</v>
      </c>
      <c r="I976" s="440"/>
      <c r="K976" t="s">
        <v>659</v>
      </c>
      <c r="L976" t="s">
        <v>669</v>
      </c>
      <c r="N976" t="s">
        <v>1479</v>
      </c>
      <c r="O976" t="s">
        <v>2069</v>
      </c>
    </row>
    <row r="977" spans="1:15" ht="36">
      <c r="A977" s="5">
        <v>976</v>
      </c>
      <c r="B977" t="str">
        <f t="shared" si="20"/>
        <v>TO</v>
      </c>
      <c r="C977" t="str">
        <f t="shared" si="21"/>
        <v>KB</v>
      </c>
      <c r="D977" s="224" t="s">
        <v>2035</v>
      </c>
      <c r="E977" s="5"/>
      <c r="G977" s="4" t="s">
        <v>2072</v>
      </c>
      <c r="H977" s="306" t="s">
        <v>1637</v>
      </c>
      <c r="K977" t="s">
        <v>659</v>
      </c>
      <c r="L977" t="s">
        <v>669</v>
      </c>
      <c r="N977" t="s">
        <v>2073</v>
      </c>
      <c r="O977" t="s">
        <v>2069</v>
      </c>
    </row>
    <row r="978" spans="1:15" ht="36">
      <c r="A978" s="5">
        <v>977</v>
      </c>
      <c r="B978" t="str">
        <f t="shared" si="20"/>
        <v>TO</v>
      </c>
      <c r="C978" t="str">
        <f t="shared" si="21"/>
        <v>KB</v>
      </c>
      <c r="D978" s="224" t="s">
        <v>2035</v>
      </c>
      <c r="E978" s="5"/>
      <c r="G978" s="4" t="s">
        <v>2072</v>
      </c>
      <c r="H978" s="306" t="s">
        <v>1639</v>
      </c>
      <c r="K978" t="s">
        <v>659</v>
      </c>
      <c r="L978" t="s">
        <v>669</v>
      </c>
      <c r="N978" t="s">
        <v>1479</v>
      </c>
      <c r="O978" t="s">
        <v>2069</v>
      </c>
    </row>
    <row r="979" spans="1:15" ht="36">
      <c r="A979" s="5">
        <v>978</v>
      </c>
      <c r="B979" t="str">
        <f t="shared" si="20"/>
        <v>TO</v>
      </c>
      <c r="C979" t="str">
        <f t="shared" si="21"/>
        <v>KB</v>
      </c>
      <c r="D979" s="224" t="s">
        <v>2035</v>
      </c>
      <c r="E979" s="5"/>
      <c r="G979" s="4" t="s">
        <v>2072</v>
      </c>
      <c r="H979" s="306" t="s">
        <v>1641</v>
      </c>
      <c r="K979" t="s">
        <v>659</v>
      </c>
      <c r="L979" t="s">
        <v>669</v>
      </c>
      <c r="N979" t="s">
        <v>1479</v>
      </c>
      <c r="O979" t="s">
        <v>2069</v>
      </c>
    </row>
    <row r="980" spans="1:15" ht="36">
      <c r="A980" s="5">
        <v>979</v>
      </c>
      <c r="B980" t="str">
        <f t="shared" si="20"/>
        <v>TO</v>
      </c>
      <c r="C980" t="str">
        <f t="shared" si="21"/>
        <v>KB</v>
      </c>
      <c r="D980" s="224" t="s">
        <v>2035</v>
      </c>
      <c r="E980" s="5"/>
      <c r="G980" s="4" t="s">
        <v>2072</v>
      </c>
      <c r="H980" s="306" t="s">
        <v>1643</v>
      </c>
      <c r="K980" t="s">
        <v>659</v>
      </c>
      <c r="L980" t="s">
        <v>669</v>
      </c>
      <c r="N980" t="s">
        <v>1479</v>
      </c>
      <c r="O980" t="s">
        <v>2074</v>
      </c>
    </row>
    <row r="981" spans="1:15" ht="36">
      <c r="A981" s="5">
        <v>980</v>
      </c>
      <c r="B981" t="str">
        <f t="shared" si="20"/>
        <v>TO</v>
      </c>
      <c r="C981" t="str">
        <f t="shared" si="21"/>
        <v>KB</v>
      </c>
      <c r="D981" s="224" t="s">
        <v>2035</v>
      </c>
      <c r="E981" s="5"/>
      <c r="G981" s="4" t="s">
        <v>2072</v>
      </c>
      <c r="H981" s="306" t="s">
        <v>1598</v>
      </c>
      <c r="K981" t="s">
        <v>659</v>
      </c>
      <c r="L981" t="s">
        <v>669</v>
      </c>
      <c r="N981" t="s">
        <v>1479</v>
      </c>
      <c r="O981" t="s">
        <v>2074</v>
      </c>
    </row>
    <row r="982" spans="1:15" ht="36">
      <c r="A982" s="5">
        <v>981</v>
      </c>
      <c r="B982" t="str">
        <f t="shared" si="20"/>
        <v>TO</v>
      </c>
      <c r="C982" t="str">
        <f t="shared" si="21"/>
        <v>KB</v>
      </c>
      <c r="D982" s="224" t="s">
        <v>2035</v>
      </c>
      <c r="E982" s="5"/>
      <c r="G982" s="4" t="s">
        <v>2072</v>
      </c>
      <c r="H982" s="306" t="s">
        <v>317</v>
      </c>
      <c r="K982" t="s">
        <v>659</v>
      </c>
      <c r="L982" t="s">
        <v>669</v>
      </c>
      <c r="N982" t="s">
        <v>1479</v>
      </c>
      <c r="O982" t="s">
        <v>2074</v>
      </c>
    </row>
    <row r="983" spans="1:15" ht="36">
      <c r="A983" s="5">
        <v>982</v>
      </c>
      <c r="B983" t="str">
        <f t="shared" si="20"/>
        <v>TO</v>
      </c>
      <c r="C983" t="str">
        <f t="shared" si="21"/>
        <v>KB</v>
      </c>
      <c r="D983" s="224" t="s">
        <v>2035</v>
      </c>
      <c r="E983" s="5"/>
      <c r="G983" s="4" t="s">
        <v>2072</v>
      </c>
      <c r="H983" s="306" t="s">
        <v>1646</v>
      </c>
      <c r="K983" t="s">
        <v>659</v>
      </c>
      <c r="L983" t="s">
        <v>669</v>
      </c>
      <c r="N983" t="s">
        <v>1479</v>
      </c>
      <c r="O983" t="s">
        <v>2074</v>
      </c>
    </row>
    <row r="984" spans="1:15" ht="36">
      <c r="A984" s="5">
        <v>983</v>
      </c>
      <c r="B984" t="str">
        <f t="shared" si="20"/>
        <v>TO</v>
      </c>
      <c r="C984" t="str">
        <f t="shared" si="21"/>
        <v>KB</v>
      </c>
      <c r="D984" s="224" t="s">
        <v>2035</v>
      </c>
      <c r="E984" s="5"/>
      <c r="G984" s="4" t="s">
        <v>2072</v>
      </c>
      <c r="H984" s="306" t="s">
        <v>1648</v>
      </c>
      <c r="K984" t="s">
        <v>659</v>
      </c>
      <c r="L984" t="s">
        <v>669</v>
      </c>
      <c r="N984" t="s">
        <v>1479</v>
      </c>
      <c r="O984" t="s">
        <v>2074</v>
      </c>
    </row>
    <row r="985" spans="1:15" ht="36">
      <c r="A985" s="5">
        <v>984</v>
      </c>
      <c r="B985" t="str">
        <f t="shared" ref="B985:B1016" si="22">MID(G985,8,2)</f>
        <v>TO</v>
      </c>
      <c r="C985" t="str">
        <f t="shared" si="21"/>
        <v>KB</v>
      </c>
      <c r="D985" s="224" t="s">
        <v>2035</v>
      </c>
      <c r="E985" s="5"/>
      <c r="G985" s="4" t="s">
        <v>2072</v>
      </c>
      <c r="H985" s="306" t="s">
        <v>1650</v>
      </c>
      <c r="K985" t="s">
        <v>659</v>
      </c>
      <c r="L985" t="s">
        <v>669</v>
      </c>
      <c r="N985" t="s">
        <v>1479</v>
      </c>
      <c r="O985" t="s">
        <v>2074</v>
      </c>
    </row>
    <row r="986" spans="1:15" ht="36">
      <c r="A986" s="5">
        <v>985</v>
      </c>
      <c r="B986" t="str">
        <f t="shared" si="22"/>
        <v>TO</v>
      </c>
      <c r="C986" t="str">
        <f t="shared" si="21"/>
        <v>KB</v>
      </c>
      <c r="D986" s="224" t="s">
        <v>2035</v>
      </c>
      <c r="E986" s="5"/>
      <c r="G986" s="235" t="s">
        <v>2075</v>
      </c>
      <c r="H986" s="317" t="s">
        <v>1652</v>
      </c>
      <c r="K986" t="s">
        <v>659</v>
      </c>
      <c r="L986" t="s">
        <v>669</v>
      </c>
      <c r="N986" t="s">
        <v>1479</v>
      </c>
      <c r="O986" t="s">
        <v>2074</v>
      </c>
    </row>
    <row r="987" spans="1:15" ht="36">
      <c r="A987" s="5">
        <v>986</v>
      </c>
      <c r="B987" t="str">
        <f t="shared" si="22"/>
        <v>TO</v>
      </c>
      <c r="C987" t="str">
        <f t="shared" si="21"/>
        <v>KB</v>
      </c>
      <c r="D987" s="224" t="s">
        <v>2035</v>
      </c>
      <c r="E987" s="5"/>
      <c r="G987" s="235" t="s">
        <v>2075</v>
      </c>
      <c r="H987" s="317" t="s">
        <v>1654</v>
      </c>
      <c r="K987" t="s">
        <v>659</v>
      </c>
      <c r="L987" t="s">
        <v>669</v>
      </c>
      <c r="N987" t="s">
        <v>1479</v>
      </c>
      <c r="O987" t="s">
        <v>2074</v>
      </c>
    </row>
    <row r="988" spans="1:15" ht="36">
      <c r="A988" s="5">
        <v>987</v>
      </c>
      <c r="B988" t="str">
        <f t="shared" si="22"/>
        <v>TO</v>
      </c>
      <c r="C988" t="str">
        <f t="shared" si="21"/>
        <v>KB</v>
      </c>
      <c r="D988" s="224" t="s">
        <v>2035</v>
      </c>
      <c r="E988" s="5"/>
      <c r="G988" s="235" t="s">
        <v>2075</v>
      </c>
      <c r="H988" s="317" t="s">
        <v>1656</v>
      </c>
      <c r="K988" t="s">
        <v>659</v>
      </c>
      <c r="L988" t="s">
        <v>669</v>
      </c>
      <c r="N988" t="s">
        <v>1479</v>
      </c>
      <c r="O988" t="s">
        <v>2074</v>
      </c>
    </row>
    <row r="989" spans="1:15" ht="36">
      <c r="A989" s="5">
        <v>988</v>
      </c>
      <c r="B989" t="str">
        <f t="shared" si="22"/>
        <v>TO</v>
      </c>
      <c r="C989" t="str">
        <f t="shared" si="21"/>
        <v>KB</v>
      </c>
      <c r="D989" s="224" t="s">
        <v>2035</v>
      </c>
      <c r="E989" s="5"/>
      <c r="G989" s="235" t="s">
        <v>2075</v>
      </c>
      <c r="H989" s="320" t="s">
        <v>254</v>
      </c>
      <c r="K989" t="s">
        <v>659</v>
      </c>
      <c r="L989" t="s">
        <v>669</v>
      </c>
      <c r="N989" t="s">
        <v>1479</v>
      </c>
      <c r="O989" t="s">
        <v>2074</v>
      </c>
    </row>
    <row r="990" spans="1:15" ht="36">
      <c r="A990" s="5">
        <v>989</v>
      </c>
      <c r="B990" t="str">
        <f t="shared" si="22"/>
        <v>TO</v>
      </c>
      <c r="C990" t="str">
        <f t="shared" si="21"/>
        <v>KB</v>
      </c>
      <c r="D990" s="224" t="s">
        <v>2035</v>
      </c>
      <c r="E990" s="5"/>
      <c r="G990" s="235" t="s">
        <v>2075</v>
      </c>
      <c r="H990" s="317" t="s">
        <v>1659</v>
      </c>
      <c r="K990" t="s">
        <v>659</v>
      </c>
      <c r="L990" t="s">
        <v>669</v>
      </c>
      <c r="N990" t="s">
        <v>1479</v>
      </c>
      <c r="O990" t="s">
        <v>2074</v>
      </c>
    </row>
    <row r="991" spans="1:15" ht="36">
      <c r="A991" s="5">
        <v>990</v>
      </c>
      <c r="B991" t="str">
        <f t="shared" si="22"/>
        <v>TO</v>
      </c>
      <c r="C991" t="str">
        <f t="shared" si="21"/>
        <v>KB</v>
      </c>
      <c r="D991" s="224" t="s">
        <v>2035</v>
      </c>
      <c r="E991" s="5"/>
      <c r="G991" s="235" t="s">
        <v>2075</v>
      </c>
      <c r="H991" s="317" t="s">
        <v>1661</v>
      </c>
      <c r="K991" t="s">
        <v>659</v>
      </c>
      <c r="L991" t="s">
        <v>669</v>
      </c>
      <c r="N991" t="s">
        <v>1479</v>
      </c>
      <c r="O991" t="s">
        <v>2074</v>
      </c>
    </row>
    <row r="992" spans="1:15" ht="37.200000000000003">
      <c r="A992" s="5">
        <v>991</v>
      </c>
      <c r="B992" t="str">
        <f t="shared" si="22"/>
        <v>TO</v>
      </c>
      <c r="C992" t="str">
        <f t="shared" si="21"/>
        <v>KB</v>
      </c>
      <c r="D992" s="224" t="s">
        <v>2035</v>
      </c>
      <c r="E992" s="5"/>
      <c r="G992" s="235" t="s">
        <v>2075</v>
      </c>
      <c r="H992" s="321" t="s">
        <v>1615</v>
      </c>
      <c r="I992" s="440"/>
      <c r="K992" t="s">
        <v>659</v>
      </c>
      <c r="L992" t="s">
        <v>669</v>
      </c>
      <c r="N992" t="s">
        <v>1479</v>
      </c>
      <c r="O992" t="s">
        <v>2074</v>
      </c>
    </row>
    <row r="993" spans="1:15" ht="36">
      <c r="A993" s="5">
        <v>992</v>
      </c>
      <c r="B993" t="str">
        <f t="shared" si="22"/>
        <v>TO</v>
      </c>
      <c r="C993" t="str">
        <f t="shared" si="21"/>
        <v>KB</v>
      </c>
      <c r="D993" s="224" t="s">
        <v>2035</v>
      </c>
      <c r="E993" s="5"/>
      <c r="G993" s="235" t="s">
        <v>2075</v>
      </c>
      <c r="H993" s="317" t="s">
        <v>475</v>
      </c>
      <c r="K993" t="s">
        <v>659</v>
      </c>
      <c r="L993" t="s">
        <v>669</v>
      </c>
      <c r="N993" t="s">
        <v>1479</v>
      </c>
      <c r="O993" t="s">
        <v>2074</v>
      </c>
    </row>
    <row r="994" spans="1:15" ht="36.6" thickBot="1">
      <c r="A994" s="5">
        <v>993</v>
      </c>
      <c r="B994" t="str">
        <f t="shared" si="22"/>
        <v>TO</v>
      </c>
      <c r="C994" t="str">
        <f t="shared" si="21"/>
        <v>KB</v>
      </c>
      <c r="D994" s="224" t="s">
        <v>2035</v>
      </c>
      <c r="E994" s="5"/>
      <c r="G994" s="459" t="s">
        <v>2075</v>
      </c>
      <c r="H994" s="322" t="s">
        <v>1664</v>
      </c>
      <c r="K994" t="s">
        <v>659</v>
      </c>
      <c r="L994" t="s">
        <v>669</v>
      </c>
      <c r="N994" t="s">
        <v>1479</v>
      </c>
      <c r="O994" t="s">
        <v>2074</v>
      </c>
    </row>
    <row r="995" spans="1:15" ht="43.2">
      <c r="A995" s="5">
        <v>994</v>
      </c>
      <c r="B995" t="str">
        <f t="shared" si="22"/>
        <v>TO</v>
      </c>
      <c r="C995" t="str">
        <f t="shared" si="21"/>
        <v>KB</v>
      </c>
      <c r="D995" s="224" t="s">
        <v>2035</v>
      </c>
      <c r="E995" s="5"/>
      <c r="G995" s="460" t="s">
        <v>2076</v>
      </c>
      <c r="H995" s="323" t="s">
        <v>1625</v>
      </c>
      <c r="I995" s="448"/>
      <c r="K995" t="s">
        <v>659</v>
      </c>
      <c r="L995" t="s">
        <v>669</v>
      </c>
      <c r="N995" t="s">
        <v>1479</v>
      </c>
      <c r="O995" t="s">
        <v>2074</v>
      </c>
    </row>
    <row r="996" spans="1:15" ht="36">
      <c r="A996" s="5">
        <v>995</v>
      </c>
      <c r="B996" t="str">
        <f t="shared" si="22"/>
        <v>TO</v>
      </c>
      <c r="C996" t="str">
        <f t="shared" si="21"/>
        <v>KB</v>
      </c>
      <c r="D996" s="224" t="s">
        <v>2035</v>
      </c>
      <c r="E996" s="5"/>
      <c r="G996" s="461" t="s">
        <v>2076</v>
      </c>
      <c r="H996" s="324" t="s">
        <v>1666</v>
      </c>
      <c r="K996" t="s">
        <v>659</v>
      </c>
      <c r="L996" t="s">
        <v>669</v>
      </c>
      <c r="N996" t="s">
        <v>1479</v>
      </c>
      <c r="O996" t="s">
        <v>2074</v>
      </c>
    </row>
    <row r="997" spans="1:15" ht="36">
      <c r="A997" s="5">
        <v>996</v>
      </c>
      <c r="B997" t="str">
        <f t="shared" si="22"/>
        <v>TO</v>
      </c>
      <c r="C997" t="str">
        <f t="shared" si="21"/>
        <v>KB</v>
      </c>
      <c r="D997" s="224" t="s">
        <v>2035</v>
      </c>
      <c r="E997" s="5"/>
      <c r="G997" s="461" t="s">
        <v>2076</v>
      </c>
      <c r="H997" s="324" t="s">
        <v>1668</v>
      </c>
      <c r="K997" t="s">
        <v>659</v>
      </c>
      <c r="L997" t="s">
        <v>669</v>
      </c>
      <c r="N997" t="s">
        <v>1479</v>
      </c>
      <c r="O997" t="s">
        <v>2074</v>
      </c>
    </row>
    <row r="998" spans="1:15" ht="36">
      <c r="A998" s="5">
        <v>997</v>
      </c>
      <c r="B998" t="str">
        <f t="shared" si="22"/>
        <v>TO</v>
      </c>
      <c r="C998" t="str">
        <f t="shared" si="21"/>
        <v>KB</v>
      </c>
      <c r="D998" s="224" t="s">
        <v>2035</v>
      </c>
      <c r="E998" s="5"/>
      <c r="G998" s="461" t="s">
        <v>2076</v>
      </c>
      <c r="H998" s="324" t="s">
        <v>1670</v>
      </c>
      <c r="K998" t="s">
        <v>659</v>
      </c>
      <c r="L998" t="s">
        <v>669</v>
      </c>
      <c r="N998" t="s">
        <v>1479</v>
      </c>
      <c r="O998" t="s">
        <v>2074</v>
      </c>
    </row>
    <row r="999" spans="1:15" ht="36.6" thickBot="1">
      <c r="A999" s="5">
        <v>998</v>
      </c>
      <c r="B999" t="str">
        <f t="shared" si="22"/>
        <v>TO</v>
      </c>
      <c r="C999" t="str">
        <f t="shared" si="21"/>
        <v>KB</v>
      </c>
      <c r="D999" s="224" t="s">
        <v>2035</v>
      </c>
      <c r="E999" s="5"/>
      <c r="G999" s="462" t="s">
        <v>2076</v>
      </c>
      <c r="H999" s="325" t="s">
        <v>1672</v>
      </c>
      <c r="K999" t="s">
        <v>659</v>
      </c>
      <c r="L999" t="s">
        <v>669</v>
      </c>
      <c r="N999" t="s">
        <v>1479</v>
      </c>
      <c r="O999" t="s">
        <v>2074</v>
      </c>
    </row>
    <row r="1000" spans="1:15" ht="36">
      <c r="A1000" s="5">
        <v>999</v>
      </c>
      <c r="B1000" t="str">
        <f t="shared" si="22"/>
        <v>TO</v>
      </c>
      <c r="C1000" t="str">
        <f t="shared" si="21"/>
        <v>Ap</v>
      </c>
      <c r="D1000" s="224" t="s">
        <v>2035</v>
      </c>
      <c r="E1000" s="5"/>
      <c r="G1000" s="4" t="s">
        <v>2077</v>
      </c>
      <c r="H1000" s="306" t="s">
        <v>1995</v>
      </c>
      <c r="K1000" t="s">
        <v>659</v>
      </c>
      <c r="L1000" t="s">
        <v>669</v>
      </c>
      <c r="M1000" t="s">
        <v>1424</v>
      </c>
      <c r="N1000" t="s">
        <v>2078</v>
      </c>
    </row>
    <row r="1001" spans="1:15" ht="36">
      <c r="A1001" s="5">
        <v>1000</v>
      </c>
      <c r="B1001" t="str">
        <f t="shared" si="22"/>
        <v>TO</v>
      </c>
      <c r="C1001" t="str">
        <f t="shared" si="21"/>
        <v>Ap</v>
      </c>
      <c r="D1001" s="224" t="s">
        <v>2035</v>
      </c>
      <c r="E1001" s="5"/>
      <c r="G1001" s="4" t="s">
        <v>2077</v>
      </c>
      <c r="H1001" s="306" t="s">
        <v>1996</v>
      </c>
      <c r="K1001" t="s">
        <v>659</v>
      </c>
      <c r="L1001" t="s">
        <v>669</v>
      </c>
      <c r="M1001" t="s">
        <v>1424</v>
      </c>
      <c r="N1001" t="s">
        <v>2078</v>
      </c>
    </row>
    <row r="1002" spans="1:15" ht="36">
      <c r="A1002" s="5">
        <v>1001</v>
      </c>
      <c r="B1002" t="str">
        <f t="shared" si="22"/>
        <v>TO</v>
      </c>
      <c r="C1002" t="str">
        <f t="shared" si="21"/>
        <v>Ap</v>
      </c>
      <c r="D1002" s="224" t="s">
        <v>2035</v>
      </c>
      <c r="E1002" s="5"/>
      <c r="G1002" s="4" t="s">
        <v>2077</v>
      </c>
      <c r="H1002" s="306" t="s">
        <v>1994</v>
      </c>
      <c r="K1002" t="s">
        <v>659</v>
      </c>
      <c r="L1002" t="s">
        <v>669</v>
      </c>
      <c r="M1002" t="s">
        <v>1424</v>
      </c>
      <c r="N1002" t="s">
        <v>2078</v>
      </c>
    </row>
    <row r="1003" spans="1:15" ht="36">
      <c r="A1003" s="5">
        <v>1002</v>
      </c>
      <c r="B1003" t="str">
        <f t="shared" si="22"/>
        <v>TO</v>
      </c>
      <c r="C1003" t="str">
        <f t="shared" si="21"/>
        <v>KB</v>
      </c>
      <c r="D1003" t="s">
        <v>2035</v>
      </c>
      <c r="E1003" s="5"/>
      <c r="G1003" s="4" t="s">
        <v>2079</v>
      </c>
      <c r="H1003" s="311" t="s">
        <v>313</v>
      </c>
      <c r="I1003" s="435"/>
      <c r="J1003" s="9"/>
      <c r="K1003" s="9" t="s">
        <v>659</v>
      </c>
      <c r="L1003" t="s">
        <v>669</v>
      </c>
      <c r="M1003" s="229"/>
      <c r="N1003" s="6" t="s">
        <v>2080</v>
      </c>
    </row>
    <row r="1004" spans="1:15" ht="54">
      <c r="A1004" s="5">
        <v>1003</v>
      </c>
      <c r="B1004" t="str">
        <f t="shared" si="22"/>
        <v>TO</v>
      </c>
      <c r="C1004" t="str">
        <f t="shared" si="21"/>
        <v>KB</v>
      </c>
      <c r="D1004" t="s">
        <v>2035</v>
      </c>
      <c r="E1004" s="5"/>
      <c r="G1004" s="4" t="s">
        <v>2081</v>
      </c>
      <c r="H1004" s="316" t="s">
        <v>111</v>
      </c>
      <c r="I1004" s="449"/>
      <c r="K1004" t="s">
        <v>659</v>
      </c>
      <c r="L1004" t="s">
        <v>669</v>
      </c>
      <c r="N1004" s="4" t="s">
        <v>2082</v>
      </c>
      <c r="O1004" s="70" t="s">
        <v>2083</v>
      </c>
    </row>
    <row r="1005" spans="1:15" ht="54">
      <c r="A1005" s="5">
        <v>1004</v>
      </c>
      <c r="B1005" t="str">
        <f t="shared" si="22"/>
        <v>TO</v>
      </c>
      <c r="C1005" t="str">
        <f t="shared" si="21"/>
        <v>KB</v>
      </c>
      <c r="D1005" t="s">
        <v>2035</v>
      </c>
      <c r="E1005" s="5"/>
      <c r="G1005" s="4" t="s">
        <v>2081</v>
      </c>
      <c r="H1005" s="316" t="s">
        <v>1650</v>
      </c>
      <c r="I1005" s="449"/>
      <c r="K1005" t="s">
        <v>659</v>
      </c>
      <c r="L1005" t="s">
        <v>669</v>
      </c>
      <c r="N1005" s="4" t="s">
        <v>2084</v>
      </c>
      <c r="O1005" s="70" t="s">
        <v>2083</v>
      </c>
    </row>
    <row r="1006" spans="1:15" ht="54">
      <c r="A1006" s="5">
        <v>1005</v>
      </c>
      <c r="B1006" t="str">
        <f t="shared" si="22"/>
        <v>TO</v>
      </c>
      <c r="C1006" t="str">
        <f t="shared" si="21"/>
        <v>KB</v>
      </c>
      <c r="D1006" t="s">
        <v>2035</v>
      </c>
      <c r="E1006" s="5"/>
      <c r="G1006" s="4" t="s">
        <v>2081</v>
      </c>
      <c r="H1006" s="316" t="s">
        <v>371</v>
      </c>
      <c r="I1006" s="449"/>
      <c r="K1006" t="s">
        <v>659</v>
      </c>
      <c r="L1006" t="s">
        <v>669</v>
      </c>
      <c r="N1006" s="4" t="s">
        <v>2085</v>
      </c>
      <c r="O1006" s="70" t="s">
        <v>2083</v>
      </c>
    </row>
    <row r="1007" spans="1:15" ht="36">
      <c r="A1007" s="5">
        <v>1006</v>
      </c>
      <c r="B1007" t="str">
        <f t="shared" si="22"/>
        <v>TO</v>
      </c>
      <c r="C1007" t="str">
        <f t="shared" si="21"/>
        <v>KB</v>
      </c>
      <c r="D1007" t="s">
        <v>2035</v>
      </c>
      <c r="E1007" s="5"/>
      <c r="G1007" s="4" t="s">
        <v>2086</v>
      </c>
      <c r="H1007" s="306" t="s">
        <v>2087</v>
      </c>
      <c r="K1007" t="s">
        <v>659</v>
      </c>
      <c r="L1007" t="s">
        <v>669</v>
      </c>
    </row>
    <row r="1008" spans="1:15" ht="36">
      <c r="A1008" s="5">
        <v>1007</v>
      </c>
      <c r="B1008" t="str">
        <f t="shared" si="22"/>
        <v>TO</v>
      </c>
      <c r="C1008" t="str">
        <f t="shared" si="21"/>
        <v>KB</v>
      </c>
      <c r="D1008" t="s">
        <v>2035</v>
      </c>
      <c r="E1008" s="5"/>
      <c r="G1008" s="4" t="s">
        <v>2086</v>
      </c>
      <c r="H1008" s="306" t="s">
        <v>1741</v>
      </c>
      <c r="K1008" t="s">
        <v>659</v>
      </c>
      <c r="L1008" t="s">
        <v>669</v>
      </c>
      <c r="N1008" s="4" t="s">
        <v>2088</v>
      </c>
    </row>
    <row r="1009" spans="1:15">
      <c r="A1009" s="5">
        <v>1008</v>
      </c>
      <c r="B1009" t="str">
        <f t="shared" si="22"/>
        <v>TO</v>
      </c>
      <c r="C1009" t="str">
        <f t="shared" si="21"/>
        <v>KB</v>
      </c>
      <c r="D1009" t="s">
        <v>2035</v>
      </c>
      <c r="E1009" s="5"/>
      <c r="G1009" s="4" t="s">
        <v>2089</v>
      </c>
      <c r="H1009" s="306" t="s">
        <v>257</v>
      </c>
      <c r="K1009" t="s">
        <v>659</v>
      </c>
      <c r="L1009" t="s">
        <v>669</v>
      </c>
    </row>
    <row r="1010" spans="1:15">
      <c r="A1010" s="5">
        <v>1009</v>
      </c>
      <c r="B1010" t="str">
        <f t="shared" si="22"/>
        <v>TO</v>
      </c>
      <c r="C1010" t="str">
        <f t="shared" si="21"/>
        <v>KB</v>
      </c>
      <c r="D1010" t="s">
        <v>2035</v>
      </c>
      <c r="E1010" s="5"/>
      <c r="G1010" s="4" t="s">
        <v>2090</v>
      </c>
      <c r="H1010" s="306" t="s">
        <v>314</v>
      </c>
      <c r="K1010" t="s">
        <v>1434</v>
      </c>
      <c r="L1010" t="s">
        <v>669</v>
      </c>
      <c r="M1010" s="1" t="s">
        <v>2043</v>
      </c>
      <c r="N1010" s="4" t="s">
        <v>2091</v>
      </c>
    </row>
    <row r="1011" spans="1:15" ht="36">
      <c r="A1011" s="5">
        <v>1010</v>
      </c>
      <c r="B1011" t="str">
        <f t="shared" si="22"/>
        <v>MH</v>
      </c>
      <c r="C1011" t="str">
        <f t="shared" si="21"/>
        <v>KB</v>
      </c>
      <c r="D1011" t="s">
        <v>2035</v>
      </c>
      <c r="E1011" s="5"/>
      <c r="G1011" s="4" t="s">
        <v>2092</v>
      </c>
      <c r="H1011" s="306" t="s">
        <v>313</v>
      </c>
      <c r="K1011" t="s">
        <v>659</v>
      </c>
      <c r="L1011" t="s">
        <v>669</v>
      </c>
    </row>
    <row r="1012" spans="1:15" ht="36">
      <c r="A1012" s="5">
        <v>1011</v>
      </c>
      <c r="B1012" t="str">
        <f t="shared" si="22"/>
        <v>TO</v>
      </c>
      <c r="C1012" t="str">
        <f t="shared" si="21"/>
        <v>KB</v>
      </c>
      <c r="D1012" t="s">
        <v>2035</v>
      </c>
      <c r="E1012" s="5"/>
      <c r="G1012" s="4" t="s">
        <v>2093</v>
      </c>
      <c r="H1012" s="306" t="s">
        <v>2094</v>
      </c>
      <c r="K1012" t="s">
        <v>1434</v>
      </c>
      <c r="L1012" t="s">
        <v>669</v>
      </c>
    </row>
    <row r="1013" spans="1:15">
      <c r="A1013" s="5">
        <v>1012</v>
      </c>
      <c r="B1013" t="str">
        <f t="shared" si="22"/>
        <v>MH</v>
      </c>
      <c r="C1013" t="str">
        <f t="shared" si="21"/>
        <v>KB</v>
      </c>
      <c r="D1013" t="s">
        <v>2035</v>
      </c>
      <c r="E1013" s="5"/>
      <c r="G1013" s="4" t="s">
        <v>2095</v>
      </c>
      <c r="H1013" s="306" t="s">
        <v>317</v>
      </c>
      <c r="K1013" t="s">
        <v>659</v>
      </c>
      <c r="L1013" t="s">
        <v>669</v>
      </c>
    </row>
    <row r="1014" spans="1:15" ht="36">
      <c r="A1014" s="5">
        <v>1013</v>
      </c>
      <c r="B1014" t="str">
        <f t="shared" si="22"/>
        <v>TO</v>
      </c>
      <c r="C1014" t="str">
        <f t="shared" si="21"/>
        <v>KB</v>
      </c>
      <c r="D1014" t="s">
        <v>2096</v>
      </c>
      <c r="E1014" s="5"/>
      <c r="G1014" s="4" t="s">
        <v>2097</v>
      </c>
      <c r="H1014" s="305" t="s">
        <v>1720</v>
      </c>
      <c r="I1014" s="433"/>
      <c r="K1014" t="s">
        <v>659</v>
      </c>
      <c r="L1014" t="s">
        <v>669</v>
      </c>
      <c r="N1014" t="s">
        <v>2098</v>
      </c>
      <c r="O1014" t="s">
        <v>1714</v>
      </c>
    </row>
    <row r="1015" spans="1:15" ht="36">
      <c r="A1015" s="5">
        <v>1014</v>
      </c>
      <c r="B1015" t="str">
        <f t="shared" si="22"/>
        <v>TO</v>
      </c>
      <c r="C1015" t="str">
        <f t="shared" si="21"/>
        <v>KB</v>
      </c>
      <c r="D1015" t="s">
        <v>2096</v>
      </c>
      <c r="E1015" s="5"/>
      <c r="G1015" s="4" t="s">
        <v>2097</v>
      </c>
      <c r="H1015" s="305" t="s">
        <v>1718</v>
      </c>
      <c r="I1015" s="433"/>
      <c r="K1015" t="s">
        <v>659</v>
      </c>
      <c r="L1015" t="s">
        <v>669</v>
      </c>
      <c r="N1015" t="s">
        <v>2098</v>
      </c>
      <c r="O1015" t="s">
        <v>1714</v>
      </c>
    </row>
    <row r="1016" spans="1:15" ht="36">
      <c r="A1016" s="5">
        <v>1015</v>
      </c>
      <c r="B1016" t="str">
        <f t="shared" si="22"/>
        <v>TO</v>
      </c>
      <c r="C1016" t="str">
        <f t="shared" si="21"/>
        <v>KB</v>
      </c>
      <c r="D1016" t="s">
        <v>2096</v>
      </c>
      <c r="E1016" s="5"/>
      <c r="G1016" s="4" t="s">
        <v>2099</v>
      </c>
      <c r="H1016" s="305" t="s">
        <v>1719</v>
      </c>
      <c r="I1016" s="433"/>
      <c r="K1016" t="s">
        <v>659</v>
      </c>
      <c r="L1016" t="s">
        <v>669</v>
      </c>
      <c r="N1016" t="s">
        <v>2098</v>
      </c>
      <c r="O1016" t="s">
        <v>1714</v>
      </c>
    </row>
    <row r="1017" spans="1:15" ht="36">
      <c r="A1017" s="5">
        <v>1016</v>
      </c>
      <c r="B1017" t="str">
        <f t="shared" ref="B1017:B1028" si="23">MID(G1017,8,2)</f>
        <v>TO</v>
      </c>
      <c r="C1017" t="str">
        <f t="shared" ref="C1017:C1080" si="24">MID(G1017,11,2)</f>
        <v>KB</v>
      </c>
      <c r="D1017" t="s">
        <v>2096</v>
      </c>
      <c r="E1017" s="5"/>
      <c r="G1017" s="4" t="s">
        <v>2099</v>
      </c>
      <c r="H1017" s="305" t="s">
        <v>1724</v>
      </c>
      <c r="I1017" s="433"/>
      <c r="K1017" t="s">
        <v>659</v>
      </c>
      <c r="L1017" t="s">
        <v>669</v>
      </c>
      <c r="N1017" t="s">
        <v>2098</v>
      </c>
      <c r="O1017" t="s">
        <v>1714</v>
      </c>
    </row>
    <row r="1018" spans="1:15" ht="36">
      <c r="A1018" s="5">
        <v>1017</v>
      </c>
      <c r="B1018" t="str">
        <f t="shared" si="23"/>
        <v>TO</v>
      </c>
      <c r="C1018" t="str">
        <f t="shared" si="24"/>
        <v>KB</v>
      </c>
      <c r="D1018" t="s">
        <v>2096</v>
      </c>
      <c r="E1018" s="5"/>
      <c r="G1018" s="4" t="s">
        <v>2097</v>
      </c>
      <c r="H1018" s="305" t="s">
        <v>1721</v>
      </c>
      <c r="I1018" s="433"/>
      <c r="K1018" t="s">
        <v>659</v>
      </c>
      <c r="L1018" t="s">
        <v>669</v>
      </c>
      <c r="N1018" t="s">
        <v>2098</v>
      </c>
      <c r="O1018" t="s">
        <v>1714</v>
      </c>
    </row>
    <row r="1019" spans="1:15" ht="36">
      <c r="A1019" s="5">
        <v>1018</v>
      </c>
      <c r="B1019" t="str">
        <f t="shared" si="23"/>
        <v>TO</v>
      </c>
      <c r="C1019" t="str">
        <f t="shared" si="24"/>
        <v>KB</v>
      </c>
      <c r="D1019" t="s">
        <v>2096</v>
      </c>
      <c r="E1019" s="5"/>
      <c r="G1019" s="6" t="s">
        <v>2100</v>
      </c>
      <c r="H1019" s="305" t="s">
        <v>2101</v>
      </c>
      <c r="I1019" s="433"/>
      <c r="K1019" t="s">
        <v>659</v>
      </c>
      <c r="L1019" t="s">
        <v>2102</v>
      </c>
      <c r="N1019" t="s">
        <v>2098</v>
      </c>
      <c r="O1019" t="s">
        <v>1714</v>
      </c>
    </row>
    <row r="1020" spans="1:15" ht="36">
      <c r="A1020" s="5">
        <v>1019</v>
      </c>
      <c r="B1020" t="str">
        <f t="shared" si="23"/>
        <v>TO</v>
      </c>
      <c r="C1020" t="str">
        <f t="shared" si="24"/>
        <v>KB</v>
      </c>
      <c r="D1020" t="s">
        <v>2096</v>
      </c>
      <c r="E1020" s="5"/>
      <c r="G1020" s="4" t="s">
        <v>2103</v>
      </c>
      <c r="H1020" s="305" t="s">
        <v>1722</v>
      </c>
      <c r="I1020" s="433"/>
      <c r="K1020" t="s">
        <v>659</v>
      </c>
      <c r="L1020" t="s">
        <v>2102</v>
      </c>
      <c r="N1020" t="s">
        <v>2098</v>
      </c>
      <c r="O1020" t="s">
        <v>1714</v>
      </c>
    </row>
    <row r="1021" spans="1:15" ht="36">
      <c r="A1021" s="5">
        <v>1020</v>
      </c>
      <c r="B1021" t="str">
        <f t="shared" si="23"/>
        <v>TO</v>
      </c>
      <c r="C1021" t="str">
        <f t="shared" si="24"/>
        <v>KB</v>
      </c>
      <c r="D1021" t="s">
        <v>2096</v>
      </c>
      <c r="E1021" s="5"/>
      <c r="G1021" s="4" t="s">
        <v>2103</v>
      </c>
      <c r="H1021" s="305" t="s">
        <v>1717</v>
      </c>
      <c r="I1021" s="433"/>
      <c r="K1021" t="s">
        <v>659</v>
      </c>
      <c r="L1021" t="s">
        <v>2102</v>
      </c>
      <c r="N1021" t="s">
        <v>2098</v>
      </c>
      <c r="O1021" t="s">
        <v>1714</v>
      </c>
    </row>
    <row r="1022" spans="1:15" ht="36">
      <c r="A1022" s="5">
        <v>1021</v>
      </c>
      <c r="B1022" t="str">
        <f t="shared" si="23"/>
        <v>TO</v>
      </c>
      <c r="C1022" t="str">
        <f t="shared" si="24"/>
        <v>KB</v>
      </c>
      <c r="D1022" t="s">
        <v>2096</v>
      </c>
      <c r="E1022" s="5"/>
      <c r="G1022" s="4" t="s">
        <v>2103</v>
      </c>
      <c r="H1022" s="305" t="s">
        <v>1725</v>
      </c>
      <c r="I1022" s="433"/>
      <c r="K1022" t="s">
        <v>659</v>
      </c>
      <c r="L1022" t="s">
        <v>2102</v>
      </c>
      <c r="N1022" t="s">
        <v>2098</v>
      </c>
      <c r="O1022" t="s">
        <v>1714</v>
      </c>
    </row>
    <row r="1023" spans="1:15" ht="21.6">
      <c r="A1023" s="5">
        <v>1022</v>
      </c>
      <c r="B1023" t="str">
        <f t="shared" si="23"/>
        <v>TO</v>
      </c>
      <c r="C1023" t="str">
        <f t="shared" si="24"/>
        <v>KB</v>
      </c>
      <c r="D1023" t="s">
        <v>2104</v>
      </c>
      <c r="E1023" s="5"/>
      <c r="G1023" s="4" t="s">
        <v>2105</v>
      </c>
      <c r="H1023" s="313" t="s">
        <v>2106</v>
      </c>
      <c r="I1023" s="438" t="s">
        <v>2107</v>
      </c>
      <c r="K1023" t="s">
        <v>1434</v>
      </c>
      <c r="L1023" t="s">
        <v>669</v>
      </c>
      <c r="O1023" t="s">
        <v>1714</v>
      </c>
    </row>
    <row r="1024" spans="1:15" ht="43.2">
      <c r="A1024" s="5">
        <v>1023</v>
      </c>
      <c r="B1024" t="str">
        <f t="shared" si="23"/>
        <v>TO</v>
      </c>
      <c r="C1024" t="str">
        <f t="shared" si="24"/>
        <v>KB</v>
      </c>
      <c r="D1024" t="s">
        <v>2108</v>
      </c>
      <c r="E1024" s="5"/>
      <c r="G1024" s="4" t="s">
        <v>2105</v>
      </c>
      <c r="H1024" s="313" t="s">
        <v>2109</v>
      </c>
      <c r="I1024" s="438" t="s">
        <v>2110</v>
      </c>
      <c r="K1024" t="s">
        <v>1434</v>
      </c>
      <c r="L1024" t="s">
        <v>669</v>
      </c>
    </row>
    <row r="1025" spans="1:14" ht="21.6">
      <c r="A1025" s="5">
        <v>1024</v>
      </c>
      <c r="B1025" t="str">
        <f t="shared" si="23"/>
        <v>TO</v>
      </c>
      <c r="C1025" t="str">
        <f t="shared" si="24"/>
        <v>KB</v>
      </c>
      <c r="D1025" t="s">
        <v>2096</v>
      </c>
      <c r="E1025" s="5"/>
      <c r="G1025" s="4" t="s">
        <v>2111</v>
      </c>
      <c r="H1025" s="313" t="s">
        <v>322</v>
      </c>
      <c r="I1025" s="438"/>
      <c r="K1025" t="s">
        <v>1434</v>
      </c>
      <c r="L1025" t="s">
        <v>669</v>
      </c>
      <c r="M1025" s="1" t="s">
        <v>1083</v>
      </c>
    </row>
    <row r="1026" spans="1:14" ht="21.6">
      <c r="A1026" s="5">
        <v>1025</v>
      </c>
      <c r="B1026" t="str">
        <f t="shared" si="23"/>
        <v>TO</v>
      </c>
      <c r="C1026" t="str">
        <f t="shared" si="24"/>
        <v>KB</v>
      </c>
      <c r="D1026" t="s">
        <v>2096</v>
      </c>
      <c r="E1026" s="5"/>
      <c r="G1026" s="4" t="s">
        <v>2111</v>
      </c>
      <c r="H1026" s="313" t="s">
        <v>2112</v>
      </c>
      <c r="I1026" s="438"/>
      <c r="K1026" t="s">
        <v>1434</v>
      </c>
      <c r="L1026" t="s">
        <v>669</v>
      </c>
      <c r="M1026" s="1" t="s">
        <v>1083</v>
      </c>
    </row>
    <row r="1027" spans="1:14" ht="21.6">
      <c r="A1027" s="5">
        <v>1026</v>
      </c>
      <c r="B1027" t="str">
        <f t="shared" si="23"/>
        <v>TO</v>
      </c>
      <c r="C1027" t="str">
        <f t="shared" si="24"/>
        <v>KB</v>
      </c>
      <c r="D1027" t="s">
        <v>2096</v>
      </c>
      <c r="E1027" s="5"/>
      <c r="G1027" s="4" t="s">
        <v>2111</v>
      </c>
      <c r="H1027" s="313" t="s">
        <v>2113</v>
      </c>
      <c r="I1027" s="438"/>
      <c r="K1027" t="s">
        <v>1434</v>
      </c>
      <c r="L1027" t="s">
        <v>669</v>
      </c>
      <c r="M1027" s="1" t="s">
        <v>1083</v>
      </c>
    </row>
    <row r="1028" spans="1:14">
      <c r="A1028" s="5">
        <v>1027</v>
      </c>
      <c r="B1028" t="str">
        <f t="shared" si="23"/>
        <v>TO</v>
      </c>
      <c r="C1028" t="str">
        <f t="shared" si="24"/>
        <v>KB</v>
      </c>
      <c r="D1028" t="s">
        <v>2096</v>
      </c>
      <c r="E1028" s="5"/>
      <c r="G1028" s="4" t="s">
        <v>2111</v>
      </c>
      <c r="H1028" s="306" t="s">
        <v>2114</v>
      </c>
      <c r="K1028" t="s">
        <v>1434</v>
      </c>
      <c r="L1028" t="s">
        <v>669</v>
      </c>
      <c r="M1028" s="1" t="s">
        <v>1083</v>
      </c>
    </row>
    <row r="1029" spans="1:14" ht="21.6">
      <c r="A1029" s="5">
        <v>1028</v>
      </c>
      <c r="B1029" t="s">
        <v>96</v>
      </c>
      <c r="C1029" t="str">
        <f t="shared" si="24"/>
        <v>KB</v>
      </c>
      <c r="D1029" t="s">
        <v>2115</v>
      </c>
      <c r="E1029" s="5"/>
      <c r="G1029" s="4" t="s">
        <v>2116</v>
      </c>
      <c r="H1029" s="313" t="s">
        <v>2117</v>
      </c>
      <c r="I1029" s="438" t="s">
        <v>2118</v>
      </c>
      <c r="K1029" t="s">
        <v>1434</v>
      </c>
      <c r="L1029" t="s">
        <v>669</v>
      </c>
      <c r="M1029" s="1" t="s">
        <v>2119</v>
      </c>
    </row>
    <row r="1030" spans="1:14" ht="21.6">
      <c r="A1030" s="5">
        <v>1029</v>
      </c>
      <c r="B1030" t="s">
        <v>96</v>
      </c>
      <c r="C1030" t="str">
        <f t="shared" si="24"/>
        <v>KB</v>
      </c>
      <c r="D1030" t="s">
        <v>2115</v>
      </c>
      <c r="E1030" s="5"/>
      <c r="G1030" s="4" t="s">
        <v>2116</v>
      </c>
      <c r="H1030" s="313" t="s">
        <v>2120</v>
      </c>
      <c r="I1030" s="438" t="s">
        <v>2121</v>
      </c>
      <c r="K1030" t="s">
        <v>1434</v>
      </c>
      <c r="L1030" t="s">
        <v>669</v>
      </c>
      <c r="M1030" s="1" t="s">
        <v>2119</v>
      </c>
    </row>
    <row r="1031" spans="1:14" ht="21.6">
      <c r="A1031" s="5">
        <v>1030</v>
      </c>
      <c r="B1031" t="str">
        <f t="shared" ref="B1031:B1062" si="25">MID(G1031,8,2)</f>
        <v>TO</v>
      </c>
      <c r="C1031" t="str">
        <f t="shared" si="24"/>
        <v>KB</v>
      </c>
      <c r="D1031" t="s">
        <v>2096</v>
      </c>
      <c r="E1031" s="5"/>
      <c r="G1031" s="4" t="s">
        <v>2122</v>
      </c>
      <c r="H1031" s="313" t="s">
        <v>2123</v>
      </c>
      <c r="I1031" s="438"/>
      <c r="K1031" t="s">
        <v>1434</v>
      </c>
      <c r="L1031" t="s">
        <v>669</v>
      </c>
      <c r="M1031" s="1" t="s">
        <v>1083</v>
      </c>
    </row>
    <row r="1032" spans="1:14" ht="21.6">
      <c r="A1032" s="5">
        <v>1031</v>
      </c>
      <c r="B1032" t="str">
        <f t="shared" si="25"/>
        <v>TO</v>
      </c>
      <c r="C1032" t="str">
        <f t="shared" si="24"/>
        <v>KB</v>
      </c>
      <c r="D1032" t="s">
        <v>2096</v>
      </c>
      <c r="E1032" s="5"/>
      <c r="G1032" s="4" t="s">
        <v>2122</v>
      </c>
      <c r="H1032" s="313" t="s">
        <v>2124</v>
      </c>
      <c r="I1032" s="438"/>
      <c r="K1032" t="s">
        <v>1434</v>
      </c>
      <c r="L1032" t="s">
        <v>669</v>
      </c>
      <c r="M1032" s="1" t="s">
        <v>2125</v>
      </c>
    </row>
    <row r="1033" spans="1:14" ht="21.6">
      <c r="A1033" s="5">
        <v>1032</v>
      </c>
      <c r="B1033" t="str">
        <f t="shared" si="25"/>
        <v>TO</v>
      </c>
      <c r="C1033" t="str">
        <f t="shared" si="24"/>
        <v>KB</v>
      </c>
      <c r="D1033" t="s">
        <v>2096</v>
      </c>
      <c r="E1033" s="5"/>
      <c r="G1033" s="4" t="s">
        <v>2122</v>
      </c>
      <c r="H1033" s="313" t="s">
        <v>2126</v>
      </c>
      <c r="I1033" s="438"/>
      <c r="K1033" t="s">
        <v>1434</v>
      </c>
      <c r="L1033" t="s">
        <v>669</v>
      </c>
      <c r="M1033" s="1" t="s">
        <v>1083</v>
      </c>
    </row>
    <row r="1034" spans="1:14" ht="21.6">
      <c r="A1034" s="5">
        <v>1033</v>
      </c>
      <c r="B1034" t="str">
        <f t="shared" si="25"/>
        <v>TO</v>
      </c>
      <c r="C1034" t="str">
        <f t="shared" si="24"/>
        <v>KB</v>
      </c>
      <c r="D1034" t="s">
        <v>2096</v>
      </c>
      <c r="E1034" s="5"/>
      <c r="G1034" s="4" t="s">
        <v>2122</v>
      </c>
      <c r="H1034" s="313" t="s">
        <v>2127</v>
      </c>
      <c r="I1034" s="438"/>
      <c r="K1034" t="s">
        <v>1434</v>
      </c>
      <c r="L1034" t="s">
        <v>669</v>
      </c>
      <c r="M1034" s="1" t="s">
        <v>1083</v>
      </c>
    </row>
    <row r="1035" spans="1:14" ht="21.6">
      <c r="A1035" s="5">
        <v>1034</v>
      </c>
      <c r="B1035" t="str">
        <f t="shared" si="25"/>
        <v>TO</v>
      </c>
      <c r="C1035" t="str">
        <f t="shared" si="24"/>
        <v>KB</v>
      </c>
      <c r="D1035" t="s">
        <v>2096</v>
      </c>
      <c r="E1035" s="5"/>
      <c r="G1035" s="4" t="s">
        <v>2128</v>
      </c>
      <c r="H1035" s="313" t="s">
        <v>2129</v>
      </c>
      <c r="I1035" s="438"/>
      <c r="K1035" t="s">
        <v>1434</v>
      </c>
      <c r="L1035" t="s">
        <v>669</v>
      </c>
      <c r="M1035" s="1" t="s">
        <v>1083</v>
      </c>
      <c r="N1035" s="129"/>
    </row>
    <row r="1036" spans="1:14" ht="21.6">
      <c r="A1036" s="5">
        <v>1035</v>
      </c>
      <c r="B1036" t="str">
        <f t="shared" si="25"/>
        <v>TO</v>
      </c>
      <c r="C1036" t="str">
        <f t="shared" si="24"/>
        <v>KB</v>
      </c>
      <c r="D1036" t="s">
        <v>2096</v>
      </c>
      <c r="E1036" s="5"/>
      <c r="G1036" s="4" t="s">
        <v>2122</v>
      </c>
      <c r="H1036" s="313" t="s">
        <v>2130</v>
      </c>
      <c r="I1036" s="438"/>
      <c r="K1036" t="s">
        <v>1434</v>
      </c>
      <c r="L1036" t="s">
        <v>669</v>
      </c>
      <c r="M1036" s="1" t="s">
        <v>1083</v>
      </c>
    </row>
    <row r="1037" spans="1:14" ht="21.6">
      <c r="A1037" s="5">
        <v>1036</v>
      </c>
      <c r="B1037" t="str">
        <f t="shared" si="25"/>
        <v>TO</v>
      </c>
      <c r="C1037" t="str">
        <f t="shared" si="24"/>
        <v>KB</v>
      </c>
      <c r="D1037" t="s">
        <v>2096</v>
      </c>
      <c r="E1037" s="5"/>
      <c r="G1037" s="4" t="s">
        <v>2122</v>
      </c>
      <c r="H1037" s="313" t="s">
        <v>2131</v>
      </c>
      <c r="I1037" s="438"/>
      <c r="K1037" t="s">
        <v>1434</v>
      </c>
      <c r="L1037" t="s">
        <v>669</v>
      </c>
      <c r="M1037" s="1" t="s">
        <v>1083</v>
      </c>
    </row>
    <row r="1038" spans="1:14" ht="37.200000000000003">
      <c r="A1038" s="5">
        <v>1037</v>
      </c>
      <c r="B1038" t="str">
        <f t="shared" si="25"/>
        <v>TO</v>
      </c>
      <c r="C1038" t="str">
        <f t="shared" si="24"/>
        <v>KB</v>
      </c>
      <c r="D1038" t="s">
        <v>2132</v>
      </c>
      <c r="E1038" s="5"/>
      <c r="G1038" s="4" t="s">
        <v>2133</v>
      </c>
      <c r="H1038" s="313" t="s">
        <v>2134</v>
      </c>
      <c r="I1038" s="438"/>
      <c r="K1038" t="s">
        <v>659</v>
      </c>
      <c r="L1038" t="s">
        <v>1999</v>
      </c>
    </row>
    <row r="1039" spans="1:14" ht="21.6">
      <c r="A1039" s="5">
        <v>1038</v>
      </c>
      <c r="B1039" t="str">
        <f t="shared" si="25"/>
        <v>TO</v>
      </c>
      <c r="C1039" t="str">
        <f t="shared" si="24"/>
        <v>KB</v>
      </c>
      <c r="D1039" t="s">
        <v>2132</v>
      </c>
      <c r="E1039" s="5"/>
      <c r="G1039" s="4" t="s">
        <v>2135</v>
      </c>
      <c r="H1039" s="313" t="s">
        <v>2136</v>
      </c>
      <c r="I1039" s="438"/>
      <c r="K1039" t="s">
        <v>964</v>
      </c>
      <c r="L1039" t="s">
        <v>2137</v>
      </c>
    </row>
    <row r="1040" spans="1:14" ht="21.6">
      <c r="A1040" s="5">
        <v>1039</v>
      </c>
      <c r="B1040" t="str">
        <f t="shared" si="25"/>
        <v>TO</v>
      </c>
      <c r="C1040" t="str">
        <f t="shared" si="24"/>
        <v>KB</v>
      </c>
      <c r="D1040" t="s">
        <v>2132</v>
      </c>
      <c r="E1040" s="5"/>
      <c r="G1040" s="4" t="s">
        <v>2135</v>
      </c>
      <c r="H1040" s="313" t="s">
        <v>2138</v>
      </c>
      <c r="I1040" s="438"/>
      <c r="K1040" t="s">
        <v>964</v>
      </c>
      <c r="L1040" t="s">
        <v>669</v>
      </c>
      <c r="M1040" s="1" t="s">
        <v>1083</v>
      </c>
    </row>
    <row r="1041" spans="1:14" ht="21.6">
      <c r="A1041" s="5">
        <v>1040</v>
      </c>
      <c r="B1041" t="str">
        <f t="shared" si="25"/>
        <v>TO</v>
      </c>
      <c r="C1041" t="str">
        <f t="shared" si="24"/>
        <v>KB</v>
      </c>
      <c r="D1041" t="s">
        <v>2132</v>
      </c>
      <c r="E1041" s="5"/>
      <c r="G1041" s="4" t="s">
        <v>2135</v>
      </c>
      <c r="H1041" s="313" t="s">
        <v>1016</v>
      </c>
      <c r="I1041" s="438"/>
      <c r="K1041" t="s">
        <v>964</v>
      </c>
      <c r="L1041" t="s">
        <v>669</v>
      </c>
      <c r="M1041" s="1" t="s">
        <v>1083</v>
      </c>
    </row>
    <row r="1042" spans="1:14" ht="21.6">
      <c r="A1042" s="5">
        <v>1041</v>
      </c>
      <c r="B1042" t="str">
        <f t="shared" si="25"/>
        <v>TO</v>
      </c>
      <c r="C1042" t="str">
        <f t="shared" si="24"/>
        <v>KB</v>
      </c>
      <c r="D1042" t="s">
        <v>2132</v>
      </c>
      <c r="E1042" s="5"/>
      <c r="G1042" s="4" t="s">
        <v>2135</v>
      </c>
      <c r="H1042" s="313" t="s">
        <v>2139</v>
      </c>
      <c r="I1042" s="438"/>
      <c r="K1042" t="s">
        <v>964</v>
      </c>
      <c r="L1042" t="s">
        <v>669</v>
      </c>
      <c r="M1042" s="1" t="s">
        <v>1083</v>
      </c>
    </row>
    <row r="1043" spans="1:14" ht="21.6">
      <c r="A1043" s="5">
        <v>1042</v>
      </c>
      <c r="B1043" t="str">
        <f t="shared" si="25"/>
        <v>TO</v>
      </c>
      <c r="C1043" t="str">
        <f t="shared" si="24"/>
        <v>KB</v>
      </c>
      <c r="D1043" t="s">
        <v>2132</v>
      </c>
      <c r="E1043" s="5"/>
      <c r="G1043" s="4" t="s">
        <v>2135</v>
      </c>
      <c r="H1043" s="313" t="s">
        <v>1712</v>
      </c>
      <c r="I1043" s="438"/>
      <c r="K1043" t="s">
        <v>659</v>
      </c>
      <c r="L1043" t="s">
        <v>669</v>
      </c>
      <c r="M1043" s="1" t="s">
        <v>1083</v>
      </c>
    </row>
    <row r="1044" spans="1:14" ht="21.6">
      <c r="A1044" s="5">
        <v>1043</v>
      </c>
      <c r="B1044" t="str">
        <f t="shared" si="25"/>
        <v>TO</v>
      </c>
      <c r="C1044" t="str">
        <f t="shared" si="24"/>
        <v>KB</v>
      </c>
      <c r="D1044" t="s">
        <v>2132</v>
      </c>
      <c r="E1044" s="5"/>
      <c r="G1044" s="4" t="s">
        <v>2135</v>
      </c>
      <c r="H1044" s="313" t="s">
        <v>1362</v>
      </c>
      <c r="I1044" s="438"/>
      <c r="K1044" t="s">
        <v>659</v>
      </c>
      <c r="L1044" t="s">
        <v>669</v>
      </c>
      <c r="M1044" s="1" t="s">
        <v>1083</v>
      </c>
    </row>
    <row r="1045" spans="1:14" ht="21.6">
      <c r="A1045" s="5">
        <v>1044</v>
      </c>
      <c r="B1045" t="str">
        <f t="shared" si="25"/>
        <v>TO</v>
      </c>
      <c r="C1045" t="str">
        <f t="shared" si="24"/>
        <v>KB</v>
      </c>
      <c r="D1045" t="s">
        <v>2132</v>
      </c>
      <c r="E1045" s="5"/>
      <c r="G1045" s="4" t="s">
        <v>2135</v>
      </c>
      <c r="H1045" s="313" t="s">
        <v>1957</v>
      </c>
      <c r="I1045" s="438"/>
      <c r="K1045" t="s">
        <v>659</v>
      </c>
      <c r="L1045" t="s">
        <v>669</v>
      </c>
      <c r="M1045" s="1" t="s">
        <v>2140</v>
      </c>
    </row>
    <row r="1046" spans="1:14" ht="21.6">
      <c r="A1046" s="5">
        <v>1045</v>
      </c>
      <c r="B1046" t="str">
        <f t="shared" si="25"/>
        <v>TO</v>
      </c>
      <c r="C1046" t="str">
        <f t="shared" si="24"/>
        <v>KB</v>
      </c>
      <c r="D1046" t="s">
        <v>2132</v>
      </c>
      <c r="E1046" s="5"/>
      <c r="G1046" s="4" t="s">
        <v>2135</v>
      </c>
      <c r="H1046" s="313" t="s">
        <v>2141</v>
      </c>
      <c r="I1046" s="438"/>
      <c r="K1046" t="s">
        <v>964</v>
      </c>
      <c r="L1046" t="s">
        <v>669</v>
      </c>
      <c r="M1046" s="1" t="s">
        <v>1083</v>
      </c>
    </row>
    <row r="1047" spans="1:14" ht="21.6">
      <c r="A1047" s="5">
        <v>1046</v>
      </c>
      <c r="B1047" t="str">
        <f t="shared" si="25"/>
        <v>TO</v>
      </c>
      <c r="C1047" t="str">
        <f t="shared" si="24"/>
        <v>KB</v>
      </c>
      <c r="D1047" t="s">
        <v>2132</v>
      </c>
      <c r="E1047" s="5"/>
      <c r="G1047" s="4" t="s">
        <v>2142</v>
      </c>
      <c r="H1047" s="313" t="s">
        <v>2143</v>
      </c>
      <c r="I1047" s="438"/>
      <c r="K1047" t="s">
        <v>964</v>
      </c>
      <c r="L1047" t="s">
        <v>669</v>
      </c>
      <c r="M1047" s="1" t="s">
        <v>2144</v>
      </c>
    </row>
    <row r="1048" spans="1:14" ht="21.6">
      <c r="A1048" s="5">
        <v>1047</v>
      </c>
      <c r="B1048" t="str">
        <f t="shared" si="25"/>
        <v>TO</v>
      </c>
      <c r="C1048" t="str">
        <f t="shared" si="24"/>
        <v>KB</v>
      </c>
      <c r="D1048" t="s">
        <v>2132</v>
      </c>
      <c r="E1048" s="5"/>
      <c r="G1048" s="4" t="s">
        <v>2145</v>
      </c>
      <c r="H1048" s="313" t="s">
        <v>2146</v>
      </c>
      <c r="I1048" s="438"/>
      <c r="K1048" t="s">
        <v>1434</v>
      </c>
      <c r="L1048" t="s">
        <v>1999</v>
      </c>
    </row>
    <row r="1049" spans="1:14" ht="18.600000000000001">
      <c r="A1049" s="5">
        <v>1048</v>
      </c>
      <c r="B1049" t="str">
        <f t="shared" si="25"/>
        <v>TO</v>
      </c>
      <c r="C1049" t="str">
        <f t="shared" si="24"/>
        <v>KB</v>
      </c>
      <c r="D1049" t="s">
        <v>2132</v>
      </c>
      <c r="E1049" s="5"/>
      <c r="G1049" s="4" t="s">
        <v>1004</v>
      </c>
      <c r="H1049" s="306" t="s">
        <v>1743</v>
      </c>
      <c r="I1049" s="432" t="s">
        <v>2147</v>
      </c>
      <c r="K1049" t="s">
        <v>1434</v>
      </c>
      <c r="L1049" t="s">
        <v>1999</v>
      </c>
      <c r="N1049" s="70" t="s">
        <v>2148</v>
      </c>
    </row>
    <row r="1050" spans="1:14" ht="18.600000000000001">
      <c r="A1050" s="5">
        <v>1049</v>
      </c>
      <c r="B1050" t="str">
        <f t="shared" si="25"/>
        <v>TO</v>
      </c>
      <c r="C1050" t="str">
        <f t="shared" si="24"/>
        <v>KB</v>
      </c>
      <c r="D1050" t="s">
        <v>2132</v>
      </c>
      <c r="E1050" s="5"/>
      <c r="G1050" s="4" t="s">
        <v>1004</v>
      </c>
      <c r="H1050" s="306" t="s">
        <v>347</v>
      </c>
      <c r="I1050" s="432" t="s">
        <v>2149</v>
      </c>
      <c r="K1050" t="s">
        <v>1434</v>
      </c>
      <c r="L1050" t="s">
        <v>669</v>
      </c>
      <c r="N1050" s="70" t="s">
        <v>2148</v>
      </c>
    </row>
    <row r="1051" spans="1:14" ht="18.600000000000001">
      <c r="A1051" s="5">
        <v>1050</v>
      </c>
      <c r="B1051" t="str">
        <f t="shared" si="25"/>
        <v>TO</v>
      </c>
      <c r="C1051" t="str">
        <f t="shared" si="24"/>
        <v>KB</v>
      </c>
      <c r="D1051" t="s">
        <v>2132</v>
      </c>
      <c r="E1051" s="5"/>
      <c r="G1051" s="4" t="s">
        <v>1004</v>
      </c>
      <c r="H1051" s="306" t="s">
        <v>372</v>
      </c>
      <c r="I1051" s="432" t="s">
        <v>2150</v>
      </c>
      <c r="K1051" t="s">
        <v>1434</v>
      </c>
      <c r="L1051" t="s">
        <v>669</v>
      </c>
      <c r="N1051" s="70" t="s">
        <v>2148</v>
      </c>
    </row>
    <row r="1052" spans="1:14" ht="18.600000000000001">
      <c r="A1052" s="5">
        <v>1051</v>
      </c>
      <c r="B1052" t="str">
        <f t="shared" si="25"/>
        <v>TO</v>
      </c>
      <c r="C1052" t="str">
        <f t="shared" si="24"/>
        <v>KB</v>
      </c>
      <c r="D1052" t="s">
        <v>2132</v>
      </c>
      <c r="E1052" s="5"/>
      <c r="G1052" s="4" t="s">
        <v>1004</v>
      </c>
      <c r="H1052" s="306" t="s">
        <v>1313</v>
      </c>
      <c r="I1052" s="432" t="s">
        <v>2151</v>
      </c>
      <c r="K1052" t="s">
        <v>659</v>
      </c>
      <c r="L1052" t="s">
        <v>669</v>
      </c>
      <c r="N1052" s="70" t="s">
        <v>2148</v>
      </c>
    </row>
    <row r="1053" spans="1:14" ht="36">
      <c r="A1053" s="5">
        <v>1052</v>
      </c>
      <c r="B1053" t="str">
        <f t="shared" si="25"/>
        <v>TO</v>
      </c>
      <c r="C1053" t="str">
        <f t="shared" si="24"/>
        <v>KB</v>
      </c>
      <c r="D1053" t="s">
        <v>2132</v>
      </c>
      <c r="E1053" s="5"/>
      <c r="G1053" s="4" t="s">
        <v>1004</v>
      </c>
      <c r="H1053" s="306" t="s">
        <v>346</v>
      </c>
      <c r="I1053" s="432" t="s">
        <v>2152</v>
      </c>
      <c r="K1053" t="s">
        <v>1434</v>
      </c>
      <c r="L1053" t="s">
        <v>669</v>
      </c>
      <c r="N1053" s="70" t="s">
        <v>2148</v>
      </c>
    </row>
    <row r="1054" spans="1:14" ht="18.600000000000001">
      <c r="A1054" s="5">
        <v>1053</v>
      </c>
      <c r="B1054" t="str">
        <f t="shared" si="25"/>
        <v>TO</v>
      </c>
      <c r="C1054" t="str">
        <f t="shared" si="24"/>
        <v>KB</v>
      </c>
      <c r="D1054" t="s">
        <v>2132</v>
      </c>
      <c r="E1054" s="5"/>
      <c r="G1054" s="4" t="s">
        <v>1004</v>
      </c>
      <c r="H1054" s="306" t="s">
        <v>1289</v>
      </c>
      <c r="I1054" s="432" t="s">
        <v>2153</v>
      </c>
      <c r="K1054" t="s">
        <v>659</v>
      </c>
      <c r="L1054" t="s">
        <v>669</v>
      </c>
      <c r="N1054" s="70" t="s">
        <v>2148</v>
      </c>
    </row>
    <row r="1055" spans="1:14" ht="36">
      <c r="A1055" s="5">
        <v>1054</v>
      </c>
      <c r="B1055" t="str">
        <f t="shared" si="25"/>
        <v>TO</v>
      </c>
      <c r="C1055" t="str">
        <f t="shared" si="24"/>
        <v>KB</v>
      </c>
      <c r="D1055" t="s">
        <v>2132</v>
      </c>
      <c r="E1055" s="5"/>
      <c r="G1055" s="4" t="s">
        <v>1004</v>
      </c>
      <c r="H1055" s="306" t="s">
        <v>2154</v>
      </c>
      <c r="I1055" s="432" t="s">
        <v>2155</v>
      </c>
      <c r="K1055" t="s">
        <v>659</v>
      </c>
      <c r="L1055" t="s">
        <v>669</v>
      </c>
      <c r="N1055" s="70" t="s">
        <v>2148</v>
      </c>
    </row>
    <row r="1056" spans="1:14" ht="21.6">
      <c r="A1056" s="5">
        <v>1055</v>
      </c>
      <c r="B1056" t="str">
        <f t="shared" si="25"/>
        <v>TO</v>
      </c>
      <c r="C1056" t="str">
        <f t="shared" si="24"/>
        <v>KB</v>
      </c>
      <c r="D1056" t="s">
        <v>2132</v>
      </c>
      <c r="E1056" s="5"/>
      <c r="G1056" s="4" t="s">
        <v>2156</v>
      </c>
      <c r="H1056" s="313" t="s">
        <v>2157</v>
      </c>
      <c r="I1056" s="432" t="s">
        <v>2158</v>
      </c>
      <c r="K1056" t="s">
        <v>1434</v>
      </c>
      <c r="L1056" t="s">
        <v>669</v>
      </c>
      <c r="M1056" s="1" t="s">
        <v>1083</v>
      </c>
    </row>
    <row r="1057" spans="1:15" ht="43.2">
      <c r="A1057" s="5">
        <v>1056</v>
      </c>
      <c r="B1057" t="str">
        <f t="shared" si="25"/>
        <v>TO</v>
      </c>
      <c r="C1057" t="str">
        <f t="shared" si="24"/>
        <v>KB</v>
      </c>
      <c r="D1057" t="s">
        <v>2132</v>
      </c>
      <c r="E1057" s="5"/>
      <c r="G1057" s="4" t="s">
        <v>2156</v>
      </c>
      <c r="H1057" s="313" t="s">
        <v>154</v>
      </c>
      <c r="I1057" s="432" t="s">
        <v>2159</v>
      </c>
      <c r="K1057" t="s">
        <v>659</v>
      </c>
      <c r="L1057" t="s">
        <v>669</v>
      </c>
      <c r="M1057" s="1" t="s">
        <v>1083</v>
      </c>
    </row>
    <row r="1058" spans="1:15" ht="21.6">
      <c r="A1058" s="5">
        <v>1057</v>
      </c>
      <c r="B1058" t="str">
        <f t="shared" si="25"/>
        <v>TO</v>
      </c>
      <c r="C1058" t="str">
        <f t="shared" si="24"/>
        <v>KB</v>
      </c>
      <c r="D1058" t="s">
        <v>2132</v>
      </c>
      <c r="E1058" s="5"/>
      <c r="G1058" s="4" t="s">
        <v>2156</v>
      </c>
      <c r="H1058" s="313" t="s">
        <v>2160</v>
      </c>
      <c r="I1058" s="432" t="s">
        <v>2161</v>
      </c>
      <c r="K1058" t="s">
        <v>659</v>
      </c>
      <c r="L1058" t="s">
        <v>669</v>
      </c>
      <c r="M1058" s="1" t="s">
        <v>1083</v>
      </c>
    </row>
    <row r="1059" spans="1:15" ht="83.4">
      <c r="A1059" s="5">
        <v>1058</v>
      </c>
      <c r="B1059" t="str">
        <f t="shared" si="25"/>
        <v>TO</v>
      </c>
      <c r="C1059" t="str">
        <f t="shared" si="24"/>
        <v>KB</v>
      </c>
      <c r="D1059" t="s">
        <v>2132</v>
      </c>
      <c r="E1059" s="5"/>
      <c r="G1059" s="4" t="s">
        <v>2156</v>
      </c>
      <c r="H1059" s="313" t="s">
        <v>2162</v>
      </c>
      <c r="I1059" s="432" t="s">
        <v>2163</v>
      </c>
      <c r="K1059" t="s">
        <v>1434</v>
      </c>
      <c r="L1059" t="s">
        <v>669</v>
      </c>
      <c r="N1059" s="278" t="s">
        <v>2164</v>
      </c>
      <c r="O1059" s="277"/>
    </row>
    <row r="1060" spans="1:15" ht="21.6">
      <c r="A1060" s="5">
        <v>1059</v>
      </c>
      <c r="B1060" t="str">
        <f t="shared" si="25"/>
        <v>TO</v>
      </c>
      <c r="C1060" t="str">
        <f t="shared" si="24"/>
        <v>KB</v>
      </c>
      <c r="D1060" t="s">
        <v>2132</v>
      </c>
      <c r="E1060" s="5"/>
      <c r="G1060" s="4" t="s">
        <v>2156</v>
      </c>
      <c r="H1060" s="313" t="s">
        <v>246</v>
      </c>
      <c r="I1060" s="432" t="s">
        <v>2165</v>
      </c>
      <c r="K1060" t="s">
        <v>659</v>
      </c>
      <c r="L1060" t="s">
        <v>669</v>
      </c>
      <c r="M1060" s="1" t="s">
        <v>2043</v>
      </c>
      <c r="N1060" t="s">
        <v>2166</v>
      </c>
    </row>
    <row r="1061" spans="1:15" ht="21.6">
      <c r="A1061" s="5">
        <v>1060</v>
      </c>
      <c r="B1061" t="str">
        <f t="shared" si="25"/>
        <v>TO</v>
      </c>
      <c r="C1061" t="str">
        <f t="shared" si="24"/>
        <v>KB</v>
      </c>
      <c r="D1061" t="s">
        <v>2132</v>
      </c>
      <c r="E1061" s="5"/>
      <c r="G1061" s="4" t="s">
        <v>2156</v>
      </c>
      <c r="H1061" s="313" t="s">
        <v>2167</v>
      </c>
      <c r="I1061" s="432" t="s">
        <v>2168</v>
      </c>
      <c r="K1061" t="s">
        <v>659</v>
      </c>
      <c r="L1061" t="s">
        <v>669</v>
      </c>
      <c r="M1061" s="1" t="s">
        <v>2043</v>
      </c>
      <c r="N1061" t="s">
        <v>2169</v>
      </c>
    </row>
    <row r="1062" spans="1:15" ht="21.6">
      <c r="A1062" s="5">
        <v>1061</v>
      </c>
      <c r="B1062" t="str">
        <f t="shared" si="25"/>
        <v>TO</v>
      </c>
      <c r="C1062" t="str">
        <f t="shared" si="24"/>
        <v>KB</v>
      </c>
      <c r="D1062" t="s">
        <v>2132</v>
      </c>
      <c r="E1062" s="5"/>
      <c r="G1062" s="4" t="s">
        <v>2156</v>
      </c>
      <c r="H1062" s="313" t="s">
        <v>2170</v>
      </c>
      <c r="I1062" s="432" t="s">
        <v>2171</v>
      </c>
      <c r="K1062" t="s">
        <v>1434</v>
      </c>
      <c r="L1062" t="s">
        <v>669</v>
      </c>
      <c r="M1062" s="1" t="s">
        <v>2140</v>
      </c>
      <c r="N1062" t="s">
        <v>2172</v>
      </c>
    </row>
    <row r="1063" spans="1:15" ht="43.2">
      <c r="A1063" s="5">
        <v>1062</v>
      </c>
      <c r="B1063" t="str">
        <f t="shared" ref="B1063:B1094" si="26">MID(G1063,8,2)</f>
        <v>TO</v>
      </c>
      <c r="C1063" t="str">
        <f t="shared" si="24"/>
        <v>KB</v>
      </c>
      <c r="D1063" t="s">
        <v>2132</v>
      </c>
      <c r="E1063" s="5"/>
      <c r="G1063" s="4" t="s">
        <v>2156</v>
      </c>
      <c r="H1063" s="313" t="s">
        <v>2173</v>
      </c>
      <c r="I1063" s="432" t="s">
        <v>2174</v>
      </c>
      <c r="K1063" t="s">
        <v>1434</v>
      </c>
      <c r="L1063" t="s">
        <v>669</v>
      </c>
      <c r="M1063" s="1" t="s">
        <v>1083</v>
      </c>
    </row>
    <row r="1064" spans="1:15" ht="43.2">
      <c r="A1064" s="5">
        <v>1063</v>
      </c>
      <c r="B1064" t="str">
        <f t="shared" si="26"/>
        <v>TO</v>
      </c>
      <c r="C1064" t="str">
        <f t="shared" si="24"/>
        <v>KB</v>
      </c>
      <c r="D1064" t="s">
        <v>2132</v>
      </c>
      <c r="E1064" s="5"/>
      <c r="G1064" s="4" t="s">
        <v>2156</v>
      </c>
      <c r="H1064" s="313" t="s">
        <v>2175</v>
      </c>
      <c r="I1064" s="432" t="s">
        <v>2176</v>
      </c>
      <c r="K1064" t="s">
        <v>659</v>
      </c>
      <c r="L1064" t="s">
        <v>669</v>
      </c>
      <c r="M1064" s="1" t="s">
        <v>1083</v>
      </c>
    </row>
    <row r="1065" spans="1:15" ht="21.6">
      <c r="A1065" s="5">
        <v>1064</v>
      </c>
      <c r="B1065" t="str">
        <f t="shared" si="26"/>
        <v>TO</v>
      </c>
      <c r="C1065" t="str">
        <f t="shared" si="24"/>
        <v>KB</v>
      </c>
      <c r="D1065" t="s">
        <v>2132</v>
      </c>
      <c r="E1065" s="5"/>
      <c r="G1065" s="4" t="s">
        <v>2156</v>
      </c>
      <c r="H1065" s="313" t="s">
        <v>1336</v>
      </c>
      <c r="I1065" s="432" t="s">
        <v>2177</v>
      </c>
      <c r="K1065" t="s">
        <v>659</v>
      </c>
      <c r="L1065" t="s">
        <v>669</v>
      </c>
      <c r="M1065" s="1" t="s">
        <v>1083</v>
      </c>
    </row>
    <row r="1066" spans="1:15" ht="21.6">
      <c r="A1066" s="5">
        <v>1065</v>
      </c>
      <c r="B1066" t="str">
        <f t="shared" si="26"/>
        <v>TO</v>
      </c>
      <c r="C1066" t="str">
        <f t="shared" si="24"/>
        <v>KB</v>
      </c>
      <c r="D1066" t="s">
        <v>2132</v>
      </c>
      <c r="E1066" s="5"/>
      <c r="G1066" s="4" t="s">
        <v>2156</v>
      </c>
      <c r="H1066" s="313" t="s">
        <v>2178</v>
      </c>
      <c r="I1066" s="432" t="s">
        <v>2179</v>
      </c>
      <c r="K1066" t="s">
        <v>659</v>
      </c>
      <c r="L1066" t="s">
        <v>669</v>
      </c>
      <c r="M1066" s="1" t="s">
        <v>1083</v>
      </c>
    </row>
    <row r="1067" spans="1:15" ht="21.6">
      <c r="A1067" s="5">
        <v>1066</v>
      </c>
      <c r="B1067" t="str">
        <f t="shared" si="26"/>
        <v>TO</v>
      </c>
      <c r="C1067" t="str">
        <f t="shared" si="24"/>
        <v>KB</v>
      </c>
      <c r="D1067" t="s">
        <v>2132</v>
      </c>
      <c r="E1067" s="5"/>
      <c r="G1067" s="4" t="s">
        <v>2156</v>
      </c>
      <c r="H1067" s="313" t="s">
        <v>2180</v>
      </c>
      <c r="I1067" s="432" t="s">
        <v>2181</v>
      </c>
      <c r="K1067" t="s">
        <v>659</v>
      </c>
      <c r="L1067" t="s">
        <v>669</v>
      </c>
      <c r="M1067" s="1" t="s">
        <v>1083</v>
      </c>
    </row>
    <row r="1068" spans="1:15" ht="21.6">
      <c r="A1068" s="5">
        <v>1067</v>
      </c>
      <c r="B1068" t="str">
        <f t="shared" si="26"/>
        <v>TO</v>
      </c>
      <c r="C1068" t="str">
        <f t="shared" si="24"/>
        <v>KB</v>
      </c>
      <c r="D1068" t="s">
        <v>2132</v>
      </c>
      <c r="E1068" s="5"/>
      <c r="G1068" s="4" t="s">
        <v>2182</v>
      </c>
      <c r="H1068" s="313" t="s">
        <v>2183</v>
      </c>
      <c r="I1068" s="432" t="s">
        <v>2184</v>
      </c>
      <c r="K1068" t="s">
        <v>659</v>
      </c>
      <c r="L1068" t="s">
        <v>669</v>
      </c>
      <c r="M1068" s="1" t="s">
        <v>1083</v>
      </c>
    </row>
    <row r="1069" spans="1:15" ht="21.6">
      <c r="A1069" s="5">
        <v>1068</v>
      </c>
      <c r="B1069" t="str">
        <f t="shared" si="26"/>
        <v>TO</v>
      </c>
      <c r="C1069" t="str">
        <f t="shared" si="24"/>
        <v>KB</v>
      </c>
      <c r="D1069" t="s">
        <v>2132</v>
      </c>
      <c r="E1069" s="5"/>
      <c r="G1069" s="4" t="s">
        <v>2182</v>
      </c>
      <c r="H1069" s="313" t="s">
        <v>2185</v>
      </c>
      <c r="I1069" s="432" t="s">
        <v>2186</v>
      </c>
      <c r="K1069" t="s">
        <v>659</v>
      </c>
      <c r="L1069" t="s">
        <v>669</v>
      </c>
      <c r="M1069" s="1" t="s">
        <v>1083</v>
      </c>
    </row>
    <row r="1070" spans="1:15" ht="21.6">
      <c r="A1070" s="5">
        <v>1069</v>
      </c>
      <c r="B1070" t="str">
        <f t="shared" si="26"/>
        <v>TO</v>
      </c>
      <c r="C1070" t="str">
        <f t="shared" si="24"/>
        <v>KB</v>
      </c>
      <c r="D1070" t="s">
        <v>2132</v>
      </c>
      <c r="E1070" s="5"/>
      <c r="G1070" s="4" t="s">
        <v>2182</v>
      </c>
      <c r="H1070" s="313" t="s">
        <v>1692</v>
      </c>
      <c r="I1070" s="432" t="s">
        <v>2187</v>
      </c>
      <c r="K1070" t="s">
        <v>659</v>
      </c>
      <c r="L1070" t="s">
        <v>669</v>
      </c>
      <c r="M1070" s="1" t="s">
        <v>1083</v>
      </c>
    </row>
    <row r="1071" spans="1:15" ht="21.6">
      <c r="A1071" s="5">
        <v>1070</v>
      </c>
      <c r="B1071" t="str">
        <f t="shared" si="26"/>
        <v>TO</v>
      </c>
      <c r="C1071" t="str">
        <f t="shared" si="24"/>
        <v>KB</v>
      </c>
      <c r="D1071" t="s">
        <v>2132</v>
      </c>
      <c r="E1071" s="5"/>
      <c r="G1071" s="4" t="s">
        <v>2182</v>
      </c>
      <c r="H1071" s="313" t="s">
        <v>87</v>
      </c>
      <c r="I1071" s="432" t="s">
        <v>2188</v>
      </c>
      <c r="K1071" t="s">
        <v>659</v>
      </c>
      <c r="L1071" t="s">
        <v>669</v>
      </c>
      <c r="M1071" s="1" t="s">
        <v>1083</v>
      </c>
    </row>
    <row r="1072" spans="1:15" ht="43.2">
      <c r="A1072" s="5">
        <v>1071</v>
      </c>
      <c r="B1072" t="str">
        <f t="shared" si="26"/>
        <v>TO</v>
      </c>
      <c r="C1072" t="str">
        <f t="shared" si="24"/>
        <v>KB</v>
      </c>
      <c r="D1072" t="s">
        <v>2132</v>
      </c>
      <c r="E1072" s="5"/>
      <c r="G1072" s="4" t="s">
        <v>2182</v>
      </c>
      <c r="H1072" s="313" t="s">
        <v>2189</v>
      </c>
      <c r="I1072" s="432" t="s">
        <v>2190</v>
      </c>
      <c r="K1072" t="s">
        <v>1434</v>
      </c>
      <c r="L1072" t="s">
        <v>669</v>
      </c>
      <c r="M1072" s="1" t="s">
        <v>1083</v>
      </c>
    </row>
    <row r="1073" spans="1:13" ht="21.6">
      <c r="A1073" s="5">
        <v>1072</v>
      </c>
      <c r="B1073" t="str">
        <f t="shared" si="26"/>
        <v>TO</v>
      </c>
      <c r="C1073" t="str">
        <f t="shared" si="24"/>
        <v>KB</v>
      </c>
      <c r="D1073" t="s">
        <v>2132</v>
      </c>
      <c r="E1073" s="5"/>
      <c r="G1073" s="4" t="s">
        <v>2182</v>
      </c>
      <c r="H1073" s="313" t="s">
        <v>522</v>
      </c>
      <c r="I1073" s="432" t="s">
        <v>2191</v>
      </c>
      <c r="K1073" t="s">
        <v>659</v>
      </c>
      <c r="L1073" t="s">
        <v>669</v>
      </c>
      <c r="M1073" s="1" t="s">
        <v>1083</v>
      </c>
    </row>
    <row r="1074" spans="1:13" ht="21.6">
      <c r="A1074" s="5">
        <v>1073</v>
      </c>
      <c r="B1074" t="str">
        <f t="shared" si="26"/>
        <v>TO</v>
      </c>
      <c r="C1074" t="str">
        <f t="shared" si="24"/>
        <v>KB</v>
      </c>
      <c r="D1074" t="s">
        <v>2132</v>
      </c>
      <c r="E1074" s="5"/>
      <c r="G1074" s="4" t="s">
        <v>2182</v>
      </c>
      <c r="H1074" s="313" t="s">
        <v>2192</v>
      </c>
      <c r="I1074" s="432" t="s">
        <v>2193</v>
      </c>
      <c r="K1074" t="s">
        <v>659</v>
      </c>
      <c r="L1074" t="s">
        <v>669</v>
      </c>
      <c r="M1074" s="1" t="s">
        <v>1083</v>
      </c>
    </row>
    <row r="1075" spans="1:13" ht="21.6">
      <c r="A1075" s="5">
        <v>1074</v>
      </c>
      <c r="B1075" t="str">
        <f t="shared" si="26"/>
        <v>TO</v>
      </c>
      <c r="C1075" t="str">
        <f t="shared" si="24"/>
        <v>KB</v>
      </c>
      <c r="D1075" t="s">
        <v>2132</v>
      </c>
      <c r="E1075" s="5"/>
      <c r="G1075" s="4" t="s">
        <v>2182</v>
      </c>
      <c r="H1075" s="313" t="s">
        <v>2194</v>
      </c>
      <c r="I1075" s="432" t="s">
        <v>7176</v>
      </c>
      <c r="K1075" t="s">
        <v>659</v>
      </c>
      <c r="L1075" t="s">
        <v>669</v>
      </c>
      <c r="M1075" s="1" t="s">
        <v>1083</v>
      </c>
    </row>
    <row r="1076" spans="1:13" ht="21.6">
      <c r="A1076" s="5">
        <v>1075</v>
      </c>
      <c r="B1076" t="str">
        <f t="shared" si="26"/>
        <v>TO</v>
      </c>
      <c r="C1076" t="str">
        <f t="shared" si="24"/>
        <v>KB</v>
      </c>
      <c r="D1076" t="s">
        <v>2132</v>
      </c>
      <c r="E1076" s="5"/>
      <c r="G1076" s="4" t="s">
        <v>2182</v>
      </c>
      <c r="H1076" s="313" t="s">
        <v>1459</v>
      </c>
      <c r="I1076" s="432" t="s">
        <v>2195</v>
      </c>
      <c r="K1076" t="s">
        <v>1434</v>
      </c>
      <c r="L1076" t="s">
        <v>669</v>
      </c>
      <c r="M1076" s="1" t="s">
        <v>2140</v>
      </c>
    </row>
    <row r="1077" spans="1:13" ht="43.2">
      <c r="A1077" s="5">
        <v>1076</v>
      </c>
      <c r="B1077" t="str">
        <f t="shared" si="26"/>
        <v>TO</v>
      </c>
      <c r="C1077" t="str">
        <f t="shared" si="24"/>
        <v>KB</v>
      </c>
      <c r="D1077" t="s">
        <v>2132</v>
      </c>
      <c r="E1077" s="5"/>
      <c r="G1077" s="4" t="s">
        <v>2182</v>
      </c>
      <c r="H1077" s="313" t="s">
        <v>1461</v>
      </c>
      <c r="I1077" s="432" t="s">
        <v>2196</v>
      </c>
      <c r="K1077" t="s">
        <v>659</v>
      </c>
      <c r="L1077" t="s">
        <v>669</v>
      </c>
      <c r="M1077" s="1" t="s">
        <v>2140</v>
      </c>
    </row>
    <row r="1078" spans="1:13" ht="21.6">
      <c r="A1078" s="5">
        <v>1077</v>
      </c>
      <c r="B1078" t="str">
        <f t="shared" si="26"/>
        <v>TO</v>
      </c>
      <c r="C1078" t="str">
        <f t="shared" si="24"/>
        <v>KB</v>
      </c>
      <c r="D1078" t="s">
        <v>2132</v>
      </c>
      <c r="E1078" s="5"/>
      <c r="G1078" s="4" t="s">
        <v>2197</v>
      </c>
      <c r="H1078" s="313" t="s">
        <v>2198</v>
      </c>
      <c r="I1078" s="432" t="s">
        <v>2199</v>
      </c>
      <c r="K1078" t="s">
        <v>1434</v>
      </c>
      <c r="L1078" t="s">
        <v>669</v>
      </c>
      <c r="M1078" s="1" t="s">
        <v>1083</v>
      </c>
    </row>
    <row r="1079" spans="1:13" ht="36">
      <c r="A1079" s="5">
        <v>1078</v>
      </c>
      <c r="B1079" t="str">
        <f t="shared" si="26"/>
        <v>TO</v>
      </c>
      <c r="C1079" t="str">
        <f t="shared" si="24"/>
        <v>KB</v>
      </c>
      <c r="D1079" t="s">
        <v>2200</v>
      </c>
      <c r="E1079" s="5"/>
      <c r="G1079" s="4" t="s">
        <v>2201</v>
      </c>
      <c r="H1079" s="306" t="s">
        <v>2202</v>
      </c>
      <c r="I1079" s="432" t="s">
        <v>2203</v>
      </c>
      <c r="K1079" t="s">
        <v>1434</v>
      </c>
      <c r="L1079" t="s">
        <v>669</v>
      </c>
    </row>
    <row r="1080" spans="1:13" ht="21.6">
      <c r="A1080" s="5">
        <v>1079</v>
      </c>
      <c r="B1080" t="str">
        <f t="shared" si="26"/>
        <v>TO</v>
      </c>
      <c r="C1080" t="str">
        <f t="shared" si="24"/>
        <v>KB</v>
      </c>
      <c r="D1080" t="s">
        <v>2204</v>
      </c>
      <c r="E1080" s="5"/>
      <c r="G1080" s="4" t="s">
        <v>2205</v>
      </c>
      <c r="H1080" s="313" t="s">
        <v>375</v>
      </c>
      <c r="I1080" s="432" t="s">
        <v>2206</v>
      </c>
      <c r="K1080" t="s">
        <v>659</v>
      </c>
      <c r="L1080" t="s">
        <v>669</v>
      </c>
    </row>
    <row r="1081" spans="1:13">
      <c r="A1081" s="5">
        <v>1080</v>
      </c>
      <c r="B1081" t="str">
        <f t="shared" si="26"/>
        <v>TO</v>
      </c>
      <c r="C1081" t="str">
        <f t="shared" ref="C1081:C1144" si="27">MID(G1081,11,2)</f>
        <v>KB</v>
      </c>
      <c r="D1081" t="s">
        <v>2200</v>
      </c>
      <c r="E1081" s="5"/>
      <c r="G1081" s="4" t="s">
        <v>2205</v>
      </c>
      <c r="H1081" s="306" t="s">
        <v>2207</v>
      </c>
      <c r="I1081" s="432" t="s">
        <v>2208</v>
      </c>
      <c r="K1081" t="s">
        <v>659</v>
      </c>
      <c r="L1081" t="s">
        <v>669</v>
      </c>
    </row>
    <row r="1082" spans="1:13" ht="36">
      <c r="A1082" s="5">
        <v>1081</v>
      </c>
      <c r="B1082" t="str">
        <f t="shared" si="26"/>
        <v>TO</v>
      </c>
      <c r="C1082" t="str">
        <f t="shared" si="27"/>
        <v>KB</v>
      </c>
      <c r="D1082" t="s">
        <v>2132</v>
      </c>
      <c r="E1082" s="5"/>
      <c r="G1082" s="4" t="s">
        <v>2209</v>
      </c>
      <c r="H1082" s="306" t="s">
        <v>2210</v>
      </c>
      <c r="I1082" s="432" t="s">
        <v>2211</v>
      </c>
      <c r="K1082" t="s">
        <v>1434</v>
      </c>
      <c r="L1082" t="s">
        <v>669</v>
      </c>
    </row>
    <row r="1083" spans="1:13">
      <c r="A1083" s="5">
        <v>1082</v>
      </c>
      <c r="B1083" t="str">
        <f t="shared" si="26"/>
        <v>TO</v>
      </c>
      <c r="C1083" t="str">
        <f t="shared" si="27"/>
        <v>KB</v>
      </c>
      <c r="D1083" t="s">
        <v>2132</v>
      </c>
      <c r="E1083" s="5"/>
      <c r="G1083" s="4" t="s">
        <v>2209</v>
      </c>
      <c r="H1083" s="306" t="s">
        <v>2212</v>
      </c>
      <c r="I1083" s="432" t="s">
        <v>2213</v>
      </c>
      <c r="K1083" t="s">
        <v>1434</v>
      </c>
      <c r="L1083" t="s">
        <v>669</v>
      </c>
    </row>
    <row r="1084" spans="1:13">
      <c r="A1084" s="5">
        <v>1083</v>
      </c>
      <c r="B1084" t="str">
        <f t="shared" si="26"/>
        <v>TO</v>
      </c>
      <c r="C1084" t="str">
        <f t="shared" si="27"/>
        <v>KB</v>
      </c>
      <c r="D1084" t="s">
        <v>2214</v>
      </c>
      <c r="E1084" s="5"/>
      <c r="G1084" s="4" t="s">
        <v>2215</v>
      </c>
      <c r="H1084" s="306" t="s">
        <v>1741</v>
      </c>
      <c r="I1084" s="432" t="s">
        <v>2216</v>
      </c>
      <c r="K1084" t="s">
        <v>659</v>
      </c>
      <c r="L1084" t="s">
        <v>669</v>
      </c>
    </row>
    <row r="1085" spans="1:13">
      <c r="A1085" s="5">
        <v>1084</v>
      </c>
      <c r="B1085" t="str">
        <f t="shared" si="26"/>
        <v>TO</v>
      </c>
      <c r="C1085" t="str">
        <f t="shared" si="27"/>
        <v>KB</v>
      </c>
      <c r="D1085" t="s">
        <v>2214</v>
      </c>
      <c r="E1085" s="5"/>
      <c r="G1085" s="4" t="s">
        <v>2215</v>
      </c>
      <c r="H1085" s="306" t="s">
        <v>1718</v>
      </c>
      <c r="I1085" s="432" t="s">
        <v>2217</v>
      </c>
      <c r="K1085" t="s">
        <v>659</v>
      </c>
      <c r="L1085" t="s">
        <v>669</v>
      </c>
    </row>
    <row r="1086" spans="1:13">
      <c r="A1086" s="5">
        <v>1085</v>
      </c>
      <c r="B1086" t="str">
        <f t="shared" si="26"/>
        <v>TO</v>
      </c>
      <c r="C1086" t="str">
        <f t="shared" si="27"/>
        <v>KB</v>
      </c>
      <c r="D1086" t="s">
        <v>2214</v>
      </c>
      <c r="E1086" s="5"/>
      <c r="G1086" s="4" t="s">
        <v>2215</v>
      </c>
      <c r="H1086" s="306" t="s">
        <v>1694</v>
      </c>
      <c r="I1086" s="432" t="s">
        <v>2218</v>
      </c>
      <c r="K1086" t="s">
        <v>659</v>
      </c>
      <c r="L1086" t="s">
        <v>669</v>
      </c>
    </row>
    <row r="1087" spans="1:13">
      <c r="A1087" s="5">
        <v>1086</v>
      </c>
      <c r="B1087" t="str">
        <f t="shared" si="26"/>
        <v>TO</v>
      </c>
      <c r="C1087" t="str">
        <f t="shared" si="27"/>
        <v>KB</v>
      </c>
      <c r="D1087" t="s">
        <v>2214</v>
      </c>
      <c r="E1087" s="5"/>
      <c r="G1087" s="4" t="s">
        <v>2215</v>
      </c>
      <c r="H1087" s="306" t="s">
        <v>2219</v>
      </c>
      <c r="I1087" s="432" t="s">
        <v>2220</v>
      </c>
      <c r="K1087" t="s">
        <v>659</v>
      </c>
      <c r="L1087" t="s">
        <v>669</v>
      </c>
    </row>
    <row r="1088" spans="1:13">
      <c r="A1088" s="5">
        <v>1087</v>
      </c>
      <c r="B1088" t="str">
        <f t="shared" si="26"/>
        <v>TO</v>
      </c>
      <c r="C1088" t="str">
        <f t="shared" si="27"/>
        <v>KB</v>
      </c>
      <c r="D1088" t="s">
        <v>2214</v>
      </c>
      <c r="E1088" s="5"/>
      <c r="G1088" s="4" t="s">
        <v>2215</v>
      </c>
      <c r="H1088" s="306" t="s">
        <v>2221</v>
      </c>
      <c r="I1088" s="432" t="s">
        <v>2222</v>
      </c>
      <c r="K1088" t="s">
        <v>659</v>
      </c>
      <c r="L1088" t="s">
        <v>669</v>
      </c>
    </row>
    <row r="1089" spans="1:13">
      <c r="A1089" s="5">
        <v>1088</v>
      </c>
      <c r="B1089" t="str">
        <f t="shared" si="26"/>
        <v>TO</v>
      </c>
      <c r="C1089" t="str">
        <f t="shared" si="27"/>
        <v>KB</v>
      </c>
      <c r="D1089" t="s">
        <v>2214</v>
      </c>
      <c r="E1089" s="5"/>
      <c r="G1089" s="4" t="s">
        <v>2215</v>
      </c>
      <c r="H1089" s="306" t="s">
        <v>2223</v>
      </c>
      <c r="I1089" s="432" t="s">
        <v>2224</v>
      </c>
      <c r="K1089" t="s">
        <v>659</v>
      </c>
      <c r="L1089" t="s">
        <v>669</v>
      </c>
    </row>
    <row r="1090" spans="1:13" ht="36">
      <c r="A1090" s="5">
        <v>1089</v>
      </c>
      <c r="B1090" t="str">
        <f t="shared" si="26"/>
        <v>MH</v>
      </c>
      <c r="C1090" t="str">
        <f t="shared" si="27"/>
        <v>Le</v>
      </c>
      <c r="D1090" t="s">
        <v>2214</v>
      </c>
      <c r="E1090" s="5"/>
      <c r="G1090" s="4" t="s">
        <v>2225</v>
      </c>
      <c r="H1090" s="306" t="s">
        <v>2226</v>
      </c>
      <c r="L1090" t="s">
        <v>669</v>
      </c>
    </row>
    <row r="1091" spans="1:13">
      <c r="A1091" s="5">
        <v>1090</v>
      </c>
      <c r="B1091" t="str">
        <f t="shared" si="26"/>
        <v>TO</v>
      </c>
      <c r="C1091" t="str">
        <f t="shared" si="27"/>
        <v>KB</v>
      </c>
      <c r="D1091" t="s">
        <v>2214</v>
      </c>
      <c r="E1091" s="5"/>
      <c r="G1091" s="4" t="s">
        <v>2227</v>
      </c>
      <c r="H1091" s="306" t="s">
        <v>2228</v>
      </c>
      <c r="I1091" s="432" t="s">
        <v>2229</v>
      </c>
      <c r="K1091" t="s">
        <v>1434</v>
      </c>
      <c r="L1091" t="s">
        <v>669</v>
      </c>
    </row>
    <row r="1092" spans="1:13">
      <c r="A1092" s="5">
        <v>1091</v>
      </c>
      <c r="B1092" t="str">
        <f t="shared" si="26"/>
        <v>TO</v>
      </c>
      <c r="C1092" t="str">
        <f t="shared" si="27"/>
        <v>KB</v>
      </c>
      <c r="D1092" t="s">
        <v>2214</v>
      </c>
      <c r="E1092" s="5"/>
      <c r="G1092" s="4" t="s">
        <v>2230</v>
      </c>
      <c r="H1092" s="306" t="s">
        <v>2231</v>
      </c>
      <c r="I1092" s="432" t="s">
        <v>2232</v>
      </c>
      <c r="K1092" t="s">
        <v>1434</v>
      </c>
      <c r="L1092" t="s">
        <v>669</v>
      </c>
    </row>
    <row r="1093" spans="1:13">
      <c r="A1093" s="5">
        <v>1092</v>
      </c>
      <c r="B1093" t="str">
        <f t="shared" si="26"/>
        <v>TO</v>
      </c>
      <c r="C1093" t="str">
        <f t="shared" si="27"/>
        <v>KB</v>
      </c>
      <c r="D1093" t="s">
        <v>2214</v>
      </c>
      <c r="E1093" s="5"/>
      <c r="G1093" s="4" t="s">
        <v>2230</v>
      </c>
      <c r="H1093" s="306" t="s">
        <v>2233</v>
      </c>
      <c r="I1093" s="432" t="s">
        <v>2234</v>
      </c>
      <c r="K1093" t="s">
        <v>1434</v>
      </c>
      <c r="L1093" t="s">
        <v>669</v>
      </c>
    </row>
    <row r="1094" spans="1:13">
      <c r="A1094" s="5">
        <v>1093</v>
      </c>
      <c r="B1094" t="str">
        <f t="shared" si="26"/>
        <v>TO</v>
      </c>
      <c r="C1094" t="str">
        <f t="shared" si="27"/>
        <v>KB</v>
      </c>
      <c r="D1094" t="s">
        <v>2214</v>
      </c>
      <c r="E1094" s="5"/>
      <c r="G1094" s="4" t="s">
        <v>2230</v>
      </c>
      <c r="H1094" s="306" t="s">
        <v>1034</v>
      </c>
      <c r="I1094" s="432" t="s">
        <v>2235</v>
      </c>
      <c r="K1094" t="s">
        <v>659</v>
      </c>
      <c r="L1094" t="s">
        <v>669</v>
      </c>
    </row>
    <row r="1095" spans="1:13">
      <c r="A1095" s="5">
        <v>1094</v>
      </c>
      <c r="B1095" t="str">
        <f t="shared" ref="B1095:B1126" si="28">MID(G1095,8,2)</f>
        <v>TO</v>
      </c>
      <c r="C1095" t="str">
        <f t="shared" si="27"/>
        <v>KB</v>
      </c>
      <c r="D1095" t="s">
        <v>2214</v>
      </c>
      <c r="E1095" s="5"/>
      <c r="G1095" s="4" t="s">
        <v>2230</v>
      </c>
      <c r="H1095" s="306" t="s">
        <v>1035</v>
      </c>
      <c r="I1095" s="432" t="s">
        <v>2236</v>
      </c>
      <c r="K1095" t="s">
        <v>659</v>
      </c>
      <c r="L1095" t="s">
        <v>669</v>
      </c>
    </row>
    <row r="1096" spans="1:13" ht="21.6">
      <c r="A1096" s="5">
        <v>1095</v>
      </c>
      <c r="B1096" t="str">
        <f t="shared" si="28"/>
        <v>TO</v>
      </c>
      <c r="C1096" t="str">
        <f t="shared" si="27"/>
        <v>KB</v>
      </c>
      <c r="D1096" t="s">
        <v>2214</v>
      </c>
      <c r="E1096" s="5"/>
      <c r="G1096" s="4" t="s">
        <v>2230</v>
      </c>
      <c r="H1096" s="313" t="s">
        <v>2237</v>
      </c>
      <c r="I1096" s="432" t="s">
        <v>2238</v>
      </c>
      <c r="K1096" t="s">
        <v>659</v>
      </c>
      <c r="L1096" t="s">
        <v>669</v>
      </c>
    </row>
    <row r="1097" spans="1:13" ht="21.6">
      <c r="A1097" s="5">
        <v>1096</v>
      </c>
      <c r="B1097" t="str">
        <f t="shared" si="28"/>
        <v>TO</v>
      </c>
      <c r="C1097" t="str">
        <f t="shared" si="27"/>
        <v>KB</v>
      </c>
      <c r="D1097" t="s">
        <v>2214</v>
      </c>
      <c r="E1097" s="5"/>
      <c r="G1097" s="4" t="s">
        <v>2230</v>
      </c>
      <c r="H1097" s="313" t="s">
        <v>2239</v>
      </c>
      <c r="I1097" s="432" t="s">
        <v>2240</v>
      </c>
      <c r="K1097" t="s">
        <v>659</v>
      </c>
      <c r="L1097" t="s">
        <v>669</v>
      </c>
    </row>
    <row r="1098" spans="1:13" ht="21.6">
      <c r="A1098" s="5">
        <v>1097</v>
      </c>
      <c r="B1098" t="str">
        <f t="shared" si="28"/>
        <v>TO</v>
      </c>
      <c r="C1098" t="str">
        <f t="shared" si="27"/>
        <v>KB</v>
      </c>
      <c r="D1098" t="s">
        <v>2214</v>
      </c>
      <c r="E1098" s="5"/>
      <c r="G1098" s="4" t="s">
        <v>2230</v>
      </c>
      <c r="H1098" s="313" t="s">
        <v>2241</v>
      </c>
      <c r="I1098" s="432" t="s">
        <v>2242</v>
      </c>
      <c r="K1098" t="s">
        <v>659</v>
      </c>
      <c r="L1098" t="s">
        <v>669</v>
      </c>
      <c r="M1098" s="1" t="s">
        <v>2148</v>
      </c>
    </row>
    <row r="1099" spans="1:13" ht="21.6">
      <c r="A1099" s="5">
        <v>1098</v>
      </c>
      <c r="B1099" t="str">
        <f t="shared" si="28"/>
        <v>TO</v>
      </c>
      <c r="C1099" t="str">
        <f t="shared" si="27"/>
        <v>KB</v>
      </c>
      <c r="D1099" t="s">
        <v>2214</v>
      </c>
      <c r="E1099" s="5"/>
      <c r="G1099" s="4" t="s">
        <v>2230</v>
      </c>
      <c r="H1099" s="313" t="s">
        <v>2243</v>
      </c>
      <c r="I1099" s="432" t="s">
        <v>2244</v>
      </c>
      <c r="K1099" t="s">
        <v>659</v>
      </c>
      <c r="L1099" t="s">
        <v>669</v>
      </c>
      <c r="M1099" s="1" t="s">
        <v>2148</v>
      </c>
    </row>
    <row r="1100" spans="1:13" ht="21.6">
      <c r="A1100" s="5">
        <v>1099</v>
      </c>
      <c r="B1100" t="str">
        <f t="shared" si="28"/>
        <v>TO</v>
      </c>
      <c r="C1100" t="str">
        <f t="shared" si="27"/>
        <v>KB</v>
      </c>
      <c r="D1100" t="s">
        <v>2214</v>
      </c>
      <c r="E1100" s="5"/>
      <c r="G1100" s="4" t="s">
        <v>2230</v>
      </c>
      <c r="H1100" s="313" t="s">
        <v>625</v>
      </c>
      <c r="I1100" s="432" t="s">
        <v>2245</v>
      </c>
      <c r="K1100" t="s">
        <v>659</v>
      </c>
      <c r="L1100" t="s">
        <v>669</v>
      </c>
      <c r="M1100" s="1" t="s">
        <v>2148</v>
      </c>
    </row>
    <row r="1101" spans="1:13" ht="21.6">
      <c r="A1101" s="5">
        <v>1100</v>
      </c>
      <c r="B1101" t="str">
        <f t="shared" si="28"/>
        <v>TO</v>
      </c>
      <c r="C1101" t="str">
        <f t="shared" si="27"/>
        <v>KB</v>
      </c>
      <c r="D1101" t="s">
        <v>2214</v>
      </c>
      <c r="E1101" s="5"/>
      <c r="G1101" s="4" t="s">
        <v>2230</v>
      </c>
      <c r="H1101" s="313" t="s">
        <v>2246</v>
      </c>
      <c r="I1101" s="432" t="s">
        <v>2247</v>
      </c>
      <c r="K1101" t="s">
        <v>659</v>
      </c>
      <c r="L1101" t="s">
        <v>669</v>
      </c>
    </row>
    <row r="1102" spans="1:13" ht="21.6">
      <c r="A1102" s="5">
        <v>1101</v>
      </c>
      <c r="B1102" t="str">
        <f t="shared" si="28"/>
        <v>TO</v>
      </c>
      <c r="C1102" t="str">
        <f t="shared" si="27"/>
        <v>KB</v>
      </c>
      <c r="D1102" t="s">
        <v>2214</v>
      </c>
      <c r="E1102" s="5"/>
      <c r="G1102" s="4" t="s">
        <v>2230</v>
      </c>
      <c r="H1102" s="313" t="s">
        <v>2248</v>
      </c>
      <c r="I1102" s="432" t="s">
        <v>2249</v>
      </c>
      <c r="K1102" t="s">
        <v>659</v>
      </c>
      <c r="L1102" t="s">
        <v>669</v>
      </c>
      <c r="M1102" s="1" t="s">
        <v>2148</v>
      </c>
    </row>
    <row r="1103" spans="1:13" ht="21.6">
      <c r="A1103" s="5">
        <v>1102</v>
      </c>
      <c r="B1103" t="str">
        <f t="shared" si="28"/>
        <v>TO</v>
      </c>
      <c r="C1103" t="str">
        <f t="shared" si="27"/>
        <v>KB</v>
      </c>
      <c r="D1103" t="s">
        <v>2214</v>
      </c>
      <c r="E1103" s="5"/>
      <c r="G1103" s="4" t="s">
        <v>2250</v>
      </c>
      <c r="H1103" s="313" t="s">
        <v>536</v>
      </c>
      <c r="I1103" s="432" t="s">
        <v>2251</v>
      </c>
      <c r="K1103" t="s">
        <v>659</v>
      </c>
      <c r="L1103" t="s">
        <v>669</v>
      </c>
    </row>
    <row r="1104" spans="1:13" ht="21.6">
      <c r="A1104" s="5">
        <v>1103</v>
      </c>
      <c r="B1104" t="str">
        <f t="shared" si="28"/>
        <v>TO</v>
      </c>
      <c r="C1104" t="str">
        <f t="shared" si="27"/>
        <v>KB</v>
      </c>
      <c r="D1104" t="s">
        <v>2214</v>
      </c>
      <c r="E1104" s="5"/>
      <c r="G1104" s="4" t="s">
        <v>2250</v>
      </c>
      <c r="H1104" s="313" t="s">
        <v>2252</v>
      </c>
      <c r="I1104" s="432" t="s">
        <v>2253</v>
      </c>
      <c r="K1104" t="s">
        <v>659</v>
      </c>
      <c r="L1104" t="s">
        <v>669</v>
      </c>
    </row>
    <row r="1105" spans="1:14" ht="21.6">
      <c r="A1105" s="5">
        <v>1104</v>
      </c>
      <c r="B1105" t="str">
        <f t="shared" si="28"/>
        <v>TO</v>
      </c>
      <c r="C1105" t="str">
        <f t="shared" si="27"/>
        <v>KB</v>
      </c>
      <c r="D1105" t="s">
        <v>2214</v>
      </c>
      <c r="E1105" s="5"/>
      <c r="G1105" s="4" t="s">
        <v>2250</v>
      </c>
      <c r="H1105" s="313" t="s">
        <v>2254</v>
      </c>
      <c r="I1105" s="432" t="s">
        <v>2255</v>
      </c>
      <c r="K1105" t="s">
        <v>659</v>
      </c>
      <c r="L1105" t="s">
        <v>669</v>
      </c>
    </row>
    <row r="1106" spans="1:14" ht="21.6">
      <c r="A1106" s="5">
        <v>1105</v>
      </c>
      <c r="B1106" t="str">
        <f t="shared" si="28"/>
        <v>TO</v>
      </c>
      <c r="C1106" t="str">
        <f t="shared" si="27"/>
        <v>KB</v>
      </c>
      <c r="D1106" t="s">
        <v>2214</v>
      </c>
      <c r="E1106" s="5"/>
      <c r="G1106" s="4" t="s">
        <v>2250</v>
      </c>
      <c r="H1106" s="313" t="s">
        <v>1682</v>
      </c>
      <c r="I1106" s="432" t="s">
        <v>2256</v>
      </c>
      <c r="K1106" t="s">
        <v>659</v>
      </c>
      <c r="L1106" t="s">
        <v>669</v>
      </c>
    </row>
    <row r="1107" spans="1:14" ht="21.6">
      <c r="A1107" s="5">
        <v>1106</v>
      </c>
      <c r="B1107" t="str">
        <f t="shared" si="28"/>
        <v>TO</v>
      </c>
      <c r="C1107" t="str">
        <f t="shared" si="27"/>
        <v>KB</v>
      </c>
      <c r="D1107" t="s">
        <v>2214</v>
      </c>
      <c r="E1107" s="5"/>
      <c r="G1107" s="4" t="s">
        <v>2250</v>
      </c>
      <c r="H1107" s="313" t="s">
        <v>2257</v>
      </c>
      <c r="I1107" s="432" t="s">
        <v>2258</v>
      </c>
      <c r="K1107" t="s">
        <v>659</v>
      </c>
      <c r="L1107" t="s">
        <v>669</v>
      </c>
    </row>
    <row r="1108" spans="1:14" ht="21.6">
      <c r="A1108" s="5">
        <v>1107</v>
      </c>
      <c r="B1108" t="str">
        <f t="shared" si="28"/>
        <v>TO</v>
      </c>
      <c r="C1108" t="str">
        <f t="shared" si="27"/>
        <v>KB</v>
      </c>
      <c r="D1108" t="s">
        <v>2214</v>
      </c>
      <c r="E1108" s="5"/>
      <c r="G1108" s="4" t="s">
        <v>2250</v>
      </c>
      <c r="H1108" s="313" t="s">
        <v>2259</v>
      </c>
      <c r="I1108" s="432" t="s">
        <v>2260</v>
      </c>
      <c r="K1108" t="s">
        <v>659</v>
      </c>
      <c r="L1108" t="s">
        <v>669</v>
      </c>
    </row>
    <row r="1109" spans="1:14" ht="21.6">
      <c r="A1109" s="5">
        <v>1108</v>
      </c>
      <c r="B1109" t="str">
        <f t="shared" si="28"/>
        <v>TO</v>
      </c>
      <c r="C1109" t="str">
        <f t="shared" si="27"/>
        <v>KB</v>
      </c>
      <c r="D1109" t="s">
        <v>2214</v>
      </c>
      <c r="E1109" s="5"/>
      <c r="G1109" s="4" t="s">
        <v>2250</v>
      </c>
      <c r="H1109" s="313" t="s">
        <v>1259</v>
      </c>
      <c r="I1109" s="432" t="s">
        <v>2261</v>
      </c>
      <c r="K1109" t="s">
        <v>659</v>
      </c>
      <c r="L1109" t="s">
        <v>669</v>
      </c>
    </row>
    <row r="1110" spans="1:14" ht="21.6">
      <c r="A1110" s="5">
        <v>1109</v>
      </c>
      <c r="B1110" t="str">
        <f t="shared" si="28"/>
        <v>TO</v>
      </c>
      <c r="C1110" t="str">
        <f t="shared" si="27"/>
        <v>KB</v>
      </c>
      <c r="D1110" t="s">
        <v>2214</v>
      </c>
      <c r="E1110" s="5"/>
      <c r="G1110" s="4" t="s">
        <v>2250</v>
      </c>
      <c r="H1110" s="313" t="s">
        <v>1705</v>
      </c>
      <c r="I1110" s="432" t="s">
        <v>2262</v>
      </c>
      <c r="K1110" t="s">
        <v>659</v>
      </c>
      <c r="L1110" t="s">
        <v>669</v>
      </c>
    </row>
    <row r="1111" spans="1:14" ht="21.6">
      <c r="A1111" s="5">
        <v>1110</v>
      </c>
      <c r="B1111" t="str">
        <f t="shared" si="28"/>
        <v>TO</v>
      </c>
      <c r="C1111" t="str">
        <f t="shared" si="27"/>
        <v>KB</v>
      </c>
      <c r="D1111" t="s">
        <v>2214</v>
      </c>
      <c r="E1111" s="5"/>
      <c r="G1111" s="4" t="s">
        <v>2250</v>
      </c>
      <c r="H1111" s="313" t="s">
        <v>1704</v>
      </c>
      <c r="I1111" s="432" t="s">
        <v>2263</v>
      </c>
      <c r="K1111" t="s">
        <v>659</v>
      </c>
      <c r="L1111" t="s">
        <v>669</v>
      </c>
    </row>
    <row r="1112" spans="1:14" ht="21.6">
      <c r="A1112" s="5">
        <v>1111</v>
      </c>
      <c r="B1112" t="str">
        <f t="shared" si="28"/>
        <v>TO</v>
      </c>
      <c r="C1112" t="str">
        <f t="shared" si="27"/>
        <v>KB</v>
      </c>
      <c r="D1112" t="s">
        <v>2214</v>
      </c>
      <c r="E1112" s="5"/>
      <c r="G1112" s="4" t="s">
        <v>2250</v>
      </c>
      <c r="H1112" s="313" t="s">
        <v>1706</v>
      </c>
      <c r="I1112" s="432" t="s">
        <v>2264</v>
      </c>
      <c r="K1112" t="s">
        <v>659</v>
      </c>
      <c r="L1112" t="s">
        <v>669</v>
      </c>
    </row>
    <row r="1113" spans="1:14" ht="21.6">
      <c r="A1113" s="5">
        <v>1112</v>
      </c>
      <c r="B1113" t="str">
        <f t="shared" si="28"/>
        <v>TO</v>
      </c>
      <c r="C1113" t="str">
        <f t="shared" si="27"/>
        <v>KB</v>
      </c>
      <c r="D1113" t="s">
        <v>2214</v>
      </c>
      <c r="E1113" s="5"/>
      <c r="G1113" s="4" t="s">
        <v>2250</v>
      </c>
      <c r="H1113" s="313" t="s">
        <v>1710</v>
      </c>
      <c r="I1113" s="432" t="s">
        <v>2265</v>
      </c>
      <c r="K1113" t="s">
        <v>659</v>
      </c>
      <c r="L1113" t="s">
        <v>669</v>
      </c>
    </row>
    <row r="1114" spans="1:14" ht="21.6">
      <c r="A1114" s="5">
        <v>1113</v>
      </c>
      <c r="B1114" t="str">
        <f t="shared" si="28"/>
        <v>TO</v>
      </c>
      <c r="C1114" t="str">
        <f t="shared" si="27"/>
        <v>KB</v>
      </c>
      <c r="D1114" t="s">
        <v>2214</v>
      </c>
      <c r="E1114" s="5"/>
      <c r="G1114" s="4" t="s">
        <v>2250</v>
      </c>
      <c r="H1114" s="313" t="s">
        <v>1709</v>
      </c>
      <c r="I1114" s="432" t="s">
        <v>2266</v>
      </c>
      <c r="K1114" t="s">
        <v>659</v>
      </c>
      <c r="L1114" t="s">
        <v>669</v>
      </c>
    </row>
    <row r="1115" spans="1:14" ht="21.6">
      <c r="A1115" s="5">
        <v>1114</v>
      </c>
      <c r="B1115" t="str">
        <f t="shared" si="28"/>
        <v>TO</v>
      </c>
      <c r="C1115" t="str">
        <f t="shared" si="27"/>
        <v>KB</v>
      </c>
      <c r="D1115" t="s">
        <v>2214</v>
      </c>
      <c r="E1115" s="5"/>
      <c r="G1115" s="4" t="s">
        <v>2250</v>
      </c>
      <c r="H1115" s="313" t="s">
        <v>2267</v>
      </c>
      <c r="I1115" s="432" t="s">
        <v>2268</v>
      </c>
      <c r="K1115" t="s">
        <v>1434</v>
      </c>
      <c r="L1115" t="s">
        <v>669</v>
      </c>
    </row>
    <row r="1116" spans="1:14" ht="36">
      <c r="A1116" s="5">
        <v>1115</v>
      </c>
      <c r="B1116" t="str">
        <f t="shared" si="28"/>
        <v>TO</v>
      </c>
      <c r="C1116" t="str">
        <f t="shared" si="27"/>
        <v>KB</v>
      </c>
      <c r="D1116" t="s">
        <v>2269</v>
      </c>
      <c r="E1116" s="5"/>
      <c r="G1116" s="4" t="s">
        <v>2270</v>
      </c>
      <c r="H1116" s="306" t="s">
        <v>2271</v>
      </c>
      <c r="I1116" s="432" t="s">
        <v>2272</v>
      </c>
      <c r="K1116" t="s">
        <v>1434</v>
      </c>
      <c r="L1116" t="s">
        <v>1999</v>
      </c>
    </row>
    <row r="1117" spans="1:14">
      <c r="A1117" s="5">
        <v>1116</v>
      </c>
      <c r="B1117" t="str">
        <f t="shared" si="28"/>
        <v>TO</v>
      </c>
      <c r="C1117" t="str">
        <f t="shared" si="27"/>
        <v>KB</v>
      </c>
      <c r="D1117" t="s">
        <v>2214</v>
      </c>
      <c r="E1117" s="5"/>
      <c r="G1117" s="4" t="s">
        <v>2273</v>
      </c>
      <c r="H1117" s="306" t="s">
        <v>367</v>
      </c>
      <c r="I1117" s="432" t="s">
        <v>2274</v>
      </c>
      <c r="K1117" t="s">
        <v>659</v>
      </c>
      <c r="L1117" t="s">
        <v>669</v>
      </c>
    </row>
    <row r="1118" spans="1:14">
      <c r="A1118" s="5">
        <v>1117</v>
      </c>
      <c r="B1118" t="str">
        <f t="shared" si="28"/>
        <v>TO</v>
      </c>
      <c r="C1118" t="str">
        <f t="shared" si="27"/>
        <v>KB</v>
      </c>
      <c r="D1118" t="s">
        <v>2214</v>
      </c>
      <c r="E1118" s="5"/>
      <c r="G1118" s="4" t="s">
        <v>2273</v>
      </c>
      <c r="H1118" s="306" t="s">
        <v>5428</v>
      </c>
      <c r="I1118" s="432" t="s">
        <v>2275</v>
      </c>
      <c r="K1118" t="s">
        <v>1434</v>
      </c>
      <c r="L1118" t="s">
        <v>669</v>
      </c>
      <c r="M1118" s="1" t="s">
        <v>5429</v>
      </c>
    </row>
    <row r="1119" spans="1:14" ht="36">
      <c r="A1119" s="5">
        <v>1118</v>
      </c>
      <c r="B1119" t="str">
        <f t="shared" si="28"/>
        <v>TO</v>
      </c>
      <c r="C1119" t="str">
        <f t="shared" si="27"/>
        <v>KB</v>
      </c>
      <c r="D1119" t="s">
        <v>2214</v>
      </c>
      <c r="E1119" s="5"/>
      <c r="G1119" s="4" t="s">
        <v>2276</v>
      </c>
      <c r="H1119" s="306" t="s">
        <v>2277</v>
      </c>
      <c r="I1119" s="432" t="s">
        <v>2278</v>
      </c>
      <c r="K1119" t="s">
        <v>659</v>
      </c>
      <c r="L1119" t="s">
        <v>2021</v>
      </c>
      <c r="N1119" t="s">
        <v>2098</v>
      </c>
    </row>
    <row r="1120" spans="1:14" ht="21.6">
      <c r="A1120" s="5">
        <v>1119</v>
      </c>
      <c r="B1120" t="str">
        <f t="shared" si="28"/>
        <v>TO</v>
      </c>
      <c r="C1120" t="str">
        <f t="shared" si="27"/>
        <v>KB</v>
      </c>
      <c r="D1120" t="s">
        <v>2214</v>
      </c>
      <c r="E1120" s="5"/>
      <c r="G1120" s="4" t="s">
        <v>2279</v>
      </c>
      <c r="H1120" s="313" t="s">
        <v>110</v>
      </c>
      <c r="I1120" s="432" t="s">
        <v>2280</v>
      </c>
      <c r="K1120" t="s">
        <v>1434</v>
      </c>
      <c r="L1120" t="s">
        <v>669</v>
      </c>
    </row>
    <row r="1121" spans="1:14" ht="21.6">
      <c r="A1121" s="5">
        <v>1120</v>
      </c>
      <c r="B1121" t="str">
        <f t="shared" si="28"/>
        <v>TO</v>
      </c>
      <c r="C1121" t="str">
        <f t="shared" si="27"/>
        <v>KB</v>
      </c>
      <c r="D1121" t="s">
        <v>2214</v>
      </c>
      <c r="E1121" s="5"/>
      <c r="G1121" s="4" t="s">
        <v>2279</v>
      </c>
      <c r="H1121" s="313" t="s">
        <v>1869</v>
      </c>
      <c r="I1121" s="432" t="s">
        <v>2281</v>
      </c>
      <c r="K1121" t="s">
        <v>659</v>
      </c>
      <c r="L1121" t="s">
        <v>669</v>
      </c>
    </row>
    <row r="1122" spans="1:14" ht="21.6">
      <c r="A1122" s="5">
        <v>1121</v>
      </c>
      <c r="B1122" t="str">
        <f t="shared" si="28"/>
        <v>TO</v>
      </c>
      <c r="C1122" t="str">
        <f t="shared" si="27"/>
        <v>KB</v>
      </c>
      <c r="D1122" t="s">
        <v>2214</v>
      </c>
      <c r="E1122" s="5"/>
      <c r="G1122" s="4" t="s">
        <v>2279</v>
      </c>
      <c r="H1122" s="313" t="s">
        <v>2282</v>
      </c>
      <c r="I1122" s="432" t="s">
        <v>2283</v>
      </c>
      <c r="K1122" t="s">
        <v>659</v>
      </c>
      <c r="L1122" t="s">
        <v>669</v>
      </c>
    </row>
    <row r="1123" spans="1:14" ht="21.6">
      <c r="A1123" s="5">
        <v>1122</v>
      </c>
      <c r="B1123" t="str">
        <f t="shared" si="28"/>
        <v>TO</v>
      </c>
      <c r="C1123" t="str">
        <f t="shared" si="27"/>
        <v>KB</v>
      </c>
      <c r="D1123" t="s">
        <v>2214</v>
      </c>
      <c r="E1123" s="5"/>
      <c r="G1123" s="4" t="s">
        <v>2279</v>
      </c>
      <c r="H1123" s="313" t="s">
        <v>2284</v>
      </c>
      <c r="I1123" s="432" t="s">
        <v>2285</v>
      </c>
      <c r="K1123" t="s">
        <v>659</v>
      </c>
      <c r="L1123" t="s">
        <v>669</v>
      </c>
    </row>
    <row r="1124" spans="1:14" ht="21.6">
      <c r="A1124" s="5">
        <v>1123</v>
      </c>
      <c r="B1124" t="str">
        <f t="shared" si="28"/>
        <v>TO</v>
      </c>
      <c r="C1124" t="str">
        <f t="shared" si="27"/>
        <v>KB</v>
      </c>
      <c r="D1124" t="s">
        <v>2214</v>
      </c>
      <c r="E1124" s="5"/>
      <c r="G1124" s="4" t="s">
        <v>2279</v>
      </c>
      <c r="H1124" s="313" t="s">
        <v>2286</v>
      </c>
      <c r="I1124" s="432" t="s">
        <v>2287</v>
      </c>
      <c r="K1124" t="s">
        <v>1434</v>
      </c>
      <c r="L1124" t="s">
        <v>669</v>
      </c>
    </row>
    <row r="1125" spans="1:14" ht="21.6">
      <c r="A1125" s="5">
        <v>1124</v>
      </c>
      <c r="B1125" t="str">
        <f t="shared" si="28"/>
        <v>TO</v>
      </c>
      <c r="C1125" t="str">
        <f t="shared" si="27"/>
        <v>KB</v>
      </c>
      <c r="D1125" t="s">
        <v>2214</v>
      </c>
      <c r="E1125" s="5"/>
      <c r="G1125" s="4" t="s">
        <v>2279</v>
      </c>
      <c r="H1125" s="313" t="s">
        <v>1483</v>
      </c>
      <c r="I1125" s="432" t="s">
        <v>2288</v>
      </c>
      <c r="K1125" t="s">
        <v>659</v>
      </c>
      <c r="L1125" t="s">
        <v>669</v>
      </c>
    </row>
    <row r="1126" spans="1:14" ht="21.6">
      <c r="A1126" s="5">
        <v>1125</v>
      </c>
      <c r="B1126" t="str">
        <f t="shared" si="28"/>
        <v>TO</v>
      </c>
      <c r="C1126" t="str">
        <f t="shared" si="27"/>
        <v>KB</v>
      </c>
      <c r="D1126" t="s">
        <v>2214</v>
      </c>
      <c r="E1126" s="5"/>
      <c r="G1126" s="4" t="s">
        <v>2279</v>
      </c>
      <c r="H1126" s="313" t="s">
        <v>2289</v>
      </c>
      <c r="I1126" s="432" t="s">
        <v>2290</v>
      </c>
      <c r="K1126" t="s">
        <v>659</v>
      </c>
      <c r="L1126" t="s">
        <v>669</v>
      </c>
    </row>
    <row r="1127" spans="1:14" ht="21.6">
      <c r="A1127" s="5">
        <v>1126</v>
      </c>
      <c r="B1127" t="str">
        <f t="shared" ref="B1127:B1158" si="29">MID(G1127,8,2)</f>
        <v>TO</v>
      </c>
      <c r="C1127" t="str">
        <f t="shared" si="27"/>
        <v>KB</v>
      </c>
      <c r="D1127" t="s">
        <v>2214</v>
      </c>
      <c r="E1127" s="5"/>
      <c r="G1127" s="4" t="s">
        <v>2291</v>
      </c>
      <c r="H1127" s="313" t="s">
        <v>82</v>
      </c>
      <c r="I1127" s="432" t="s">
        <v>2292</v>
      </c>
      <c r="K1127" t="s">
        <v>659</v>
      </c>
      <c r="L1127" t="s">
        <v>669</v>
      </c>
    </row>
    <row r="1128" spans="1:14" ht="21.6">
      <c r="A1128" s="5">
        <v>1127</v>
      </c>
      <c r="B1128" t="str">
        <f t="shared" si="29"/>
        <v>TO</v>
      </c>
      <c r="C1128" t="str">
        <f t="shared" si="27"/>
        <v>KB</v>
      </c>
      <c r="D1128" t="s">
        <v>2214</v>
      </c>
      <c r="E1128" s="5"/>
      <c r="G1128" s="4" t="s">
        <v>2291</v>
      </c>
      <c r="H1128" s="313" t="s">
        <v>2120</v>
      </c>
      <c r="I1128" s="432" t="s">
        <v>2121</v>
      </c>
      <c r="K1128" t="s">
        <v>1434</v>
      </c>
      <c r="L1128" t="s">
        <v>669</v>
      </c>
    </row>
    <row r="1129" spans="1:14" ht="43.2">
      <c r="A1129" s="5">
        <v>1128</v>
      </c>
      <c r="B1129" t="str">
        <f t="shared" si="29"/>
        <v>TO</v>
      </c>
      <c r="C1129" t="str">
        <f t="shared" si="27"/>
        <v>KB</v>
      </c>
      <c r="D1129" t="s">
        <v>2214</v>
      </c>
      <c r="E1129" s="5"/>
      <c r="G1129" s="4" t="s">
        <v>2291</v>
      </c>
      <c r="H1129" s="313" t="s">
        <v>2293</v>
      </c>
      <c r="I1129" s="432" t="s">
        <v>2294</v>
      </c>
      <c r="K1129" t="s">
        <v>659</v>
      </c>
      <c r="L1129" t="s">
        <v>669</v>
      </c>
    </row>
    <row r="1130" spans="1:14" ht="43.2">
      <c r="A1130" s="5">
        <v>1129</v>
      </c>
      <c r="B1130" t="str">
        <f t="shared" si="29"/>
        <v>TO</v>
      </c>
      <c r="C1130" t="str">
        <f t="shared" si="27"/>
        <v>KB</v>
      </c>
      <c r="D1130" t="s">
        <v>2214</v>
      </c>
      <c r="E1130" s="5"/>
      <c r="G1130" s="4" t="s">
        <v>2291</v>
      </c>
      <c r="H1130" s="313" t="s">
        <v>2109</v>
      </c>
      <c r="I1130" s="432" t="s">
        <v>2295</v>
      </c>
      <c r="K1130" t="s">
        <v>659</v>
      </c>
      <c r="L1130" t="s">
        <v>669</v>
      </c>
    </row>
    <row r="1131" spans="1:14" ht="21.6">
      <c r="A1131" s="5">
        <v>1130</v>
      </c>
      <c r="B1131" t="str">
        <f t="shared" si="29"/>
        <v>TO</v>
      </c>
      <c r="C1131" t="str">
        <f t="shared" si="27"/>
        <v>KB</v>
      </c>
      <c r="D1131" t="s">
        <v>2214</v>
      </c>
      <c r="E1131" s="5"/>
      <c r="G1131" s="4" t="s">
        <v>2291</v>
      </c>
      <c r="H1131" s="313" t="s">
        <v>287</v>
      </c>
      <c r="I1131" s="432" t="s">
        <v>2296</v>
      </c>
      <c r="K1131" t="s">
        <v>659</v>
      </c>
      <c r="L1131" t="s">
        <v>669</v>
      </c>
    </row>
    <row r="1132" spans="1:14" ht="21.6">
      <c r="A1132" s="5">
        <v>1131</v>
      </c>
      <c r="B1132" t="str">
        <f t="shared" si="29"/>
        <v>TO</v>
      </c>
      <c r="C1132" t="str">
        <f t="shared" si="27"/>
        <v>KB</v>
      </c>
      <c r="D1132" t="s">
        <v>2214</v>
      </c>
      <c r="E1132" s="5"/>
      <c r="G1132" s="4" t="s">
        <v>2297</v>
      </c>
      <c r="H1132" s="313" t="s">
        <v>1786</v>
      </c>
      <c r="I1132" s="432" t="s">
        <v>2298</v>
      </c>
      <c r="K1132" t="s">
        <v>659</v>
      </c>
      <c r="L1132" t="s">
        <v>669</v>
      </c>
    </row>
    <row r="1133" spans="1:14" ht="21.6">
      <c r="A1133" s="5">
        <v>1132</v>
      </c>
      <c r="B1133" t="str">
        <f t="shared" si="29"/>
        <v>TO</v>
      </c>
      <c r="C1133" t="str">
        <f t="shared" si="27"/>
        <v>KB</v>
      </c>
      <c r="D1133" t="s">
        <v>2214</v>
      </c>
      <c r="E1133" s="5"/>
      <c r="G1133" s="4" t="s">
        <v>2297</v>
      </c>
      <c r="H1133" s="313" t="s">
        <v>2299</v>
      </c>
      <c r="I1133" s="432" t="s">
        <v>2300</v>
      </c>
      <c r="K1133" t="s">
        <v>1434</v>
      </c>
      <c r="L1133" t="s">
        <v>669</v>
      </c>
    </row>
    <row r="1134" spans="1:14">
      <c r="A1134" s="5">
        <v>1133</v>
      </c>
      <c r="B1134" t="str">
        <f t="shared" si="29"/>
        <v>TO</v>
      </c>
      <c r="C1134" t="str">
        <f t="shared" si="27"/>
        <v>KB</v>
      </c>
      <c r="D1134" t="s">
        <v>2269</v>
      </c>
      <c r="E1134" s="5"/>
      <c r="G1134" s="4" t="s">
        <v>2301</v>
      </c>
      <c r="H1134" s="306" t="s">
        <v>342</v>
      </c>
      <c r="I1134" s="432" t="s">
        <v>2302</v>
      </c>
      <c r="K1134" t="s">
        <v>1434</v>
      </c>
      <c r="L1134" t="s">
        <v>669</v>
      </c>
    </row>
    <row r="1135" spans="1:14">
      <c r="A1135" s="5">
        <v>1134</v>
      </c>
      <c r="B1135" t="str">
        <f t="shared" si="29"/>
        <v>TO</v>
      </c>
      <c r="C1135" t="str">
        <f t="shared" si="27"/>
        <v>KB</v>
      </c>
      <c r="D1135" t="s">
        <v>2269</v>
      </c>
      <c r="E1135" s="5"/>
      <c r="G1135" s="4" t="s">
        <v>2303</v>
      </c>
      <c r="H1135" s="306" t="s">
        <v>342</v>
      </c>
      <c r="I1135" s="432" t="s">
        <v>2302</v>
      </c>
      <c r="K1135" t="s">
        <v>659</v>
      </c>
      <c r="L1135" t="s">
        <v>2021</v>
      </c>
      <c r="N1135" t="s">
        <v>2098</v>
      </c>
    </row>
    <row r="1136" spans="1:14">
      <c r="A1136" s="5">
        <v>1135</v>
      </c>
      <c r="B1136" t="str">
        <f t="shared" si="29"/>
        <v>MH</v>
      </c>
      <c r="C1136" t="str">
        <f t="shared" si="27"/>
        <v>KB</v>
      </c>
      <c r="D1136" t="s">
        <v>2269</v>
      </c>
      <c r="E1136" s="5"/>
      <c r="G1136" s="4" t="s">
        <v>2304</v>
      </c>
      <c r="H1136" s="306" t="s">
        <v>342</v>
      </c>
      <c r="I1136" s="432" t="s">
        <v>2302</v>
      </c>
      <c r="K1136" t="s">
        <v>659</v>
      </c>
      <c r="L1136" t="s">
        <v>669</v>
      </c>
      <c r="N1136" t="s">
        <v>2098</v>
      </c>
    </row>
    <row r="1137" spans="1:15">
      <c r="A1137" s="5">
        <v>1136</v>
      </c>
      <c r="B1137" t="str">
        <f t="shared" si="29"/>
        <v>TO</v>
      </c>
      <c r="C1137" t="str">
        <f t="shared" si="27"/>
        <v>KB</v>
      </c>
      <c r="D1137" t="s">
        <v>2269</v>
      </c>
      <c r="E1137" s="5"/>
      <c r="G1137" s="4" t="s">
        <v>2305</v>
      </c>
      <c r="H1137" s="306" t="s">
        <v>343</v>
      </c>
      <c r="I1137" s="432" t="s">
        <v>2306</v>
      </c>
      <c r="K1137" t="s">
        <v>659</v>
      </c>
      <c r="L1137" t="s">
        <v>669</v>
      </c>
      <c r="N1137" t="s">
        <v>2098</v>
      </c>
    </row>
    <row r="1138" spans="1:15">
      <c r="A1138" s="5">
        <v>1137</v>
      </c>
      <c r="B1138" t="str">
        <f t="shared" si="29"/>
        <v>TO</v>
      </c>
      <c r="C1138" t="str">
        <f t="shared" si="27"/>
        <v>KB</v>
      </c>
      <c r="D1138" t="s">
        <v>2269</v>
      </c>
      <c r="E1138" s="5"/>
      <c r="G1138" s="4" t="s">
        <v>2307</v>
      </c>
      <c r="H1138" s="306" t="s">
        <v>344</v>
      </c>
      <c r="I1138" s="432" t="s">
        <v>2308</v>
      </c>
      <c r="K1138" t="s">
        <v>1434</v>
      </c>
      <c r="L1138" t="s">
        <v>2021</v>
      </c>
      <c r="N1138" t="s">
        <v>2098</v>
      </c>
    </row>
    <row r="1139" spans="1:15">
      <c r="A1139" s="5">
        <v>1138</v>
      </c>
      <c r="B1139" t="str">
        <f t="shared" si="29"/>
        <v>TO</v>
      </c>
      <c r="C1139" t="str">
        <f t="shared" si="27"/>
        <v>KB</v>
      </c>
      <c r="D1139" t="s">
        <v>2269</v>
      </c>
      <c r="E1139" s="5"/>
      <c r="G1139" s="4" t="s">
        <v>2309</v>
      </c>
      <c r="H1139" s="306" t="s">
        <v>345</v>
      </c>
      <c r="I1139" s="432" t="s">
        <v>2310</v>
      </c>
      <c r="K1139" t="s">
        <v>659</v>
      </c>
      <c r="L1139" t="s">
        <v>2137</v>
      </c>
      <c r="N1139" t="s">
        <v>2311</v>
      </c>
    </row>
    <row r="1140" spans="1:15" ht="36">
      <c r="A1140" s="5">
        <v>1139</v>
      </c>
      <c r="B1140" t="str">
        <f t="shared" si="29"/>
        <v>TO</v>
      </c>
      <c r="C1140" t="str">
        <f t="shared" si="27"/>
        <v>KB</v>
      </c>
      <c r="D1140" t="s">
        <v>2269</v>
      </c>
      <c r="E1140" s="5"/>
      <c r="G1140" s="4" t="s">
        <v>2312</v>
      </c>
      <c r="H1140" s="306" t="s">
        <v>346</v>
      </c>
      <c r="I1140" s="432" t="s">
        <v>2313</v>
      </c>
      <c r="K1140" t="s">
        <v>659</v>
      </c>
      <c r="L1140" t="s">
        <v>669</v>
      </c>
      <c r="O1140" t="s">
        <v>2314</v>
      </c>
    </row>
    <row r="1141" spans="1:15" ht="36">
      <c r="A1141" s="5">
        <v>1140</v>
      </c>
      <c r="B1141" t="str">
        <f t="shared" si="29"/>
        <v>TO</v>
      </c>
      <c r="C1141" t="str">
        <f t="shared" si="27"/>
        <v>KB</v>
      </c>
      <c r="D1141" t="s">
        <v>2269</v>
      </c>
      <c r="E1141" s="5"/>
      <c r="G1141" s="4" t="s">
        <v>2315</v>
      </c>
      <c r="H1141" s="306" t="s">
        <v>347</v>
      </c>
      <c r="I1141" s="432" t="s">
        <v>2316</v>
      </c>
      <c r="K1141" t="s">
        <v>659</v>
      </c>
      <c r="L1141" t="s">
        <v>669</v>
      </c>
      <c r="O1141" t="s">
        <v>2317</v>
      </c>
    </row>
    <row r="1142" spans="1:15" ht="36">
      <c r="A1142" s="5">
        <v>1141</v>
      </c>
      <c r="B1142" t="str">
        <f t="shared" si="29"/>
        <v>TO</v>
      </c>
      <c r="C1142" t="str">
        <f t="shared" si="27"/>
        <v>KB</v>
      </c>
      <c r="D1142" t="s">
        <v>2269</v>
      </c>
      <c r="E1142" s="5"/>
      <c r="G1142" s="4" t="s">
        <v>2318</v>
      </c>
      <c r="H1142" s="306" t="s">
        <v>348</v>
      </c>
      <c r="I1142" s="432" t="s">
        <v>2319</v>
      </c>
      <c r="K1142" t="s">
        <v>1434</v>
      </c>
      <c r="L1142" t="s">
        <v>2102</v>
      </c>
    </row>
    <row r="1143" spans="1:15">
      <c r="A1143" s="5">
        <v>1142</v>
      </c>
      <c r="B1143" t="str">
        <f t="shared" si="29"/>
        <v>TO</v>
      </c>
      <c r="C1143" t="str">
        <f t="shared" si="27"/>
        <v>KB</v>
      </c>
      <c r="D1143" t="s">
        <v>2269</v>
      </c>
      <c r="E1143" s="5"/>
      <c r="G1143" s="4" t="s">
        <v>2320</v>
      </c>
      <c r="H1143" s="306" t="s">
        <v>349</v>
      </c>
      <c r="I1143" s="432" t="s">
        <v>2321</v>
      </c>
      <c r="K1143" t="s">
        <v>659</v>
      </c>
      <c r="L1143" t="s">
        <v>669</v>
      </c>
      <c r="N1143" t="s">
        <v>2322</v>
      </c>
    </row>
    <row r="1144" spans="1:15" ht="36">
      <c r="A1144" s="5">
        <v>1143</v>
      </c>
      <c r="B1144" t="str">
        <f t="shared" si="29"/>
        <v>TO</v>
      </c>
      <c r="C1144" t="str">
        <f t="shared" si="27"/>
        <v>Ap</v>
      </c>
      <c r="D1144" t="s">
        <v>2269</v>
      </c>
      <c r="E1144" s="5"/>
      <c r="G1144" s="4" t="s">
        <v>2323</v>
      </c>
      <c r="H1144" s="306" t="s">
        <v>2324</v>
      </c>
      <c r="K1144" t="s">
        <v>605</v>
      </c>
      <c r="L1144" t="s">
        <v>669</v>
      </c>
      <c r="M1144" t="s">
        <v>1424</v>
      </c>
    </row>
    <row r="1145" spans="1:15">
      <c r="A1145" s="5">
        <v>1144</v>
      </c>
      <c r="B1145" t="str">
        <f t="shared" si="29"/>
        <v>TO</v>
      </c>
      <c r="C1145" t="str">
        <f t="shared" ref="C1145:C1208" si="30">MID(G1145,11,2)</f>
        <v>Ap</v>
      </c>
      <c r="D1145" t="s">
        <v>2269</v>
      </c>
      <c r="E1145" s="5"/>
      <c r="G1145" s="4" t="s">
        <v>2325</v>
      </c>
      <c r="H1145" s="306" t="s">
        <v>2326</v>
      </c>
      <c r="K1145" t="s">
        <v>605</v>
      </c>
      <c r="L1145" t="s">
        <v>669</v>
      </c>
      <c r="M1145" t="s">
        <v>1424</v>
      </c>
    </row>
    <row r="1146" spans="1:15">
      <c r="A1146" s="5">
        <v>1145</v>
      </c>
      <c r="B1146" t="str">
        <f t="shared" si="29"/>
        <v>TO</v>
      </c>
      <c r="C1146" t="str">
        <f t="shared" si="30"/>
        <v>Ap</v>
      </c>
      <c r="D1146" t="s">
        <v>2269</v>
      </c>
      <c r="E1146" s="5"/>
      <c r="G1146" s="4" t="s">
        <v>2325</v>
      </c>
      <c r="H1146" s="306" t="s">
        <v>2327</v>
      </c>
      <c r="K1146" t="s">
        <v>605</v>
      </c>
      <c r="L1146" t="s">
        <v>669</v>
      </c>
      <c r="M1146" t="s">
        <v>1424</v>
      </c>
    </row>
    <row r="1147" spans="1:15">
      <c r="A1147" s="5">
        <v>1146</v>
      </c>
      <c r="B1147" t="str">
        <f t="shared" si="29"/>
        <v>TO</v>
      </c>
      <c r="C1147" t="str">
        <f t="shared" si="30"/>
        <v>Ap</v>
      </c>
      <c r="D1147" t="s">
        <v>2269</v>
      </c>
      <c r="E1147" s="5"/>
      <c r="G1147" s="4" t="s">
        <v>2325</v>
      </c>
      <c r="H1147" s="306" t="s">
        <v>2328</v>
      </c>
      <c r="K1147" t="s">
        <v>605</v>
      </c>
      <c r="L1147" t="s">
        <v>669</v>
      </c>
      <c r="M1147" t="s">
        <v>1424</v>
      </c>
    </row>
    <row r="1148" spans="1:15">
      <c r="A1148" s="5">
        <v>1147</v>
      </c>
      <c r="B1148" t="str">
        <f t="shared" si="29"/>
        <v>TO</v>
      </c>
      <c r="C1148" t="str">
        <f t="shared" si="30"/>
        <v>Ap</v>
      </c>
      <c r="D1148" t="s">
        <v>2269</v>
      </c>
      <c r="E1148" s="5"/>
      <c r="G1148" s="4" t="s">
        <v>2325</v>
      </c>
      <c r="H1148" s="306" t="s">
        <v>2329</v>
      </c>
      <c r="K1148" t="s">
        <v>605</v>
      </c>
      <c r="L1148" t="s">
        <v>669</v>
      </c>
      <c r="M1148" t="s">
        <v>1424</v>
      </c>
    </row>
    <row r="1149" spans="1:15">
      <c r="A1149" s="5">
        <v>1148</v>
      </c>
      <c r="B1149" t="str">
        <f t="shared" si="29"/>
        <v>TO</v>
      </c>
      <c r="C1149" t="str">
        <f t="shared" si="30"/>
        <v>Ap</v>
      </c>
      <c r="D1149" t="s">
        <v>2269</v>
      </c>
      <c r="E1149" s="5"/>
      <c r="G1149" s="4" t="s">
        <v>2325</v>
      </c>
      <c r="H1149" s="306" t="s">
        <v>2330</v>
      </c>
      <c r="K1149" t="s">
        <v>605</v>
      </c>
      <c r="L1149" t="s">
        <v>669</v>
      </c>
      <c r="M1149" t="s">
        <v>1424</v>
      </c>
    </row>
    <row r="1150" spans="1:15" ht="43.2">
      <c r="A1150" s="5">
        <v>1149</v>
      </c>
      <c r="B1150" t="str">
        <f t="shared" si="29"/>
        <v>TO</v>
      </c>
      <c r="C1150" t="str">
        <f t="shared" si="30"/>
        <v>KB</v>
      </c>
      <c r="D1150" t="s">
        <v>2269</v>
      </c>
      <c r="E1150" s="5"/>
      <c r="G1150" s="4" t="s">
        <v>2331</v>
      </c>
      <c r="H1150" s="313" t="s">
        <v>353</v>
      </c>
      <c r="I1150" s="432" t="s">
        <v>2332</v>
      </c>
      <c r="K1150" t="s">
        <v>659</v>
      </c>
      <c r="L1150" t="s">
        <v>669</v>
      </c>
      <c r="M1150" t="s">
        <v>2333</v>
      </c>
      <c r="O1150" t="s">
        <v>1746</v>
      </c>
    </row>
    <row r="1151" spans="1:15" ht="37.200000000000003">
      <c r="A1151" s="5">
        <v>1150</v>
      </c>
      <c r="B1151" t="str">
        <f t="shared" si="29"/>
        <v>TO</v>
      </c>
      <c r="C1151" t="str">
        <f t="shared" si="30"/>
        <v>KB</v>
      </c>
      <c r="D1151" t="s">
        <v>2269</v>
      </c>
      <c r="E1151" s="5"/>
      <c r="G1151" s="4" t="s">
        <v>2334</v>
      </c>
      <c r="H1151" s="313" t="s">
        <v>2335</v>
      </c>
      <c r="I1151" s="432" t="s">
        <v>2336</v>
      </c>
      <c r="K1151" t="s">
        <v>1434</v>
      </c>
      <c r="L1151" t="s">
        <v>669</v>
      </c>
      <c r="M1151" s="1" t="s">
        <v>1083</v>
      </c>
      <c r="N1151" t="s">
        <v>2337</v>
      </c>
      <c r="O1151" t="s">
        <v>1746</v>
      </c>
    </row>
    <row r="1152" spans="1:15" ht="43.2">
      <c r="A1152" s="5">
        <v>1151</v>
      </c>
      <c r="B1152" t="str">
        <f t="shared" si="29"/>
        <v>TO</v>
      </c>
      <c r="C1152" t="str">
        <f t="shared" si="30"/>
        <v>KB</v>
      </c>
      <c r="D1152" t="s">
        <v>2269</v>
      </c>
      <c r="E1152" s="5"/>
      <c r="G1152" s="4" t="s">
        <v>2334</v>
      </c>
      <c r="H1152" s="313" t="s">
        <v>2338</v>
      </c>
      <c r="I1152" s="432" t="s">
        <v>2339</v>
      </c>
      <c r="K1152" t="s">
        <v>659</v>
      </c>
      <c r="L1152" t="s">
        <v>669</v>
      </c>
      <c r="M1152" s="1" t="s">
        <v>1083</v>
      </c>
      <c r="O1152" t="s">
        <v>1746</v>
      </c>
    </row>
    <row r="1153" spans="1:15" ht="37.200000000000003">
      <c r="A1153" s="5">
        <v>1152</v>
      </c>
      <c r="B1153" t="str">
        <f t="shared" si="29"/>
        <v>TO</v>
      </c>
      <c r="C1153" t="str">
        <f t="shared" si="30"/>
        <v>KB</v>
      </c>
      <c r="D1153" t="s">
        <v>2269</v>
      </c>
      <c r="E1153" s="5"/>
      <c r="G1153" s="4" t="s">
        <v>2334</v>
      </c>
      <c r="H1153" s="313" t="s">
        <v>1750</v>
      </c>
      <c r="I1153" s="432" t="s">
        <v>2340</v>
      </c>
      <c r="K1153" t="s">
        <v>659</v>
      </c>
      <c r="L1153" t="s">
        <v>669</v>
      </c>
      <c r="M1153" s="1" t="s">
        <v>1083</v>
      </c>
      <c r="N1153" s="268"/>
      <c r="O1153" t="s">
        <v>1746</v>
      </c>
    </row>
    <row r="1154" spans="1:15" ht="21.6">
      <c r="A1154" s="5">
        <v>1153</v>
      </c>
      <c r="B1154" t="str">
        <f t="shared" si="29"/>
        <v>TO</v>
      </c>
      <c r="C1154" t="str">
        <f t="shared" si="30"/>
        <v>KB</v>
      </c>
      <c r="D1154" t="s">
        <v>2269</v>
      </c>
      <c r="E1154" s="5"/>
      <c r="G1154" s="4" t="s">
        <v>2341</v>
      </c>
      <c r="H1154" s="313" t="s">
        <v>2342</v>
      </c>
      <c r="I1154" s="432" t="s">
        <v>2343</v>
      </c>
      <c r="K1154" t="s">
        <v>659</v>
      </c>
      <c r="L1154" t="s">
        <v>669</v>
      </c>
      <c r="M1154" s="1" t="s">
        <v>1083</v>
      </c>
    </row>
    <row r="1155" spans="1:15">
      <c r="A1155" s="5">
        <v>1154</v>
      </c>
      <c r="B1155" t="str">
        <f t="shared" si="29"/>
        <v>TO</v>
      </c>
      <c r="C1155" t="str">
        <f t="shared" si="30"/>
        <v>KB</v>
      </c>
      <c r="D1155" t="s">
        <v>2269</v>
      </c>
      <c r="E1155" s="5"/>
      <c r="G1155" s="4" t="s">
        <v>2344</v>
      </c>
      <c r="H1155" s="306" t="s">
        <v>2345</v>
      </c>
      <c r="I1155" s="432" t="s">
        <v>2346</v>
      </c>
      <c r="K1155" t="s">
        <v>659</v>
      </c>
      <c r="L1155" t="s">
        <v>669</v>
      </c>
      <c r="M1155" s="1" t="s">
        <v>1083</v>
      </c>
    </row>
    <row r="1156" spans="1:15" ht="36">
      <c r="A1156" s="5">
        <v>1155</v>
      </c>
      <c r="B1156" t="str">
        <f t="shared" si="29"/>
        <v>TO</v>
      </c>
      <c r="C1156" t="str">
        <f t="shared" si="30"/>
        <v>KB</v>
      </c>
      <c r="D1156" t="s">
        <v>2269</v>
      </c>
      <c r="E1156" s="5"/>
      <c r="G1156" s="4" t="s">
        <v>2344</v>
      </c>
      <c r="H1156" s="306" t="s">
        <v>2347</v>
      </c>
      <c r="I1156" s="432" t="s">
        <v>2348</v>
      </c>
      <c r="K1156" t="s">
        <v>659</v>
      </c>
      <c r="L1156" t="s">
        <v>669</v>
      </c>
      <c r="M1156" s="1" t="s">
        <v>1083</v>
      </c>
    </row>
    <row r="1157" spans="1:15">
      <c r="A1157" s="5">
        <v>1156</v>
      </c>
      <c r="B1157" t="str">
        <f t="shared" si="29"/>
        <v>TO</v>
      </c>
      <c r="C1157" t="str">
        <f t="shared" si="30"/>
        <v>KB</v>
      </c>
      <c r="D1157" t="s">
        <v>2269</v>
      </c>
      <c r="E1157" s="5"/>
      <c r="G1157" s="4" t="s">
        <v>2344</v>
      </c>
      <c r="H1157" s="306" t="s">
        <v>2349</v>
      </c>
      <c r="I1157" s="432" t="s">
        <v>2350</v>
      </c>
      <c r="K1157" t="s">
        <v>659</v>
      </c>
      <c r="L1157" t="s">
        <v>2137</v>
      </c>
      <c r="M1157" s="1" t="s">
        <v>4952</v>
      </c>
      <c r="N1157" t="s">
        <v>2351</v>
      </c>
    </row>
    <row r="1158" spans="1:15">
      <c r="A1158" s="5">
        <v>1157</v>
      </c>
      <c r="B1158" t="str">
        <f t="shared" si="29"/>
        <v>TO</v>
      </c>
      <c r="C1158" t="str">
        <f t="shared" si="30"/>
        <v>KB</v>
      </c>
      <c r="D1158" t="s">
        <v>2269</v>
      </c>
      <c r="E1158" s="5"/>
      <c r="G1158" s="4" t="s">
        <v>2344</v>
      </c>
      <c r="H1158" s="306" t="s">
        <v>2352</v>
      </c>
      <c r="I1158" s="432" t="s">
        <v>2353</v>
      </c>
      <c r="K1158" t="s">
        <v>659</v>
      </c>
      <c r="L1158" t="s">
        <v>669</v>
      </c>
      <c r="M1158" s="1" t="s">
        <v>1083</v>
      </c>
    </row>
    <row r="1159" spans="1:15">
      <c r="A1159" s="5">
        <v>1158</v>
      </c>
      <c r="B1159" t="str">
        <f t="shared" ref="B1159:B1190" si="31">MID(G1159,8,2)</f>
        <v>TO</v>
      </c>
      <c r="C1159" t="str">
        <f t="shared" si="30"/>
        <v>KB</v>
      </c>
      <c r="D1159" t="s">
        <v>2269</v>
      </c>
      <c r="E1159" s="5"/>
      <c r="G1159" s="4" t="s">
        <v>2344</v>
      </c>
      <c r="H1159" s="306" t="s">
        <v>1200</v>
      </c>
      <c r="I1159" s="432" t="s">
        <v>2354</v>
      </c>
      <c r="K1159" t="s">
        <v>659</v>
      </c>
      <c r="L1159" t="s">
        <v>669</v>
      </c>
      <c r="M1159" s="1" t="s">
        <v>1083</v>
      </c>
    </row>
    <row r="1160" spans="1:15">
      <c r="A1160" s="5">
        <v>1159</v>
      </c>
      <c r="B1160" t="str">
        <f t="shared" si="31"/>
        <v>TO</v>
      </c>
      <c r="C1160" t="str">
        <f t="shared" si="30"/>
        <v>KB</v>
      </c>
      <c r="D1160" t="s">
        <v>2269</v>
      </c>
      <c r="E1160" s="5"/>
      <c r="G1160" s="4" t="s">
        <v>2344</v>
      </c>
      <c r="H1160" s="306" t="s">
        <v>2355</v>
      </c>
      <c r="I1160" s="432" t="s">
        <v>2356</v>
      </c>
      <c r="K1160" t="s">
        <v>659</v>
      </c>
      <c r="L1160" t="s">
        <v>669</v>
      </c>
      <c r="M1160" s="1" t="s">
        <v>1083</v>
      </c>
    </row>
    <row r="1161" spans="1:15" ht="36">
      <c r="A1161" s="5">
        <v>1160</v>
      </c>
      <c r="B1161" t="str">
        <f t="shared" si="31"/>
        <v>TO</v>
      </c>
      <c r="C1161" t="str">
        <f t="shared" si="30"/>
        <v>KB</v>
      </c>
      <c r="D1161" t="s">
        <v>2269</v>
      </c>
      <c r="E1161" s="5"/>
      <c r="G1161" s="4" t="s">
        <v>2344</v>
      </c>
      <c r="H1161" s="306" t="s">
        <v>2357</v>
      </c>
      <c r="I1161" s="432" t="s">
        <v>2358</v>
      </c>
      <c r="K1161" t="s">
        <v>659</v>
      </c>
      <c r="L1161" t="s">
        <v>669</v>
      </c>
      <c r="M1161" s="1" t="s">
        <v>1083</v>
      </c>
    </row>
    <row r="1162" spans="1:15" ht="36">
      <c r="A1162" s="5">
        <v>1161</v>
      </c>
      <c r="B1162" t="str">
        <f t="shared" si="31"/>
        <v>TO</v>
      </c>
      <c r="C1162" t="str">
        <f t="shared" si="30"/>
        <v>KB</v>
      </c>
      <c r="D1162" t="s">
        <v>2269</v>
      </c>
      <c r="E1162" s="5"/>
      <c r="G1162" s="4" t="s">
        <v>2344</v>
      </c>
      <c r="H1162" s="306" t="s">
        <v>2359</v>
      </c>
      <c r="I1162" s="432" t="s">
        <v>2360</v>
      </c>
      <c r="K1162" t="s">
        <v>659</v>
      </c>
      <c r="L1162" t="s">
        <v>669</v>
      </c>
      <c r="M1162" s="1" t="s">
        <v>1083</v>
      </c>
    </row>
    <row r="1163" spans="1:15">
      <c r="A1163" s="5">
        <v>1162</v>
      </c>
      <c r="B1163" t="str">
        <f t="shared" si="31"/>
        <v>MH</v>
      </c>
      <c r="C1163" t="str">
        <f t="shared" si="30"/>
        <v>KB</v>
      </c>
      <c r="D1163" t="s">
        <v>2269</v>
      </c>
      <c r="E1163" s="5"/>
      <c r="G1163" s="4" t="s">
        <v>2361</v>
      </c>
      <c r="H1163" s="306" t="s">
        <v>355</v>
      </c>
      <c r="I1163" s="432" t="s">
        <v>2362</v>
      </c>
      <c r="K1163" t="s">
        <v>659</v>
      </c>
      <c r="L1163" t="s">
        <v>669</v>
      </c>
      <c r="M1163" s="1" t="s">
        <v>2021</v>
      </c>
    </row>
    <row r="1164" spans="1:15" ht="36">
      <c r="A1164" s="5">
        <v>1163</v>
      </c>
      <c r="B1164" t="str">
        <f t="shared" si="31"/>
        <v>MH</v>
      </c>
      <c r="C1164" t="str">
        <f t="shared" si="30"/>
        <v>KB</v>
      </c>
      <c r="D1164" t="s">
        <v>2269</v>
      </c>
      <c r="E1164" s="5"/>
      <c r="G1164" s="4" t="s">
        <v>2363</v>
      </c>
      <c r="H1164" s="306" t="s">
        <v>2364</v>
      </c>
      <c r="I1164" s="432" t="s">
        <v>2365</v>
      </c>
      <c r="K1164" t="s">
        <v>659</v>
      </c>
      <c r="L1164" t="s">
        <v>669</v>
      </c>
      <c r="O1164" s="260" t="s">
        <v>2076</v>
      </c>
    </row>
    <row r="1165" spans="1:15" ht="21.6">
      <c r="A1165" s="5">
        <v>1164</v>
      </c>
      <c r="B1165" t="str">
        <f t="shared" si="31"/>
        <v>MH</v>
      </c>
      <c r="C1165" t="str">
        <f t="shared" si="30"/>
        <v>KB</v>
      </c>
      <c r="D1165" t="s">
        <v>2269</v>
      </c>
      <c r="E1165" s="5"/>
      <c r="G1165" s="4" t="s">
        <v>2363</v>
      </c>
      <c r="H1165" s="313" t="s">
        <v>2366</v>
      </c>
      <c r="I1165" s="432" t="s">
        <v>2367</v>
      </c>
      <c r="K1165" t="s">
        <v>659</v>
      </c>
      <c r="L1165" t="s">
        <v>669</v>
      </c>
      <c r="O1165" s="260" t="s">
        <v>2076</v>
      </c>
    </row>
    <row r="1166" spans="1:15">
      <c r="A1166" s="5">
        <v>1165</v>
      </c>
      <c r="B1166" t="str">
        <f t="shared" si="31"/>
        <v>MH</v>
      </c>
      <c r="C1166" t="str">
        <f t="shared" si="30"/>
        <v>KB</v>
      </c>
      <c r="D1166" t="s">
        <v>2269</v>
      </c>
      <c r="E1166" s="5"/>
      <c r="G1166" s="4" t="s">
        <v>2363</v>
      </c>
      <c r="H1166" s="306" t="s">
        <v>2368</v>
      </c>
      <c r="I1166" s="432" t="s">
        <v>2369</v>
      </c>
      <c r="K1166" t="s">
        <v>659</v>
      </c>
      <c r="L1166" t="s">
        <v>669</v>
      </c>
      <c r="O1166" s="260" t="s">
        <v>2076</v>
      </c>
    </row>
    <row r="1167" spans="1:15">
      <c r="A1167" s="5">
        <v>1166</v>
      </c>
      <c r="B1167" t="str">
        <f t="shared" si="31"/>
        <v>MH</v>
      </c>
      <c r="C1167" t="str">
        <f t="shared" si="30"/>
        <v>KB</v>
      </c>
      <c r="D1167" t="s">
        <v>2269</v>
      </c>
      <c r="E1167" s="5"/>
      <c r="G1167" s="4" t="s">
        <v>2363</v>
      </c>
      <c r="H1167" s="306" t="s">
        <v>1670</v>
      </c>
      <c r="I1167" s="432" t="s">
        <v>2370</v>
      </c>
      <c r="K1167" t="s">
        <v>659</v>
      </c>
      <c r="L1167" t="s">
        <v>669</v>
      </c>
      <c r="O1167" s="260" t="s">
        <v>2076</v>
      </c>
    </row>
    <row r="1168" spans="1:15">
      <c r="A1168" s="5">
        <v>1167</v>
      </c>
      <c r="B1168" t="str">
        <f t="shared" si="31"/>
        <v>MH</v>
      </c>
      <c r="C1168" t="str">
        <f t="shared" si="30"/>
        <v>KB</v>
      </c>
      <c r="D1168" t="s">
        <v>2269</v>
      </c>
      <c r="E1168" s="5"/>
      <c r="G1168" s="4" t="s">
        <v>2363</v>
      </c>
      <c r="H1168" s="306" t="s">
        <v>1672</v>
      </c>
      <c r="I1168" s="432" t="s">
        <v>2371</v>
      </c>
      <c r="K1168" t="s">
        <v>659</v>
      </c>
      <c r="L1168" t="s">
        <v>669</v>
      </c>
      <c r="O1168" s="260" t="s">
        <v>2076</v>
      </c>
    </row>
    <row r="1169" spans="1:15">
      <c r="A1169" s="5">
        <v>1168</v>
      </c>
      <c r="B1169" t="str">
        <f t="shared" si="31"/>
        <v>MH</v>
      </c>
      <c r="C1169" t="str">
        <f t="shared" si="30"/>
        <v>KB</v>
      </c>
      <c r="D1169" t="s">
        <v>2269</v>
      </c>
      <c r="E1169" s="5"/>
      <c r="G1169" s="4" t="s">
        <v>2372</v>
      </c>
      <c r="H1169" s="306" t="s">
        <v>254</v>
      </c>
      <c r="I1169" s="432" t="s">
        <v>2373</v>
      </c>
      <c r="K1169" t="s">
        <v>659</v>
      </c>
      <c r="L1169" t="s">
        <v>1999</v>
      </c>
      <c r="O1169" s="8" t="s">
        <v>2075</v>
      </c>
    </row>
    <row r="1170" spans="1:15">
      <c r="A1170" s="5">
        <v>1169</v>
      </c>
      <c r="B1170" t="str">
        <f t="shared" si="31"/>
        <v>MH</v>
      </c>
      <c r="C1170" t="str">
        <f t="shared" si="30"/>
        <v>KB</v>
      </c>
      <c r="D1170" t="s">
        <v>2269</v>
      </c>
      <c r="E1170" s="5"/>
      <c r="G1170" s="4" t="s">
        <v>2372</v>
      </c>
      <c r="H1170" s="306" t="s">
        <v>1615</v>
      </c>
      <c r="I1170" s="432" t="s">
        <v>2374</v>
      </c>
      <c r="K1170" t="s">
        <v>659</v>
      </c>
      <c r="L1170" t="s">
        <v>1999</v>
      </c>
      <c r="O1170" s="8" t="s">
        <v>2075</v>
      </c>
    </row>
    <row r="1171" spans="1:15" ht="36">
      <c r="A1171" s="5">
        <v>1170</v>
      </c>
      <c r="B1171" t="str">
        <f t="shared" si="31"/>
        <v>TO</v>
      </c>
      <c r="C1171" t="str">
        <f t="shared" si="30"/>
        <v>KB</v>
      </c>
      <c r="D1171" t="s">
        <v>2269</v>
      </c>
      <c r="E1171" s="5"/>
      <c r="G1171" s="4" t="s">
        <v>2375</v>
      </c>
      <c r="H1171" s="306" t="s">
        <v>2376</v>
      </c>
      <c r="I1171" s="432" t="s">
        <v>2377</v>
      </c>
      <c r="K1171" t="s">
        <v>1434</v>
      </c>
      <c r="L1171" t="s">
        <v>669</v>
      </c>
    </row>
    <row r="1172" spans="1:15" ht="36">
      <c r="A1172" s="5">
        <v>1171</v>
      </c>
      <c r="B1172" t="str">
        <f t="shared" si="31"/>
        <v>TO</v>
      </c>
      <c r="C1172" t="str">
        <f t="shared" si="30"/>
        <v>KB</v>
      </c>
      <c r="D1172" t="s">
        <v>2269</v>
      </c>
      <c r="E1172" s="5"/>
      <c r="G1172" s="4" t="s">
        <v>2375</v>
      </c>
      <c r="H1172" s="306" t="s">
        <v>2378</v>
      </c>
      <c r="I1172" s="432" t="s">
        <v>2379</v>
      </c>
      <c r="K1172" t="s">
        <v>1434</v>
      </c>
      <c r="L1172" t="s">
        <v>669</v>
      </c>
    </row>
    <row r="1173" spans="1:15" ht="36">
      <c r="A1173" s="5">
        <v>1172</v>
      </c>
      <c r="B1173" t="str">
        <f t="shared" si="31"/>
        <v>TO</v>
      </c>
      <c r="C1173" t="str">
        <f t="shared" si="30"/>
        <v>KB</v>
      </c>
      <c r="D1173" t="s">
        <v>2269</v>
      </c>
      <c r="E1173" s="5"/>
      <c r="G1173" s="4" t="s">
        <v>2375</v>
      </c>
      <c r="H1173" s="306" t="s">
        <v>2380</v>
      </c>
      <c r="I1173" s="432" t="s">
        <v>2381</v>
      </c>
      <c r="K1173" t="s">
        <v>1434</v>
      </c>
      <c r="L1173" t="s">
        <v>669</v>
      </c>
    </row>
    <row r="1174" spans="1:15">
      <c r="A1174" s="5">
        <v>1173</v>
      </c>
      <c r="B1174" t="str">
        <f t="shared" si="31"/>
        <v>MH</v>
      </c>
      <c r="C1174" t="str">
        <f t="shared" si="30"/>
        <v>KB</v>
      </c>
      <c r="D1174" t="s">
        <v>2269</v>
      </c>
      <c r="E1174" s="5"/>
      <c r="G1174" s="4" t="s">
        <v>2382</v>
      </c>
      <c r="H1174" s="306" t="s">
        <v>2383</v>
      </c>
      <c r="K1174" t="s">
        <v>659</v>
      </c>
      <c r="L1174" t="s">
        <v>669</v>
      </c>
      <c r="M1174" s="1" t="s">
        <v>1083</v>
      </c>
    </row>
    <row r="1175" spans="1:15">
      <c r="A1175" s="5">
        <v>1174</v>
      </c>
      <c r="B1175" t="str">
        <f t="shared" si="31"/>
        <v>TO</v>
      </c>
      <c r="C1175" t="str">
        <f t="shared" si="30"/>
        <v>KB</v>
      </c>
      <c r="D1175" t="s">
        <v>2269</v>
      </c>
      <c r="E1175" s="5"/>
      <c r="G1175" s="4" t="s">
        <v>2384</v>
      </c>
      <c r="H1175" s="306" t="s">
        <v>2385</v>
      </c>
      <c r="K1175" t="s">
        <v>659</v>
      </c>
      <c r="L1175" t="s">
        <v>669</v>
      </c>
      <c r="M1175" s="1" t="s">
        <v>1083</v>
      </c>
    </row>
    <row r="1176" spans="1:15">
      <c r="A1176" s="5">
        <v>1175</v>
      </c>
      <c r="B1176" t="str">
        <f t="shared" si="31"/>
        <v>TO</v>
      </c>
      <c r="C1176" t="str">
        <f t="shared" si="30"/>
        <v>KB</v>
      </c>
      <c r="D1176" t="s">
        <v>2269</v>
      </c>
      <c r="E1176" s="5"/>
      <c r="G1176" s="4" t="s">
        <v>2384</v>
      </c>
      <c r="H1176" s="306" t="s">
        <v>1546</v>
      </c>
      <c r="K1176" t="s">
        <v>659</v>
      </c>
      <c r="L1176" t="s">
        <v>669</v>
      </c>
      <c r="M1176" s="1" t="s">
        <v>1083</v>
      </c>
    </row>
    <row r="1177" spans="1:15">
      <c r="A1177" s="5">
        <v>1176</v>
      </c>
      <c r="B1177" t="str">
        <f t="shared" si="31"/>
        <v>TO</v>
      </c>
      <c r="C1177" t="str">
        <f t="shared" si="30"/>
        <v>KB</v>
      </c>
      <c r="D1177" t="s">
        <v>2269</v>
      </c>
      <c r="E1177" s="5"/>
      <c r="G1177" s="4" t="s">
        <v>2384</v>
      </c>
      <c r="H1177" s="306" t="s">
        <v>2386</v>
      </c>
      <c r="K1177" t="s">
        <v>659</v>
      </c>
      <c r="L1177" t="s">
        <v>669</v>
      </c>
      <c r="M1177" s="1" t="s">
        <v>1083</v>
      </c>
    </row>
    <row r="1178" spans="1:15">
      <c r="A1178" s="5">
        <v>1177</v>
      </c>
      <c r="B1178" t="str">
        <f t="shared" si="31"/>
        <v>TO</v>
      </c>
      <c r="C1178" t="str">
        <f t="shared" si="30"/>
        <v>KB</v>
      </c>
      <c r="D1178" t="s">
        <v>2269</v>
      </c>
      <c r="E1178" s="5"/>
      <c r="G1178" s="4" t="s">
        <v>2387</v>
      </c>
      <c r="H1178" s="306" t="s">
        <v>1348</v>
      </c>
      <c r="I1178" s="432">
        <v>4226</v>
      </c>
      <c r="K1178" t="s">
        <v>659</v>
      </c>
      <c r="L1178" t="s">
        <v>669</v>
      </c>
      <c r="M1178" s="1" t="s">
        <v>1083</v>
      </c>
    </row>
    <row r="1179" spans="1:15">
      <c r="A1179" s="5">
        <v>1178</v>
      </c>
      <c r="B1179" t="str">
        <f t="shared" si="31"/>
        <v>TO</v>
      </c>
      <c r="C1179" t="str">
        <f t="shared" si="30"/>
        <v>KB</v>
      </c>
      <c r="D1179" t="s">
        <v>2269</v>
      </c>
      <c r="E1179" s="5"/>
      <c r="G1179" s="4" t="s">
        <v>2387</v>
      </c>
      <c r="H1179" s="306" t="s">
        <v>502</v>
      </c>
      <c r="I1179" s="432">
        <v>5171</v>
      </c>
      <c r="K1179" t="s">
        <v>1434</v>
      </c>
      <c r="L1179" t="s">
        <v>669</v>
      </c>
      <c r="M1179" s="1" t="s">
        <v>1083</v>
      </c>
    </row>
    <row r="1180" spans="1:15">
      <c r="A1180" s="5">
        <v>1179</v>
      </c>
      <c r="B1180" t="str">
        <f t="shared" si="31"/>
        <v>TO</v>
      </c>
      <c r="C1180" t="str">
        <f t="shared" si="30"/>
        <v>KB</v>
      </c>
      <c r="D1180" t="s">
        <v>2269</v>
      </c>
      <c r="E1180" s="5"/>
      <c r="G1180" s="4" t="s">
        <v>2387</v>
      </c>
      <c r="H1180" s="306" t="s">
        <v>2388</v>
      </c>
      <c r="I1180" s="432">
        <v>5172</v>
      </c>
      <c r="K1180" t="s">
        <v>1434</v>
      </c>
      <c r="L1180" t="s">
        <v>669</v>
      </c>
      <c r="M1180" s="1" t="s">
        <v>1083</v>
      </c>
    </row>
    <row r="1181" spans="1:15">
      <c r="A1181" s="5">
        <v>1180</v>
      </c>
      <c r="B1181" t="str">
        <f t="shared" si="31"/>
        <v>TO</v>
      </c>
      <c r="C1181" t="str">
        <f t="shared" si="30"/>
        <v>KB</v>
      </c>
      <c r="D1181" t="s">
        <v>2269</v>
      </c>
      <c r="E1181" s="5"/>
      <c r="G1181" s="4" t="s">
        <v>2387</v>
      </c>
      <c r="H1181" s="306" t="s">
        <v>492</v>
      </c>
      <c r="I1181" s="432">
        <v>5173</v>
      </c>
      <c r="K1181" t="s">
        <v>1434</v>
      </c>
      <c r="L1181" t="s">
        <v>669</v>
      </c>
      <c r="N1181" t="s">
        <v>2389</v>
      </c>
    </row>
    <row r="1182" spans="1:15">
      <c r="A1182" s="5">
        <v>1181</v>
      </c>
      <c r="B1182" t="str">
        <f t="shared" si="31"/>
        <v>TO</v>
      </c>
      <c r="C1182" t="str">
        <f t="shared" si="30"/>
        <v>KB</v>
      </c>
      <c r="D1182" t="s">
        <v>2269</v>
      </c>
      <c r="E1182" s="5"/>
      <c r="G1182" s="4" t="s">
        <v>2390</v>
      </c>
      <c r="H1182" s="306" t="s">
        <v>2391</v>
      </c>
      <c r="I1182" s="432">
        <v>5108</v>
      </c>
      <c r="K1182" t="s">
        <v>1434</v>
      </c>
      <c r="L1182" t="s">
        <v>2392</v>
      </c>
      <c r="M1182" s="1" t="s">
        <v>1999</v>
      </c>
      <c r="N1182" t="s">
        <v>2393</v>
      </c>
    </row>
    <row r="1183" spans="1:15">
      <c r="A1183" s="5">
        <v>1182</v>
      </c>
      <c r="B1183" t="str">
        <f t="shared" si="31"/>
        <v>TO</v>
      </c>
      <c r="C1183" t="str">
        <f t="shared" si="30"/>
        <v>KB</v>
      </c>
      <c r="D1183" t="s">
        <v>2269</v>
      </c>
      <c r="E1183" s="5"/>
      <c r="G1183" s="4" t="s">
        <v>2390</v>
      </c>
      <c r="H1183" s="306" t="s">
        <v>2394</v>
      </c>
      <c r="I1183" s="432">
        <v>5150</v>
      </c>
      <c r="K1183" t="s">
        <v>1434</v>
      </c>
      <c r="L1183" t="s">
        <v>2392</v>
      </c>
      <c r="M1183" s="1" t="s">
        <v>1999</v>
      </c>
      <c r="N1183" t="s">
        <v>2393</v>
      </c>
    </row>
    <row r="1184" spans="1:15">
      <c r="A1184" s="5">
        <v>1183</v>
      </c>
      <c r="B1184" t="str">
        <f t="shared" si="31"/>
        <v>TO</v>
      </c>
      <c r="C1184" t="str">
        <f t="shared" si="30"/>
        <v>KB</v>
      </c>
      <c r="D1184" t="s">
        <v>2269</v>
      </c>
      <c r="E1184" s="5"/>
      <c r="G1184" s="4" t="s">
        <v>2390</v>
      </c>
      <c r="H1184" s="306" t="s">
        <v>2395</v>
      </c>
      <c r="I1184" s="432">
        <v>5164</v>
      </c>
      <c r="K1184" t="s">
        <v>1434</v>
      </c>
      <c r="L1184" t="s">
        <v>669</v>
      </c>
    </row>
    <row r="1185" spans="1:15">
      <c r="A1185" s="5">
        <v>1184</v>
      </c>
      <c r="B1185" t="str">
        <f t="shared" si="31"/>
        <v>TO</v>
      </c>
      <c r="C1185" t="str">
        <f t="shared" si="30"/>
        <v>KB</v>
      </c>
      <c r="D1185" t="s">
        <v>2269</v>
      </c>
      <c r="E1185" s="5"/>
      <c r="G1185" s="4" t="s">
        <v>2396</v>
      </c>
      <c r="H1185" s="306" t="s">
        <v>2397</v>
      </c>
      <c r="I1185" s="432">
        <v>5155</v>
      </c>
      <c r="K1185" t="s">
        <v>1434</v>
      </c>
      <c r="L1185" t="s">
        <v>669</v>
      </c>
    </row>
    <row r="1186" spans="1:15">
      <c r="A1186" s="5">
        <v>1185</v>
      </c>
      <c r="B1186" t="str">
        <f t="shared" si="31"/>
        <v>TO</v>
      </c>
      <c r="C1186" t="str">
        <f t="shared" si="30"/>
        <v>KB</v>
      </c>
      <c r="D1186" t="s">
        <v>2269</v>
      </c>
      <c r="E1186" s="5"/>
      <c r="G1186" s="4" t="s">
        <v>2396</v>
      </c>
      <c r="H1186" s="306" t="s">
        <v>2398</v>
      </c>
      <c r="I1186" s="432">
        <v>5154</v>
      </c>
      <c r="K1186" t="s">
        <v>1434</v>
      </c>
      <c r="L1186" t="s">
        <v>669</v>
      </c>
    </row>
    <row r="1187" spans="1:15">
      <c r="A1187" s="5">
        <v>1186</v>
      </c>
      <c r="B1187" t="str">
        <f t="shared" si="31"/>
        <v>TO</v>
      </c>
      <c r="C1187" t="str">
        <f t="shared" si="30"/>
        <v>KB</v>
      </c>
      <c r="D1187" t="s">
        <v>2269</v>
      </c>
      <c r="E1187" s="5"/>
      <c r="G1187" s="4" t="s">
        <v>2396</v>
      </c>
      <c r="H1187" s="306" t="s">
        <v>2399</v>
      </c>
      <c r="I1187" s="432">
        <v>5156</v>
      </c>
      <c r="K1187" t="s">
        <v>1434</v>
      </c>
      <c r="L1187" t="s">
        <v>669</v>
      </c>
    </row>
    <row r="1188" spans="1:15">
      <c r="A1188" s="5">
        <v>1187</v>
      </c>
      <c r="B1188" t="str">
        <f t="shared" si="31"/>
        <v>TO</v>
      </c>
      <c r="C1188" t="str">
        <f t="shared" si="30"/>
        <v>KB</v>
      </c>
      <c r="D1188" t="s">
        <v>2400</v>
      </c>
      <c r="E1188" s="5"/>
      <c r="G1188" s="4" t="s">
        <v>2401</v>
      </c>
      <c r="H1188" s="306" t="s">
        <v>2402</v>
      </c>
      <c r="I1188" s="432">
        <v>3148</v>
      </c>
      <c r="K1188" t="s">
        <v>659</v>
      </c>
      <c r="L1188" t="s">
        <v>669</v>
      </c>
      <c r="M1188" s="1" t="s">
        <v>1083</v>
      </c>
    </row>
    <row r="1189" spans="1:15">
      <c r="A1189" s="5">
        <v>1188</v>
      </c>
      <c r="B1189" t="str">
        <f t="shared" si="31"/>
        <v>TO</v>
      </c>
      <c r="C1189" t="str">
        <f t="shared" si="30"/>
        <v>KB</v>
      </c>
      <c r="D1189" t="s">
        <v>2400</v>
      </c>
      <c r="E1189" s="5"/>
      <c r="G1189" s="4" t="s">
        <v>2401</v>
      </c>
      <c r="H1189" s="306" t="s">
        <v>2403</v>
      </c>
      <c r="I1189" s="432">
        <v>5139</v>
      </c>
      <c r="K1189" t="s">
        <v>1434</v>
      </c>
      <c r="L1189" t="s">
        <v>669</v>
      </c>
      <c r="M1189" s="1" t="s">
        <v>1083</v>
      </c>
    </row>
    <row r="1190" spans="1:15">
      <c r="A1190" s="5">
        <v>1189</v>
      </c>
      <c r="B1190" t="str">
        <f t="shared" si="31"/>
        <v>TO</v>
      </c>
      <c r="C1190" t="str">
        <f t="shared" si="30"/>
        <v>KB</v>
      </c>
      <c r="D1190" t="s">
        <v>2400</v>
      </c>
      <c r="E1190" s="5"/>
      <c r="G1190" s="4" t="s">
        <v>2404</v>
      </c>
      <c r="H1190" s="306" t="s">
        <v>365</v>
      </c>
      <c r="I1190" s="432">
        <v>3147</v>
      </c>
      <c r="K1190" t="s">
        <v>659</v>
      </c>
      <c r="L1190" t="s">
        <v>2137</v>
      </c>
      <c r="N1190" t="s">
        <v>2405</v>
      </c>
    </row>
    <row r="1191" spans="1:15" ht="36">
      <c r="A1191" s="5">
        <v>1190</v>
      </c>
      <c r="B1191" t="str">
        <f t="shared" ref="B1191:B1227" si="32">MID(G1191,8,2)</f>
        <v>MH</v>
      </c>
      <c r="C1191" t="str">
        <f t="shared" si="30"/>
        <v>KB</v>
      </c>
      <c r="D1191" t="s">
        <v>2115</v>
      </c>
      <c r="E1191" s="5"/>
      <c r="G1191" s="4" t="s">
        <v>2406</v>
      </c>
      <c r="H1191" s="306" t="s">
        <v>2407</v>
      </c>
      <c r="I1191" s="432" t="s">
        <v>2408</v>
      </c>
      <c r="K1191" t="s">
        <v>659</v>
      </c>
      <c r="L1191" t="s">
        <v>669</v>
      </c>
      <c r="N1191" t="s">
        <v>2409</v>
      </c>
      <c r="O1191" s="215" t="s">
        <v>1790</v>
      </c>
    </row>
    <row r="1192" spans="1:15">
      <c r="A1192" s="5">
        <v>1191</v>
      </c>
      <c r="B1192" t="str">
        <f t="shared" si="32"/>
        <v>MH</v>
      </c>
      <c r="C1192" t="str">
        <f t="shared" si="30"/>
        <v>KB</v>
      </c>
      <c r="D1192" t="s">
        <v>2410</v>
      </c>
      <c r="E1192" s="5"/>
      <c r="G1192" s="4" t="s">
        <v>2411</v>
      </c>
      <c r="H1192" s="306" t="s">
        <v>1753</v>
      </c>
      <c r="I1192" s="432" t="s">
        <v>2412</v>
      </c>
      <c r="K1192" t="s">
        <v>659</v>
      </c>
      <c r="L1192" t="s">
        <v>669</v>
      </c>
      <c r="M1192" s="1" t="s">
        <v>2038</v>
      </c>
      <c r="N1192" t="s">
        <v>2409</v>
      </c>
      <c r="O1192" t="s">
        <v>1754</v>
      </c>
    </row>
    <row r="1193" spans="1:15">
      <c r="A1193" s="5">
        <v>1192</v>
      </c>
      <c r="B1193" t="str">
        <f t="shared" si="32"/>
        <v>MH</v>
      </c>
      <c r="C1193" t="str">
        <f t="shared" si="30"/>
        <v>KB</v>
      </c>
      <c r="D1193" t="s">
        <v>2410</v>
      </c>
      <c r="E1193" s="5"/>
      <c r="G1193" s="4" t="s">
        <v>2411</v>
      </c>
      <c r="H1193" s="306" t="s">
        <v>1755</v>
      </c>
      <c r="I1193" s="432" t="s">
        <v>2413</v>
      </c>
      <c r="K1193" t="s">
        <v>659</v>
      </c>
      <c r="L1193" t="s">
        <v>669</v>
      </c>
      <c r="M1193" s="1" t="s">
        <v>2038</v>
      </c>
      <c r="N1193" t="s">
        <v>2409</v>
      </c>
      <c r="O1193" t="s">
        <v>1754</v>
      </c>
    </row>
    <row r="1194" spans="1:15">
      <c r="A1194" s="5">
        <v>1193</v>
      </c>
      <c r="B1194" t="str">
        <f t="shared" si="32"/>
        <v>MH</v>
      </c>
      <c r="C1194" t="str">
        <f t="shared" si="30"/>
        <v>KB</v>
      </c>
      <c r="D1194" t="s">
        <v>2410</v>
      </c>
      <c r="E1194" s="5"/>
      <c r="G1194" s="4" t="s">
        <v>2411</v>
      </c>
      <c r="H1194" s="306" t="s">
        <v>1756</v>
      </c>
      <c r="I1194" s="432" t="s">
        <v>2414</v>
      </c>
      <c r="K1194" t="s">
        <v>659</v>
      </c>
      <c r="L1194" t="s">
        <v>669</v>
      </c>
      <c r="M1194" s="1" t="s">
        <v>2038</v>
      </c>
      <c r="N1194" t="s">
        <v>2409</v>
      </c>
      <c r="O1194" t="s">
        <v>1754</v>
      </c>
    </row>
    <row r="1195" spans="1:15">
      <c r="A1195" s="5">
        <v>1194</v>
      </c>
      <c r="B1195" t="str">
        <f t="shared" si="32"/>
        <v>MH</v>
      </c>
      <c r="C1195" t="str">
        <f t="shared" si="30"/>
        <v>KB</v>
      </c>
      <c r="D1195" t="s">
        <v>2410</v>
      </c>
      <c r="E1195" s="5"/>
      <c r="G1195" s="4" t="s">
        <v>2411</v>
      </c>
      <c r="H1195" s="306" t="s">
        <v>1758</v>
      </c>
      <c r="I1195" s="432" t="s">
        <v>2415</v>
      </c>
      <c r="K1195" t="s">
        <v>659</v>
      </c>
      <c r="L1195" t="s">
        <v>669</v>
      </c>
      <c r="M1195" s="1" t="s">
        <v>2038</v>
      </c>
      <c r="N1195" t="s">
        <v>2409</v>
      </c>
      <c r="O1195" t="s">
        <v>1754</v>
      </c>
    </row>
    <row r="1196" spans="1:15">
      <c r="A1196" s="5">
        <v>1195</v>
      </c>
      <c r="B1196" t="str">
        <f t="shared" si="32"/>
        <v>MH</v>
      </c>
      <c r="C1196" t="str">
        <f t="shared" si="30"/>
        <v>KB</v>
      </c>
      <c r="D1196" t="s">
        <v>2410</v>
      </c>
      <c r="E1196" s="5"/>
      <c r="G1196" s="4" t="s">
        <v>2411</v>
      </c>
      <c r="H1196" s="306" t="s">
        <v>1759</v>
      </c>
      <c r="I1196" s="432" t="s">
        <v>2416</v>
      </c>
      <c r="K1196" t="s">
        <v>659</v>
      </c>
      <c r="L1196" t="s">
        <v>669</v>
      </c>
      <c r="M1196" s="1" t="s">
        <v>2038</v>
      </c>
      <c r="N1196" t="s">
        <v>2409</v>
      </c>
      <c r="O1196" t="s">
        <v>1754</v>
      </c>
    </row>
    <row r="1197" spans="1:15">
      <c r="A1197" s="5">
        <v>1196</v>
      </c>
      <c r="B1197" t="str">
        <f t="shared" si="32"/>
        <v>MH</v>
      </c>
      <c r="C1197" t="str">
        <f t="shared" si="30"/>
        <v>KB</v>
      </c>
      <c r="D1197" t="s">
        <v>2410</v>
      </c>
      <c r="E1197" s="5"/>
      <c r="G1197" s="4" t="s">
        <v>2417</v>
      </c>
      <c r="H1197" s="306" t="s">
        <v>1760</v>
      </c>
      <c r="I1197" s="432" t="s">
        <v>2418</v>
      </c>
      <c r="K1197" t="s">
        <v>659</v>
      </c>
      <c r="L1197" t="s">
        <v>669</v>
      </c>
      <c r="M1197" s="1" t="s">
        <v>1083</v>
      </c>
      <c r="N1197" t="s">
        <v>2409</v>
      </c>
      <c r="O1197" t="s">
        <v>1754</v>
      </c>
    </row>
    <row r="1198" spans="1:15">
      <c r="A1198" s="5">
        <v>1197</v>
      </c>
      <c r="B1198" t="str">
        <f t="shared" si="32"/>
        <v>MH</v>
      </c>
      <c r="C1198" t="str">
        <f t="shared" si="30"/>
        <v>KB</v>
      </c>
      <c r="D1198" t="s">
        <v>2410</v>
      </c>
      <c r="E1198" s="5"/>
      <c r="G1198" s="4" t="s">
        <v>2417</v>
      </c>
      <c r="H1198" s="306" t="s">
        <v>2419</v>
      </c>
      <c r="I1198" s="432" t="s">
        <v>2420</v>
      </c>
      <c r="K1198" t="s">
        <v>659</v>
      </c>
      <c r="L1198" t="s">
        <v>669</v>
      </c>
      <c r="M1198" s="1" t="s">
        <v>1083</v>
      </c>
      <c r="N1198" t="s">
        <v>2409</v>
      </c>
      <c r="O1198" t="s">
        <v>1754</v>
      </c>
    </row>
    <row r="1199" spans="1:15">
      <c r="A1199" s="5">
        <v>1198</v>
      </c>
      <c r="B1199" t="str">
        <f t="shared" si="32"/>
        <v>MH</v>
      </c>
      <c r="C1199" t="str">
        <f t="shared" si="30"/>
        <v>KB</v>
      </c>
      <c r="D1199" t="s">
        <v>2410</v>
      </c>
      <c r="E1199" s="5"/>
      <c r="G1199" s="4" t="s">
        <v>2417</v>
      </c>
      <c r="H1199" s="306" t="s">
        <v>1763</v>
      </c>
      <c r="I1199" s="432" t="s">
        <v>2421</v>
      </c>
      <c r="K1199" t="s">
        <v>659</v>
      </c>
      <c r="L1199" t="s">
        <v>669</v>
      </c>
      <c r="M1199" s="1" t="s">
        <v>1083</v>
      </c>
      <c r="N1199" t="s">
        <v>2422</v>
      </c>
      <c r="O1199" t="s">
        <v>1754</v>
      </c>
    </row>
    <row r="1200" spans="1:15">
      <c r="A1200" s="5">
        <v>1199</v>
      </c>
      <c r="B1200" t="str">
        <f t="shared" si="32"/>
        <v>MH</v>
      </c>
      <c r="C1200" t="str">
        <f t="shared" si="30"/>
        <v>KB</v>
      </c>
      <c r="D1200" t="s">
        <v>2410</v>
      </c>
      <c r="E1200" s="5"/>
      <c r="G1200" s="4" t="s">
        <v>2417</v>
      </c>
      <c r="H1200" s="306" t="s">
        <v>1764</v>
      </c>
      <c r="I1200" s="432" t="s">
        <v>2423</v>
      </c>
      <c r="K1200" t="s">
        <v>659</v>
      </c>
      <c r="L1200" t="s">
        <v>669</v>
      </c>
      <c r="M1200" s="1" t="s">
        <v>1083</v>
      </c>
      <c r="N1200" t="s">
        <v>2409</v>
      </c>
      <c r="O1200" t="s">
        <v>1754</v>
      </c>
    </row>
    <row r="1201" spans="1:15" ht="36">
      <c r="A1201" s="5">
        <v>1200</v>
      </c>
      <c r="B1201" t="str">
        <f t="shared" si="32"/>
        <v>MH</v>
      </c>
      <c r="C1201" t="str">
        <f t="shared" si="30"/>
        <v>KB</v>
      </c>
      <c r="D1201" t="s">
        <v>2410</v>
      </c>
      <c r="E1201" s="5"/>
      <c r="G1201" s="4" t="s">
        <v>2417</v>
      </c>
      <c r="H1201" s="306" t="s">
        <v>1765</v>
      </c>
      <c r="I1201" s="432" t="s">
        <v>2424</v>
      </c>
      <c r="K1201" t="s">
        <v>659</v>
      </c>
      <c r="L1201" t="s">
        <v>669</v>
      </c>
      <c r="M1201" s="1" t="s">
        <v>1083</v>
      </c>
      <c r="N1201" t="s">
        <v>2409</v>
      </c>
      <c r="O1201" t="s">
        <v>1754</v>
      </c>
    </row>
    <row r="1202" spans="1:15" ht="36">
      <c r="A1202" s="5">
        <v>1201</v>
      </c>
      <c r="B1202" t="str">
        <f t="shared" si="32"/>
        <v>MH</v>
      </c>
      <c r="C1202" t="str">
        <f t="shared" si="30"/>
        <v>KB</v>
      </c>
      <c r="D1202" t="s">
        <v>2410</v>
      </c>
      <c r="E1202" s="5"/>
      <c r="G1202" s="4" t="s">
        <v>2425</v>
      </c>
      <c r="H1202" s="306" t="s">
        <v>258</v>
      </c>
      <c r="I1202" s="432" t="s">
        <v>2426</v>
      </c>
      <c r="K1202" t="s">
        <v>659</v>
      </c>
      <c r="L1202" t="s">
        <v>669</v>
      </c>
      <c r="M1202" s="1" t="s">
        <v>1083</v>
      </c>
      <c r="N1202" t="s">
        <v>2409</v>
      </c>
      <c r="O1202" t="s">
        <v>1754</v>
      </c>
    </row>
    <row r="1203" spans="1:15">
      <c r="A1203" s="5">
        <v>1202</v>
      </c>
      <c r="B1203" t="str">
        <f t="shared" si="32"/>
        <v>MH</v>
      </c>
      <c r="C1203" t="str">
        <f t="shared" si="30"/>
        <v>KB</v>
      </c>
      <c r="D1203" t="s">
        <v>2410</v>
      </c>
      <c r="E1203" s="5"/>
      <c r="G1203" s="4" t="s">
        <v>2425</v>
      </c>
      <c r="H1203" s="316" t="s">
        <v>111</v>
      </c>
      <c r="I1203" s="432" t="s">
        <v>2427</v>
      </c>
      <c r="K1203" t="s">
        <v>659</v>
      </c>
      <c r="L1203" t="s">
        <v>669</v>
      </c>
      <c r="M1203" s="1" t="s">
        <v>1083</v>
      </c>
      <c r="N1203" t="s">
        <v>2409</v>
      </c>
      <c r="O1203" t="s">
        <v>2081</v>
      </c>
    </row>
    <row r="1204" spans="1:15">
      <c r="A1204" s="5">
        <v>1203</v>
      </c>
      <c r="B1204" t="str">
        <f t="shared" si="32"/>
        <v>MH</v>
      </c>
      <c r="C1204" t="str">
        <f t="shared" si="30"/>
        <v>KB</v>
      </c>
      <c r="D1204" t="s">
        <v>2410</v>
      </c>
      <c r="E1204" s="5"/>
      <c r="G1204" s="4" t="s">
        <v>2425</v>
      </c>
      <c r="H1204" s="316" t="s">
        <v>1650</v>
      </c>
      <c r="I1204" s="432" t="s">
        <v>2428</v>
      </c>
      <c r="K1204" t="s">
        <v>659</v>
      </c>
      <c r="L1204" t="s">
        <v>669</v>
      </c>
      <c r="M1204" s="1" t="s">
        <v>1083</v>
      </c>
      <c r="N1204" t="s">
        <v>2409</v>
      </c>
      <c r="O1204" t="s">
        <v>2081</v>
      </c>
    </row>
    <row r="1205" spans="1:15">
      <c r="A1205" s="5">
        <v>1204</v>
      </c>
      <c r="B1205" t="str">
        <f t="shared" si="32"/>
        <v>MH</v>
      </c>
      <c r="C1205" t="str">
        <f t="shared" si="30"/>
        <v>KB</v>
      </c>
      <c r="D1205" t="s">
        <v>2410</v>
      </c>
      <c r="E1205" s="5"/>
      <c r="G1205" s="4" t="s">
        <v>2425</v>
      </c>
      <c r="H1205" s="316" t="s">
        <v>371</v>
      </c>
      <c r="I1205" s="432" t="s">
        <v>2429</v>
      </c>
      <c r="K1205" t="s">
        <v>659</v>
      </c>
      <c r="L1205" t="s">
        <v>669</v>
      </c>
      <c r="M1205" s="1" t="s">
        <v>1083</v>
      </c>
      <c r="N1205" t="s">
        <v>2409</v>
      </c>
      <c r="O1205" t="s">
        <v>2081</v>
      </c>
    </row>
    <row r="1206" spans="1:15">
      <c r="A1206" s="5">
        <v>1205</v>
      </c>
      <c r="B1206" t="str">
        <f t="shared" si="32"/>
        <v>MH</v>
      </c>
      <c r="C1206" t="str">
        <f t="shared" si="30"/>
        <v>KB</v>
      </c>
      <c r="D1206" t="s">
        <v>2410</v>
      </c>
      <c r="E1206" s="5"/>
      <c r="G1206" s="4" t="s">
        <v>2425</v>
      </c>
      <c r="H1206" s="306" t="s">
        <v>257</v>
      </c>
      <c r="I1206" s="432" t="s">
        <v>2430</v>
      </c>
      <c r="K1206" t="s">
        <v>659</v>
      </c>
      <c r="L1206" t="s">
        <v>669</v>
      </c>
      <c r="M1206" s="1" t="s">
        <v>1083</v>
      </c>
      <c r="N1206" t="s">
        <v>2409</v>
      </c>
      <c r="O1206" t="s">
        <v>2089</v>
      </c>
    </row>
    <row r="1207" spans="1:15" ht="36">
      <c r="A1207" s="5">
        <v>1206</v>
      </c>
      <c r="B1207" t="str">
        <f t="shared" si="32"/>
        <v>TO</v>
      </c>
      <c r="C1207" t="str">
        <f t="shared" si="30"/>
        <v>KB</v>
      </c>
      <c r="D1207" t="s">
        <v>2410</v>
      </c>
      <c r="E1207" s="5"/>
      <c r="G1207" s="4" t="s">
        <v>2431</v>
      </c>
      <c r="H1207" s="306" t="s">
        <v>346</v>
      </c>
      <c r="I1207" s="432" t="s">
        <v>2313</v>
      </c>
      <c r="K1207" t="s">
        <v>659</v>
      </c>
      <c r="L1207" t="s">
        <v>669</v>
      </c>
    </row>
    <row r="1208" spans="1:15">
      <c r="A1208" s="5">
        <v>1207</v>
      </c>
      <c r="B1208" t="str">
        <f t="shared" si="32"/>
        <v>MH</v>
      </c>
      <c r="C1208" t="str">
        <f t="shared" si="30"/>
        <v>KB</v>
      </c>
      <c r="D1208" t="s">
        <v>2410</v>
      </c>
      <c r="E1208" s="5"/>
      <c r="G1208" s="4" t="s">
        <v>2432</v>
      </c>
      <c r="H1208" s="306" t="s">
        <v>347</v>
      </c>
      <c r="I1208" s="432" t="s">
        <v>2316</v>
      </c>
      <c r="K1208" t="s">
        <v>659</v>
      </c>
      <c r="L1208" t="s">
        <v>669</v>
      </c>
      <c r="M1208" s="1" t="s">
        <v>1083</v>
      </c>
    </row>
    <row r="1209" spans="1:15">
      <c r="A1209" s="5">
        <v>1208</v>
      </c>
      <c r="B1209" t="str">
        <f t="shared" si="32"/>
        <v>TO</v>
      </c>
      <c r="C1209" t="str">
        <f t="shared" ref="C1209:C1246" si="33">MID(G1209,11,2)</f>
        <v>KB</v>
      </c>
      <c r="D1209" t="s">
        <v>2410</v>
      </c>
      <c r="E1209" s="5"/>
      <c r="G1209" s="4" t="s">
        <v>2433</v>
      </c>
      <c r="H1209" s="306" t="s">
        <v>372</v>
      </c>
      <c r="I1209" s="432" t="s">
        <v>2434</v>
      </c>
      <c r="K1209" t="s">
        <v>659</v>
      </c>
      <c r="L1209" t="s">
        <v>669</v>
      </c>
    </row>
    <row r="1210" spans="1:15">
      <c r="A1210" s="5">
        <v>1209</v>
      </c>
      <c r="B1210" t="str">
        <f t="shared" si="32"/>
        <v>MH</v>
      </c>
      <c r="C1210" t="str">
        <f t="shared" si="33"/>
        <v>KB</v>
      </c>
      <c r="D1210" t="s">
        <v>2410</v>
      </c>
      <c r="E1210" s="5"/>
      <c r="G1210" s="4" t="s">
        <v>2432</v>
      </c>
      <c r="H1210" s="306" t="s">
        <v>2435</v>
      </c>
      <c r="I1210" s="432" t="s">
        <v>2436</v>
      </c>
      <c r="K1210" t="s">
        <v>659</v>
      </c>
      <c r="L1210" t="s">
        <v>669</v>
      </c>
      <c r="M1210" s="1" t="s">
        <v>1083</v>
      </c>
      <c r="O1210" t="s">
        <v>2209</v>
      </c>
    </row>
    <row r="1211" spans="1:15">
      <c r="A1211" s="5">
        <v>1210</v>
      </c>
      <c r="B1211" t="str">
        <f t="shared" si="32"/>
        <v>MH</v>
      </c>
      <c r="C1211" t="str">
        <f t="shared" si="33"/>
        <v>KB</v>
      </c>
      <c r="D1211" t="s">
        <v>2400</v>
      </c>
      <c r="E1211" s="5"/>
      <c r="G1211" s="4" t="s">
        <v>2437</v>
      </c>
      <c r="H1211" s="306" t="s">
        <v>2438</v>
      </c>
      <c r="I1211" s="432" t="s">
        <v>2213</v>
      </c>
      <c r="K1211" t="s">
        <v>1434</v>
      </c>
      <c r="L1211" t="s">
        <v>669</v>
      </c>
      <c r="M1211" s="1" t="s">
        <v>1083</v>
      </c>
      <c r="N1211" t="s">
        <v>2439</v>
      </c>
    </row>
    <row r="1212" spans="1:15" ht="36">
      <c r="A1212" s="5">
        <v>1211</v>
      </c>
      <c r="B1212" t="str">
        <f t="shared" si="32"/>
        <v>MH</v>
      </c>
      <c r="C1212" t="str">
        <f t="shared" si="33"/>
        <v>KB</v>
      </c>
      <c r="D1212" t="s">
        <v>2400</v>
      </c>
      <c r="E1212" s="5"/>
      <c r="G1212" s="4" t="s">
        <v>2440</v>
      </c>
      <c r="H1212" s="306" t="s">
        <v>2441</v>
      </c>
      <c r="I1212" s="432" t="s">
        <v>2442</v>
      </c>
      <c r="K1212" t="s">
        <v>659</v>
      </c>
      <c r="L1212" t="s">
        <v>2392</v>
      </c>
      <c r="M1212" s="1" t="s">
        <v>1999</v>
      </c>
      <c r="N1212" t="s">
        <v>2443</v>
      </c>
    </row>
    <row r="1213" spans="1:15" ht="21.6">
      <c r="A1213" s="5">
        <v>1212</v>
      </c>
      <c r="B1213" t="str">
        <f t="shared" si="32"/>
        <v>TO</v>
      </c>
      <c r="C1213" t="str">
        <f t="shared" si="33"/>
        <v>KB</v>
      </c>
      <c r="D1213" t="s">
        <v>2400</v>
      </c>
      <c r="E1213" s="5"/>
      <c r="G1213" s="4" t="s">
        <v>2444</v>
      </c>
      <c r="H1213" s="313" t="s">
        <v>2237</v>
      </c>
      <c r="I1213" s="432" t="s">
        <v>2238</v>
      </c>
      <c r="K1213" t="s">
        <v>659</v>
      </c>
      <c r="L1213" t="s">
        <v>669</v>
      </c>
      <c r="M1213" s="1" t="s">
        <v>1083</v>
      </c>
    </row>
    <row r="1214" spans="1:15" ht="21.6">
      <c r="A1214" s="5">
        <v>1213</v>
      </c>
      <c r="B1214" t="str">
        <f t="shared" si="32"/>
        <v>TO</v>
      </c>
      <c r="C1214" t="str">
        <f t="shared" si="33"/>
        <v>KB</v>
      </c>
      <c r="D1214" t="s">
        <v>2400</v>
      </c>
      <c r="E1214" s="5"/>
      <c r="G1214" s="4" t="s">
        <v>2444</v>
      </c>
      <c r="H1214" s="313" t="s">
        <v>2239</v>
      </c>
      <c r="I1214" s="432" t="s">
        <v>2240</v>
      </c>
      <c r="K1214" t="s">
        <v>659</v>
      </c>
      <c r="L1214" t="s">
        <v>669</v>
      </c>
      <c r="M1214" s="1" t="s">
        <v>1083</v>
      </c>
    </row>
    <row r="1215" spans="1:15">
      <c r="A1215" s="5">
        <v>1214</v>
      </c>
      <c r="B1215" t="str">
        <f t="shared" si="32"/>
        <v>TO</v>
      </c>
      <c r="C1215" t="str">
        <f t="shared" si="33"/>
        <v>KB</v>
      </c>
      <c r="D1215" t="s">
        <v>2400</v>
      </c>
      <c r="E1215" s="5"/>
      <c r="G1215" s="4" t="s">
        <v>2445</v>
      </c>
      <c r="H1215" s="306" t="s">
        <v>1757</v>
      </c>
      <c r="I1215" s="432" t="s">
        <v>2446</v>
      </c>
      <c r="K1215" t="s">
        <v>1434</v>
      </c>
      <c r="L1215" t="s">
        <v>669</v>
      </c>
      <c r="M1215" s="1" t="s">
        <v>2021</v>
      </c>
      <c r="N1215" t="s">
        <v>2046</v>
      </c>
    </row>
    <row r="1216" spans="1:15" ht="36">
      <c r="A1216" s="5">
        <v>1215</v>
      </c>
      <c r="B1216" t="str">
        <f t="shared" si="32"/>
        <v>TO</v>
      </c>
      <c r="C1216" t="str">
        <f t="shared" si="33"/>
        <v>KB</v>
      </c>
      <c r="D1216" t="s">
        <v>2400</v>
      </c>
      <c r="E1216" s="5"/>
      <c r="G1216" s="4" t="s">
        <v>2445</v>
      </c>
      <c r="H1216" s="306" t="s">
        <v>2154</v>
      </c>
      <c r="I1216" s="432" t="s">
        <v>2155</v>
      </c>
      <c r="K1216" t="s">
        <v>659</v>
      </c>
      <c r="L1216" t="s">
        <v>669</v>
      </c>
      <c r="M1216" s="1" t="s">
        <v>2021</v>
      </c>
      <c r="N1216" t="s">
        <v>2046</v>
      </c>
    </row>
    <row r="1217" spans="1:15">
      <c r="A1217" s="5">
        <v>1216</v>
      </c>
      <c r="B1217" t="str">
        <f t="shared" si="32"/>
        <v>TO</v>
      </c>
      <c r="C1217" t="str">
        <f t="shared" si="33"/>
        <v>KB</v>
      </c>
      <c r="D1217" t="s">
        <v>2400</v>
      </c>
      <c r="E1217" s="5"/>
      <c r="G1217" s="4" t="s">
        <v>2447</v>
      </c>
      <c r="H1217" s="306" t="s">
        <v>2448</v>
      </c>
      <c r="I1217" s="432" t="s">
        <v>2449</v>
      </c>
      <c r="K1217" t="s">
        <v>659</v>
      </c>
      <c r="L1217" t="s">
        <v>669</v>
      </c>
      <c r="M1217" s="1" t="s">
        <v>2021</v>
      </c>
      <c r="N1217" t="s">
        <v>2046</v>
      </c>
    </row>
    <row r="1218" spans="1:15">
      <c r="A1218" s="5">
        <v>1217</v>
      </c>
      <c r="B1218" t="str">
        <f t="shared" si="32"/>
        <v>TO</v>
      </c>
      <c r="C1218" t="str">
        <f t="shared" si="33"/>
        <v>KB</v>
      </c>
      <c r="D1218" t="s">
        <v>2400</v>
      </c>
      <c r="E1218" s="5"/>
      <c r="G1218" s="4" t="s">
        <v>2450</v>
      </c>
      <c r="H1218" s="306" t="s">
        <v>2451</v>
      </c>
      <c r="I1218" s="432" t="s">
        <v>2452</v>
      </c>
      <c r="K1218" t="s">
        <v>659</v>
      </c>
      <c r="L1218" t="s">
        <v>669</v>
      </c>
      <c r="M1218" s="1" t="s">
        <v>2140</v>
      </c>
    </row>
    <row r="1219" spans="1:15">
      <c r="A1219" s="5">
        <v>1218</v>
      </c>
      <c r="B1219" t="str">
        <f t="shared" si="32"/>
        <v>TO</v>
      </c>
      <c r="C1219" t="str">
        <f t="shared" si="33"/>
        <v>KB</v>
      </c>
      <c r="D1219" t="s">
        <v>2400</v>
      </c>
      <c r="E1219" s="5"/>
      <c r="G1219" s="4" t="s">
        <v>2450</v>
      </c>
      <c r="H1219" s="306" t="s">
        <v>2453</v>
      </c>
      <c r="I1219" s="432" t="s">
        <v>2454</v>
      </c>
      <c r="K1219" t="s">
        <v>659</v>
      </c>
      <c r="L1219" t="s">
        <v>669</v>
      </c>
      <c r="M1219" s="1" t="s">
        <v>1083</v>
      </c>
    </row>
    <row r="1220" spans="1:15">
      <c r="A1220" s="5">
        <v>1219</v>
      </c>
      <c r="B1220" t="str">
        <f t="shared" si="32"/>
        <v>TO</v>
      </c>
      <c r="C1220" t="str">
        <f t="shared" si="33"/>
        <v>KB</v>
      </c>
      <c r="D1220" t="s">
        <v>2400</v>
      </c>
      <c r="E1220" s="5"/>
      <c r="G1220" s="4" t="s">
        <v>2450</v>
      </c>
      <c r="H1220" s="306" t="s">
        <v>2455</v>
      </c>
      <c r="I1220" s="432" t="s">
        <v>2456</v>
      </c>
      <c r="K1220" t="s">
        <v>659</v>
      </c>
      <c r="L1220" t="s">
        <v>669</v>
      </c>
      <c r="M1220" s="1" t="s">
        <v>1083</v>
      </c>
    </row>
    <row r="1221" spans="1:15">
      <c r="A1221" s="5">
        <v>1220</v>
      </c>
      <c r="B1221" t="str">
        <f t="shared" si="32"/>
        <v>TO</v>
      </c>
      <c r="C1221" t="str">
        <f t="shared" si="33"/>
        <v>KB</v>
      </c>
      <c r="D1221" t="s">
        <v>2400</v>
      </c>
      <c r="E1221" s="5"/>
      <c r="G1221" s="4" t="s">
        <v>2450</v>
      </c>
      <c r="H1221" s="306" t="s">
        <v>2457</v>
      </c>
      <c r="I1221" s="432" t="s">
        <v>2458</v>
      </c>
      <c r="K1221" t="s">
        <v>1434</v>
      </c>
      <c r="L1221" t="s">
        <v>669</v>
      </c>
      <c r="M1221" s="1" t="s">
        <v>1083</v>
      </c>
    </row>
    <row r="1222" spans="1:15">
      <c r="A1222" s="5">
        <v>1221</v>
      </c>
      <c r="B1222" t="str">
        <f t="shared" si="32"/>
        <v>TO</v>
      </c>
      <c r="C1222" t="str">
        <f t="shared" si="33"/>
        <v>KB</v>
      </c>
      <c r="D1222" t="s">
        <v>2400</v>
      </c>
      <c r="E1222" s="5"/>
      <c r="G1222" s="4" t="s">
        <v>2459</v>
      </c>
      <c r="H1222" s="306" t="s">
        <v>2460</v>
      </c>
      <c r="I1222" s="432" t="s">
        <v>2461</v>
      </c>
      <c r="K1222" t="s">
        <v>659</v>
      </c>
      <c r="L1222" t="s">
        <v>669</v>
      </c>
      <c r="M1222" s="1" t="s">
        <v>1083</v>
      </c>
    </row>
    <row r="1223" spans="1:15">
      <c r="A1223" s="5">
        <v>1222</v>
      </c>
      <c r="B1223" t="str">
        <f t="shared" si="32"/>
        <v>TO</v>
      </c>
      <c r="C1223" t="str">
        <f t="shared" si="33"/>
        <v>KB</v>
      </c>
      <c r="D1223" t="s">
        <v>2400</v>
      </c>
      <c r="E1223" s="5"/>
      <c r="G1223" s="4" t="s">
        <v>2459</v>
      </c>
      <c r="H1223" s="306" t="s">
        <v>1519</v>
      </c>
      <c r="I1223" s="432" t="s">
        <v>2462</v>
      </c>
      <c r="K1223" t="s">
        <v>1434</v>
      </c>
      <c r="L1223" t="s">
        <v>669</v>
      </c>
      <c r="M1223" s="1" t="s">
        <v>1083</v>
      </c>
    </row>
    <row r="1224" spans="1:15">
      <c r="A1224" s="5">
        <v>1223</v>
      </c>
      <c r="B1224" t="str">
        <f t="shared" si="32"/>
        <v>TO</v>
      </c>
      <c r="C1224" t="str">
        <f t="shared" si="33"/>
        <v>KB</v>
      </c>
      <c r="D1224" t="s">
        <v>2400</v>
      </c>
      <c r="E1224" s="5"/>
      <c r="G1224" s="4" t="s">
        <v>2459</v>
      </c>
      <c r="H1224" s="306" t="s">
        <v>1731</v>
      </c>
      <c r="I1224" s="432" t="s">
        <v>2463</v>
      </c>
      <c r="K1224" t="s">
        <v>659</v>
      </c>
      <c r="L1224" t="s">
        <v>669</v>
      </c>
      <c r="M1224" s="1" t="s">
        <v>1083</v>
      </c>
    </row>
    <row r="1225" spans="1:15">
      <c r="A1225" s="5">
        <v>1224</v>
      </c>
      <c r="B1225" t="str">
        <f t="shared" si="32"/>
        <v>TO</v>
      </c>
      <c r="C1225" t="str">
        <f t="shared" si="33"/>
        <v>KB</v>
      </c>
      <c r="D1225" t="s">
        <v>2400</v>
      </c>
      <c r="E1225" s="5"/>
      <c r="G1225" s="4" t="s">
        <v>2464</v>
      </c>
      <c r="H1225" s="306" t="s">
        <v>2465</v>
      </c>
      <c r="I1225" s="432" t="s">
        <v>2466</v>
      </c>
      <c r="K1225" t="s">
        <v>659</v>
      </c>
      <c r="L1225" t="s">
        <v>669</v>
      </c>
      <c r="M1225" s="1" t="s">
        <v>1083</v>
      </c>
    </row>
    <row r="1226" spans="1:15">
      <c r="A1226" s="5">
        <v>1225</v>
      </c>
      <c r="B1226" t="str">
        <f t="shared" si="32"/>
        <v>TO</v>
      </c>
      <c r="C1226" t="str">
        <f t="shared" si="33"/>
        <v>KB</v>
      </c>
      <c r="D1226" t="s">
        <v>2400</v>
      </c>
      <c r="E1226" s="5"/>
      <c r="G1226" s="4" t="s">
        <v>2464</v>
      </c>
      <c r="H1226" s="306" t="s">
        <v>2467</v>
      </c>
      <c r="I1226" s="432" t="s">
        <v>2468</v>
      </c>
      <c r="K1226" t="s">
        <v>1434</v>
      </c>
      <c r="L1226" t="s">
        <v>669</v>
      </c>
      <c r="M1226" s="1" t="s">
        <v>1083</v>
      </c>
    </row>
    <row r="1227" spans="1:15" ht="36">
      <c r="A1227" s="5">
        <v>1226</v>
      </c>
      <c r="B1227" t="str">
        <f t="shared" si="32"/>
        <v>MH</v>
      </c>
      <c r="C1227" t="str">
        <f t="shared" si="33"/>
        <v>KB</v>
      </c>
      <c r="D1227" t="s">
        <v>2410</v>
      </c>
      <c r="E1227" s="5"/>
      <c r="G1227" s="4" t="s">
        <v>2469</v>
      </c>
      <c r="H1227" s="306" t="s">
        <v>1784</v>
      </c>
      <c r="I1227" s="432" t="s">
        <v>2470</v>
      </c>
      <c r="K1227" t="s">
        <v>659</v>
      </c>
      <c r="L1227" t="s">
        <v>669</v>
      </c>
      <c r="M1227" s="1" t="s">
        <v>1083</v>
      </c>
      <c r="O1227" t="s">
        <v>2471</v>
      </c>
    </row>
    <row r="1228" spans="1:15">
      <c r="A1228" s="5">
        <v>1227</v>
      </c>
      <c r="B1228" t="s">
        <v>96</v>
      </c>
      <c r="C1228" t="str">
        <f t="shared" si="33"/>
        <v>KB</v>
      </c>
      <c r="D1228" t="s">
        <v>2400</v>
      </c>
      <c r="E1228" s="5"/>
      <c r="G1228" s="4" t="s">
        <v>2472</v>
      </c>
      <c r="H1228" s="306" t="s">
        <v>2395</v>
      </c>
      <c r="I1228" s="432" t="s">
        <v>2473</v>
      </c>
      <c r="K1228" t="s">
        <v>659</v>
      </c>
      <c r="L1228" t="s">
        <v>669</v>
      </c>
      <c r="M1228" s="1" t="s">
        <v>979</v>
      </c>
      <c r="N1228" t="s">
        <v>2474</v>
      </c>
      <c r="O1228" t="s">
        <v>2475</v>
      </c>
    </row>
    <row r="1229" spans="1:15">
      <c r="A1229" s="5">
        <v>1228</v>
      </c>
      <c r="B1229" t="s">
        <v>96</v>
      </c>
      <c r="C1229" t="str">
        <f t="shared" si="33"/>
        <v>KB</v>
      </c>
      <c r="D1229" t="s">
        <v>2400</v>
      </c>
      <c r="E1229" s="5"/>
      <c r="G1229" s="4" t="s">
        <v>2476</v>
      </c>
      <c r="H1229" s="306" t="s">
        <v>1763</v>
      </c>
      <c r="I1229" s="432" t="s">
        <v>2477</v>
      </c>
      <c r="K1229" t="s">
        <v>659</v>
      </c>
      <c r="L1229" t="s">
        <v>1999</v>
      </c>
      <c r="M1229" s="1" t="s">
        <v>979</v>
      </c>
      <c r="N1229" t="s">
        <v>2474</v>
      </c>
      <c r="O1229" t="s">
        <v>2478</v>
      </c>
    </row>
    <row r="1230" spans="1:15">
      <c r="A1230" s="5">
        <v>1229</v>
      </c>
      <c r="B1230" t="s">
        <v>96</v>
      </c>
      <c r="C1230" t="str">
        <f t="shared" si="33"/>
        <v>KB</v>
      </c>
      <c r="D1230" t="s">
        <v>2400</v>
      </c>
      <c r="E1230" s="5"/>
      <c r="G1230" s="4" t="s">
        <v>2472</v>
      </c>
      <c r="H1230" s="306" t="s">
        <v>65</v>
      </c>
      <c r="I1230" s="432" t="s">
        <v>2479</v>
      </c>
      <c r="K1230" t="s">
        <v>659</v>
      </c>
      <c r="L1230" t="s">
        <v>669</v>
      </c>
      <c r="M1230" s="1" t="s">
        <v>985</v>
      </c>
      <c r="N1230" t="s">
        <v>2474</v>
      </c>
      <c r="O1230" t="s">
        <v>2478</v>
      </c>
    </row>
    <row r="1231" spans="1:15">
      <c r="A1231" s="5">
        <v>1230</v>
      </c>
      <c r="B1231" t="s">
        <v>96</v>
      </c>
      <c r="C1231" t="str">
        <f t="shared" si="33"/>
        <v>KB</v>
      </c>
      <c r="D1231" t="s">
        <v>2400</v>
      </c>
      <c r="E1231" s="5"/>
      <c r="G1231" s="4" t="s">
        <v>2472</v>
      </c>
      <c r="H1231" s="306" t="s">
        <v>1762</v>
      </c>
      <c r="I1231" s="432" t="s">
        <v>2480</v>
      </c>
      <c r="K1231" t="s">
        <v>659</v>
      </c>
      <c r="L1231" t="s">
        <v>669</v>
      </c>
      <c r="M1231" s="1" t="s">
        <v>985</v>
      </c>
      <c r="N1231" t="s">
        <v>2474</v>
      </c>
      <c r="O1231" t="s">
        <v>2481</v>
      </c>
    </row>
    <row r="1232" spans="1:15">
      <c r="A1232" s="5">
        <v>1231</v>
      </c>
      <c r="B1232" t="str">
        <f t="shared" ref="B1232:B1245" si="34">MID(G1232,8,2)</f>
        <v>MH</v>
      </c>
      <c r="C1232" t="str">
        <f t="shared" si="33"/>
        <v>KB</v>
      </c>
      <c r="D1232" t="s">
        <v>2400</v>
      </c>
      <c r="E1232" s="5"/>
      <c r="G1232" s="4" t="s">
        <v>2482</v>
      </c>
      <c r="H1232" s="306" t="s">
        <v>2052</v>
      </c>
      <c r="I1232" s="432" t="s">
        <v>2483</v>
      </c>
      <c r="K1232" t="s">
        <v>659</v>
      </c>
      <c r="L1232" t="s">
        <v>669</v>
      </c>
      <c r="M1232" s="1" t="s">
        <v>985</v>
      </c>
      <c r="N1232" t="s">
        <v>2474</v>
      </c>
      <c r="O1232" t="s">
        <v>2478</v>
      </c>
    </row>
    <row r="1233" spans="1:15">
      <c r="A1233" s="5">
        <v>1232</v>
      </c>
      <c r="B1233" t="str">
        <f t="shared" si="34"/>
        <v>MH</v>
      </c>
      <c r="C1233" t="str">
        <f t="shared" si="33"/>
        <v>KB</v>
      </c>
      <c r="D1233" t="s">
        <v>2400</v>
      </c>
      <c r="E1233" s="5"/>
      <c r="G1233" s="4" t="s">
        <v>2484</v>
      </c>
      <c r="H1233" s="306" t="s">
        <v>345</v>
      </c>
      <c r="I1233" s="432" t="s">
        <v>2485</v>
      </c>
      <c r="K1233" t="s">
        <v>659</v>
      </c>
      <c r="L1233" t="s">
        <v>669</v>
      </c>
      <c r="M1233" s="1" t="s">
        <v>1083</v>
      </c>
      <c r="N1233" t="s">
        <v>2486</v>
      </c>
      <c r="O1233" s="4" t="s">
        <v>2361</v>
      </c>
    </row>
    <row r="1234" spans="1:15">
      <c r="A1234" s="5">
        <v>1233</v>
      </c>
      <c r="B1234" t="str">
        <f t="shared" si="34"/>
        <v>TO</v>
      </c>
      <c r="C1234" t="str">
        <f t="shared" si="33"/>
        <v>KB</v>
      </c>
      <c r="D1234" t="s">
        <v>2400</v>
      </c>
      <c r="E1234" s="5"/>
      <c r="G1234" s="4" t="s">
        <v>2487</v>
      </c>
      <c r="H1234" s="306" t="s">
        <v>378</v>
      </c>
      <c r="I1234" s="432" t="s">
        <v>2488</v>
      </c>
      <c r="K1234" t="s">
        <v>659</v>
      </c>
      <c r="L1234" t="s">
        <v>669</v>
      </c>
      <c r="M1234" s="1" t="s">
        <v>2489</v>
      </c>
      <c r="N1234" t="s">
        <v>2490</v>
      </c>
      <c r="O1234" s="235" t="s">
        <v>2016</v>
      </c>
    </row>
    <row r="1235" spans="1:15">
      <c r="A1235" s="5">
        <v>1234</v>
      </c>
      <c r="B1235" t="str">
        <f t="shared" si="34"/>
        <v>TO</v>
      </c>
      <c r="C1235" t="str">
        <f t="shared" si="33"/>
        <v>KB</v>
      </c>
      <c r="D1235" t="s">
        <v>2400</v>
      </c>
      <c r="E1235" s="5"/>
      <c r="G1235" s="4" t="s">
        <v>2491</v>
      </c>
      <c r="H1235" s="306" t="s">
        <v>1743</v>
      </c>
      <c r="I1235" s="432" t="s">
        <v>2147</v>
      </c>
      <c r="K1235" t="s">
        <v>659</v>
      </c>
      <c r="L1235" t="s">
        <v>669</v>
      </c>
      <c r="M1235" s="1" t="s">
        <v>2492</v>
      </c>
      <c r="O1235" s="4" t="s">
        <v>2493</v>
      </c>
    </row>
    <row r="1236" spans="1:15" ht="31.35" customHeight="1">
      <c r="A1236" s="5">
        <v>1235</v>
      </c>
      <c r="B1236" t="str">
        <f t="shared" si="34"/>
        <v>TO</v>
      </c>
      <c r="C1236" t="str">
        <f t="shared" si="33"/>
        <v>KB</v>
      </c>
      <c r="D1236" t="s">
        <v>2400</v>
      </c>
      <c r="E1236" s="5"/>
      <c r="G1236" s="4" t="s">
        <v>2491</v>
      </c>
      <c r="H1236" s="306" t="s">
        <v>372</v>
      </c>
      <c r="I1236" s="432" t="s">
        <v>2150</v>
      </c>
      <c r="K1236" t="s">
        <v>659</v>
      </c>
      <c r="L1236" t="s">
        <v>669</v>
      </c>
      <c r="M1236" s="1" t="s">
        <v>1083</v>
      </c>
      <c r="O1236" s="4"/>
    </row>
    <row r="1237" spans="1:15" ht="36">
      <c r="A1237" s="5">
        <v>1236</v>
      </c>
      <c r="B1237" t="str">
        <f t="shared" si="34"/>
        <v>TO</v>
      </c>
      <c r="C1237" t="str">
        <f t="shared" si="33"/>
        <v>KB</v>
      </c>
      <c r="D1237" t="s">
        <v>2400</v>
      </c>
      <c r="E1237" s="5"/>
      <c r="G1237" s="4" t="s">
        <v>2491</v>
      </c>
      <c r="H1237" s="306" t="s">
        <v>346</v>
      </c>
      <c r="I1237" s="432" t="s">
        <v>2152</v>
      </c>
      <c r="K1237" t="s">
        <v>659</v>
      </c>
      <c r="L1237" t="s">
        <v>669</v>
      </c>
      <c r="M1237" s="1" t="s">
        <v>1083</v>
      </c>
      <c r="O1237" s="4"/>
    </row>
    <row r="1238" spans="1:15">
      <c r="A1238" s="5">
        <v>1237</v>
      </c>
      <c r="B1238" t="str">
        <f t="shared" si="34"/>
        <v>TO</v>
      </c>
      <c r="C1238" t="str">
        <f t="shared" si="33"/>
        <v>KB</v>
      </c>
      <c r="D1238" t="s">
        <v>2400</v>
      </c>
      <c r="E1238" s="5"/>
      <c r="G1238" s="4" t="s">
        <v>2491</v>
      </c>
      <c r="H1238" s="306" t="s">
        <v>1289</v>
      </c>
      <c r="I1238" s="432" t="s">
        <v>2153</v>
      </c>
      <c r="K1238" t="s">
        <v>659</v>
      </c>
      <c r="L1238" t="s">
        <v>669</v>
      </c>
      <c r="M1238" s="1" t="s">
        <v>1083</v>
      </c>
      <c r="O1238" s="4"/>
    </row>
    <row r="1239" spans="1:15">
      <c r="A1239" s="5">
        <v>1238</v>
      </c>
      <c r="B1239" t="str">
        <f t="shared" si="34"/>
        <v>TO</v>
      </c>
      <c r="C1239" t="str">
        <f t="shared" si="33"/>
        <v>KB</v>
      </c>
      <c r="D1239" t="s">
        <v>2400</v>
      </c>
      <c r="E1239" s="5"/>
      <c r="G1239" s="4" t="s">
        <v>2491</v>
      </c>
      <c r="H1239" s="306" t="s">
        <v>2120</v>
      </c>
      <c r="I1239" s="432" t="s">
        <v>2121</v>
      </c>
      <c r="K1239" t="s">
        <v>659</v>
      </c>
      <c r="L1239" t="s">
        <v>669</v>
      </c>
      <c r="M1239" s="1" t="s">
        <v>1083</v>
      </c>
      <c r="N1239" t="s">
        <v>2494</v>
      </c>
      <c r="O1239" s="4"/>
    </row>
    <row r="1240" spans="1:15">
      <c r="A1240" s="5">
        <v>1239</v>
      </c>
      <c r="B1240" t="str">
        <f t="shared" si="34"/>
        <v>TO</v>
      </c>
      <c r="C1240" t="str">
        <f t="shared" si="33"/>
        <v>KB</v>
      </c>
      <c r="D1240" t="s">
        <v>2400</v>
      </c>
      <c r="E1240" s="5"/>
      <c r="G1240" s="4" t="s">
        <v>2491</v>
      </c>
      <c r="H1240" s="306" t="s">
        <v>2293</v>
      </c>
      <c r="I1240" s="432" t="s">
        <v>2294</v>
      </c>
      <c r="K1240" t="s">
        <v>659</v>
      </c>
      <c r="L1240" t="s">
        <v>669</v>
      </c>
      <c r="M1240" s="1" t="s">
        <v>1083</v>
      </c>
      <c r="O1240" s="4"/>
    </row>
    <row r="1241" spans="1:15">
      <c r="A1241" s="5">
        <v>1240</v>
      </c>
      <c r="B1241" t="str">
        <f t="shared" si="34"/>
        <v>TO</v>
      </c>
      <c r="C1241" t="str">
        <f t="shared" si="33"/>
        <v>KB</v>
      </c>
      <c r="D1241" t="s">
        <v>2400</v>
      </c>
      <c r="E1241" s="5"/>
      <c r="G1241" s="4" t="s">
        <v>2491</v>
      </c>
      <c r="H1241" s="306" t="s">
        <v>2117</v>
      </c>
      <c r="I1241" s="438" t="s">
        <v>2118</v>
      </c>
      <c r="K1241" t="s">
        <v>659</v>
      </c>
      <c r="L1241" t="s">
        <v>669</v>
      </c>
      <c r="M1241" s="1" t="s">
        <v>2495</v>
      </c>
    </row>
    <row r="1242" spans="1:15">
      <c r="A1242" s="5">
        <v>1241</v>
      </c>
      <c r="B1242" t="str">
        <f t="shared" si="34"/>
        <v>TO</v>
      </c>
      <c r="C1242" t="str">
        <f t="shared" si="33"/>
        <v>KB</v>
      </c>
      <c r="D1242" t="s">
        <v>2400</v>
      </c>
      <c r="E1242" s="5"/>
      <c r="G1242" s="4" t="s">
        <v>2496</v>
      </c>
      <c r="H1242" s="306" t="s">
        <v>1757</v>
      </c>
      <c r="I1242" s="432" t="s">
        <v>2446</v>
      </c>
      <c r="K1242" t="s">
        <v>659</v>
      </c>
      <c r="L1242" t="s">
        <v>669</v>
      </c>
      <c r="M1242" s="1" t="s">
        <v>2021</v>
      </c>
      <c r="N1242" t="s">
        <v>2148</v>
      </c>
      <c r="O1242" s="4" t="s">
        <v>2445</v>
      </c>
    </row>
    <row r="1243" spans="1:15">
      <c r="A1243" s="5">
        <v>1242</v>
      </c>
      <c r="B1243" t="str">
        <f t="shared" si="34"/>
        <v>TO</v>
      </c>
      <c r="C1243" t="str">
        <f t="shared" si="33"/>
        <v>KB</v>
      </c>
      <c r="D1243" t="s">
        <v>2400</v>
      </c>
      <c r="E1243" s="5"/>
      <c r="G1243" s="4" t="s">
        <v>2497</v>
      </c>
      <c r="H1243" s="306" t="s">
        <v>2448</v>
      </c>
      <c r="I1243" s="432" t="s">
        <v>2449</v>
      </c>
      <c r="K1243" t="s">
        <v>659</v>
      </c>
      <c r="L1243" t="s">
        <v>669</v>
      </c>
      <c r="M1243" s="1" t="s">
        <v>1083</v>
      </c>
      <c r="N1243" t="s">
        <v>2148</v>
      </c>
      <c r="O1243" s="4" t="s">
        <v>2445</v>
      </c>
    </row>
    <row r="1244" spans="1:15" ht="21.6">
      <c r="A1244" s="5">
        <v>1243</v>
      </c>
      <c r="B1244" t="str">
        <f t="shared" si="34"/>
        <v>TO</v>
      </c>
      <c r="C1244" t="str">
        <f t="shared" si="33"/>
        <v>KB</v>
      </c>
      <c r="D1244" t="s">
        <v>2400</v>
      </c>
      <c r="E1244" s="5"/>
      <c r="G1244" s="4" t="s">
        <v>2496</v>
      </c>
      <c r="H1244" s="313" t="s">
        <v>2498</v>
      </c>
      <c r="I1244" s="432" t="s">
        <v>2499</v>
      </c>
      <c r="J1244" t="s">
        <v>2500</v>
      </c>
      <c r="K1244" t="s">
        <v>1434</v>
      </c>
      <c r="L1244" t="s">
        <v>669</v>
      </c>
      <c r="M1244" s="1" t="s">
        <v>2021</v>
      </c>
    </row>
    <row r="1245" spans="1:15" ht="43.2">
      <c r="A1245" s="5">
        <v>1244</v>
      </c>
      <c r="B1245" t="str">
        <f t="shared" si="34"/>
        <v>TO</v>
      </c>
      <c r="C1245" t="str">
        <f t="shared" si="33"/>
        <v>KB</v>
      </c>
      <c r="D1245" t="s">
        <v>2400</v>
      </c>
      <c r="E1245" s="5"/>
      <c r="G1245" s="4" t="s">
        <v>2496</v>
      </c>
      <c r="H1245" s="313" t="s">
        <v>2501</v>
      </c>
      <c r="I1245" s="432" t="s">
        <v>2502</v>
      </c>
      <c r="K1245" t="s">
        <v>1434</v>
      </c>
      <c r="L1245" t="s">
        <v>669</v>
      </c>
      <c r="M1245" s="1" t="s">
        <v>1083</v>
      </c>
      <c r="N1245" t="s">
        <v>2503</v>
      </c>
    </row>
    <row r="1246" spans="1:15">
      <c r="A1246" s="5">
        <v>1245</v>
      </c>
      <c r="B1246" t="s">
        <v>96</v>
      </c>
      <c r="C1246" t="str">
        <f t="shared" si="33"/>
        <v>KB</v>
      </c>
      <c r="D1246" t="s">
        <v>2400</v>
      </c>
      <c r="E1246" s="5"/>
      <c r="G1246" s="4" t="s">
        <v>2504</v>
      </c>
      <c r="H1246" s="306" t="s">
        <v>381</v>
      </c>
      <c r="I1246" s="432" t="s">
        <v>2505</v>
      </c>
      <c r="K1246" t="s">
        <v>659</v>
      </c>
      <c r="L1246" t="s">
        <v>669</v>
      </c>
      <c r="M1246"/>
    </row>
    <row r="1247" spans="1:15">
      <c r="A1247" s="5">
        <v>1246</v>
      </c>
      <c r="B1247" t="str">
        <f t="shared" ref="B1247:B1270" si="35">MID(G1247,8,2)</f>
        <v>TO</v>
      </c>
      <c r="C1247" t="str">
        <f t="shared" ref="C1247:C1278" si="36">MID(G1247,11,2)</f>
        <v>KB</v>
      </c>
      <c r="D1247" t="s">
        <v>2400</v>
      </c>
      <c r="E1247" s="5"/>
      <c r="G1247" s="4" t="s">
        <v>2506</v>
      </c>
      <c r="H1247" s="306" t="s">
        <v>2507</v>
      </c>
      <c r="I1247" s="432">
        <v>5108</v>
      </c>
      <c r="K1247" t="s">
        <v>659</v>
      </c>
      <c r="L1247" t="s">
        <v>669</v>
      </c>
      <c r="M1247" t="s">
        <v>2508</v>
      </c>
      <c r="N1247" t="s">
        <v>2494</v>
      </c>
    </row>
    <row r="1248" spans="1:15">
      <c r="A1248" s="5">
        <v>1247</v>
      </c>
      <c r="B1248" t="str">
        <f t="shared" si="35"/>
        <v>TO</v>
      </c>
      <c r="C1248" t="str">
        <f t="shared" si="36"/>
        <v>KB</v>
      </c>
      <c r="D1248" t="s">
        <v>2400</v>
      </c>
      <c r="E1248" s="5"/>
      <c r="G1248" s="4" t="s">
        <v>2506</v>
      </c>
      <c r="H1248" s="306" t="s">
        <v>2509</v>
      </c>
      <c r="I1248" s="432">
        <v>5178</v>
      </c>
      <c r="K1248" t="s">
        <v>1434</v>
      </c>
      <c r="L1248" t="s">
        <v>669</v>
      </c>
      <c r="M1248" t="s">
        <v>1083</v>
      </c>
    </row>
    <row r="1249" spans="1:13">
      <c r="A1249" s="5">
        <v>1248</v>
      </c>
      <c r="B1249" t="str">
        <f t="shared" si="35"/>
        <v>TO</v>
      </c>
      <c r="C1249" t="str">
        <f t="shared" si="36"/>
        <v>KB</v>
      </c>
      <c r="D1249" t="s">
        <v>2400</v>
      </c>
      <c r="E1249" s="5"/>
      <c r="G1249" s="4" t="s">
        <v>2506</v>
      </c>
      <c r="H1249" s="306" t="s">
        <v>2510</v>
      </c>
      <c r="I1249" s="432">
        <v>5149</v>
      </c>
      <c r="K1249" t="s">
        <v>1434</v>
      </c>
      <c r="L1249" t="s">
        <v>669</v>
      </c>
      <c r="M1249" t="s">
        <v>1083</v>
      </c>
    </row>
    <row r="1250" spans="1:13">
      <c r="A1250" s="5">
        <v>1249</v>
      </c>
      <c r="B1250" t="str">
        <f t="shared" si="35"/>
        <v>TO</v>
      </c>
      <c r="C1250" t="str">
        <f t="shared" si="36"/>
        <v>KB</v>
      </c>
      <c r="D1250" t="s">
        <v>2400</v>
      </c>
      <c r="E1250" s="5"/>
      <c r="G1250" s="4" t="s">
        <v>2506</v>
      </c>
      <c r="H1250" s="306" t="s">
        <v>2511</v>
      </c>
      <c r="I1250" s="432">
        <v>5148</v>
      </c>
      <c r="K1250" t="s">
        <v>1434</v>
      </c>
      <c r="L1250" t="s">
        <v>669</v>
      </c>
      <c r="M1250" t="s">
        <v>1083</v>
      </c>
    </row>
    <row r="1251" spans="1:13">
      <c r="A1251" s="5">
        <v>1250</v>
      </c>
      <c r="B1251" t="str">
        <f t="shared" si="35"/>
        <v>TO</v>
      </c>
      <c r="C1251" t="str">
        <f t="shared" si="36"/>
        <v>KB</v>
      </c>
      <c r="D1251" t="s">
        <v>2400</v>
      </c>
      <c r="E1251" s="5"/>
      <c r="G1251" s="4" t="s">
        <v>2506</v>
      </c>
      <c r="H1251" s="306" t="s">
        <v>2512</v>
      </c>
      <c r="I1251" s="432">
        <v>5147</v>
      </c>
      <c r="K1251" t="s">
        <v>1434</v>
      </c>
      <c r="L1251" t="s">
        <v>669</v>
      </c>
      <c r="M1251" t="s">
        <v>1083</v>
      </c>
    </row>
    <row r="1252" spans="1:13">
      <c r="A1252" s="5">
        <v>1251</v>
      </c>
      <c r="B1252" t="str">
        <f t="shared" si="35"/>
        <v>TO</v>
      </c>
      <c r="C1252" t="str">
        <f t="shared" si="36"/>
        <v>KB</v>
      </c>
      <c r="D1252" t="s">
        <v>2400</v>
      </c>
      <c r="E1252" s="5"/>
      <c r="G1252" s="4" t="s">
        <v>2513</v>
      </c>
      <c r="H1252" s="306" t="s">
        <v>2514</v>
      </c>
      <c r="I1252" s="432" t="s">
        <v>2515</v>
      </c>
      <c r="K1252" t="s">
        <v>1434</v>
      </c>
      <c r="L1252" t="s">
        <v>669</v>
      </c>
      <c r="M1252" t="s">
        <v>1083</v>
      </c>
    </row>
    <row r="1253" spans="1:13">
      <c r="A1253" s="5">
        <v>1252</v>
      </c>
      <c r="B1253" t="str">
        <f t="shared" si="35"/>
        <v>TO</v>
      </c>
      <c r="C1253" t="str">
        <f t="shared" si="36"/>
        <v>KB</v>
      </c>
      <c r="D1253" t="s">
        <v>2400</v>
      </c>
      <c r="E1253" s="5"/>
      <c r="G1253" s="4" t="s">
        <v>2513</v>
      </c>
      <c r="H1253" s="306" t="s">
        <v>2516</v>
      </c>
      <c r="I1253" s="432" t="s">
        <v>2517</v>
      </c>
      <c r="K1253" t="s">
        <v>1434</v>
      </c>
      <c r="L1253" t="s">
        <v>669</v>
      </c>
      <c r="M1253" t="s">
        <v>1083</v>
      </c>
    </row>
    <row r="1254" spans="1:13">
      <c r="A1254" s="5">
        <v>1253</v>
      </c>
      <c r="B1254" t="str">
        <f t="shared" si="35"/>
        <v>TO</v>
      </c>
      <c r="C1254" t="str">
        <f t="shared" si="36"/>
        <v>KB</v>
      </c>
      <c r="D1254" t="s">
        <v>2400</v>
      </c>
      <c r="E1254" s="5"/>
      <c r="G1254" s="4" t="s">
        <v>2513</v>
      </c>
      <c r="H1254" s="306" t="s">
        <v>2518</v>
      </c>
      <c r="I1254" s="432" t="s">
        <v>2519</v>
      </c>
      <c r="K1254" t="s">
        <v>1434</v>
      </c>
      <c r="L1254" t="s">
        <v>669</v>
      </c>
      <c r="M1254" t="s">
        <v>1083</v>
      </c>
    </row>
    <row r="1255" spans="1:13">
      <c r="A1255" s="5">
        <v>1254</v>
      </c>
      <c r="B1255" t="str">
        <f t="shared" si="35"/>
        <v>TO</v>
      </c>
      <c r="C1255" t="str">
        <f t="shared" si="36"/>
        <v>KB</v>
      </c>
      <c r="D1255" t="s">
        <v>2410</v>
      </c>
      <c r="E1255" s="5"/>
      <c r="G1255" s="4" t="s">
        <v>2520</v>
      </c>
      <c r="H1255" s="306" t="s">
        <v>2521</v>
      </c>
      <c r="I1255" s="432" t="s">
        <v>2522</v>
      </c>
      <c r="K1255" t="s">
        <v>1434</v>
      </c>
      <c r="L1255" t="s">
        <v>669</v>
      </c>
      <c r="M1255" t="s">
        <v>1083</v>
      </c>
    </row>
    <row r="1256" spans="1:13">
      <c r="A1256" s="5">
        <v>1255</v>
      </c>
      <c r="B1256" t="str">
        <f t="shared" si="35"/>
        <v>TO</v>
      </c>
      <c r="C1256" t="str">
        <f t="shared" si="36"/>
        <v>KB</v>
      </c>
      <c r="D1256" t="s">
        <v>2410</v>
      </c>
      <c r="E1256" s="5"/>
      <c r="G1256" s="4" t="s">
        <v>2520</v>
      </c>
      <c r="H1256" s="306" t="s">
        <v>2523</v>
      </c>
      <c r="I1256" s="432" t="s">
        <v>2524</v>
      </c>
      <c r="K1256" t="s">
        <v>1434</v>
      </c>
      <c r="L1256" t="s">
        <v>669</v>
      </c>
      <c r="M1256" t="s">
        <v>1083</v>
      </c>
    </row>
    <row r="1257" spans="1:13">
      <c r="A1257" s="5">
        <v>1256</v>
      </c>
      <c r="B1257" t="str">
        <f t="shared" si="35"/>
        <v>TO</v>
      </c>
      <c r="C1257" t="str">
        <f t="shared" si="36"/>
        <v>KB</v>
      </c>
      <c r="D1257" t="s">
        <v>2410</v>
      </c>
      <c r="E1257" s="5"/>
      <c r="G1257" s="4" t="s">
        <v>2520</v>
      </c>
      <c r="H1257" s="306" t="s">
        <v>2525</v>
      </c>
      <c r="I1257" s="432" t="s">
        <v>2526</v>
      </c>
      <c r="K1257" t="s">
        <v>659</v>
      </c>
      <c r="L1257" t="s">
        <v>669</v>
      </c>
      <c r="M1257" t="s">
        <v>1083</v>
      </c>
    </row>
    <row r="1258" spans="1:13">
      <c r="A1258" s="5">
        <v>1257</v>
      </c>
      <c r="B1258" t="str">
        <f t="shared" si="35"/>
        <v>TO</v>
      </c>
      <c r="C1258" t="str">
        <f t="shared" si="36"/>
        <v>KB</v>
      </c>
      <c r="D1258" t="s">
        <v>2410</v>
      </c>
      <c r="E1258" s="5"/>
      <c r="G1258" s="4" t="s">
        <v>2520</v>
      </c>
      <c r="H1258" s="306" t="s">
        <v>2527</v>
      </c>
      <c r="I1258" s="432" t="s">
        <v>2528</v>
      </c>
      <c r="K1258" t="s">
        <v>1434</v>
      </c>
      <c r="L1258" t="s">
        <v>669</v>
      </c>
      <c r="M1258" t="s">
        <v>1083</v>
      </c>
    </row>
    <row r="1259" spans="1:13">
      <c r="A1259" s="5">
        <v>1258</v>
      </c>
      <c r="B1259" t="str">
        <f t="shared" si="35"/>
        <v>TO</v>
      </c>
      <c r="C1259" t="str">
        <f t="shared" si="36"/>
        <v>KB</v>
      </c>
      <c r="D1259" t="s">
        <v>2410</v>
      </c>
      <c r="E1259" s="5"/>
      <c r="G1259" s="4" t="s">
        <v>2520</v>
      </c>
      <c r="H1259" s="306" t="s">
        <v>2529</v>
      </c>
      <c r="I1259" s="432" t="s">
        <v>2530</v>
      </c>
      <c r="K1259" t="s">
        <v>659</v>
      </c>
      <c r="L1259" t="s">
        <v>669</v>
      </c>
      <c r="M1259" t="s">
        <v>1083</v>
      </c>
    </row>
    <row r="1260" spans="1:13" ht="36">
      <c r="A1260" s="5">
        <v>1259</v>
      </c>
      <c r="B1260" t="str">
        <f t="shared" si="35"/>
        <v>TO</v>
      </c>
      <c r="C1260" t="str">
        <f t="shared" si="36"/>
        <v>KB</v>
      </c>
      <c r="D1260" t="s">
        <v>2410</v>
      </c>
      <c r="E1260" s="5"/>
      <c r="G1260" s="4" t="s">
        <v>2531</v>
      </c>
      <c r="H1260" s="306" t="s">
        <v>2532</v>
      </c>
      <c r="I1260" s="432" t="s">
        <v>2533</v>
      </c>
      <c r="K1260" t="s">
        <v>1434</v>
      </c>
      <c r="L1260" t="s">
        <v>669</v>
      </c>
      <c r="M1260" t="s">
        <v>1083</v>
      </c>
    </row>
    <row r="1261" spans="1:13" ht="36">
      <c r="A1261" s="5">
        <v>1260</v>
      </c>
      <c r="B1261" t="str">
        <f t="shared" si="35"/>
        <v>TO</v>
      </c>
      <c r="C1261" t="str">
        <f t="shared" si="36"/>
        <v>KB</v>
      </c>
      <c r="D1261" t="s">
        <v>2410</v>
      </c>
      <c r="E1261" s="5"/>
      <c r="G1261" s="4" t="s">
        <v>2531</v>
      </c>
      <c r="H1261" s="306" t="s">
        <v>2534</v>
      </c>
      <c r="I1261" s="432" t="s">
        <v>2535</v>
      </c>
      <c r="K1261" t="s">
        <v>1434</v>
      </c>
      <c r="L1261" t="s">
        <v>1999</v>
      </c>
      <c r="M1261" t="s">
        <v>1083</v>
      </c>
    </row>
    <row r="1262" spans="1:13" ht="43.2">
      <c r="A1262" s="5">
        <v>1261</v>
      </c>
      <c r="B1262" t="str">
        <f t="shared" si="35"/>
        <v>TO</v>
      </c>
      <c r="C1262" t="str">
        <f t="shared" si="36"/>
        <v>KB</v>
      </c>
      <c r="D1262" t="s">
        <v>2410</v>
      </c>
      <c r="E1262" s="5"/>
      <c r="G1262" s="4" t="s">
        <v>2531</v>
      </c>
      <c r="H1262" s="313" t="s">
        <v>2536</v>
      </c>
      <c r="I1262" s="432" t="s">
        <v>2537</v>
      </c>
      <c r="K1262" t="s">
        <v>659</v>
      </c>
      <c r="L1262" t="s">
        <v>1999</v>
      </c>
      <c r="M1262" t="s">
        <v>1083</v>
      </c>
    </row>
    <row r="1263" spans="1:13" ht="43.2">
      <c r="A1263" s="5">
        <v>1262</v>
      </c>
      <c r="B1263" t="str">
        <f t="shared" si="35"/>
        <v>TO</v>
      </c>
      <c r="C1263" t="str">
        <f t="shared" si="36"/>
        <v>KB</v>
      </c>
      <c r="D1263" t="s">
        <v>2410</v>
      </c>
      <c r="E1263" s="5"/>
      <c r="G1263" s="4" t="s">
        <v>2531</v>
      </c>
      <c r="H1263" s="313" t="s">
        <v>2538</v>
      </c>
      <c r="I1263" s="432" t="s">
        <v>2539</v>
      </c>
      <c r="K1263" t="s">
        <v>659</v>
      </c>
      <c r="L1263" t="s">
        <v>1999</v>
      </c>
      <c r="M1263" t="s">
        <v>1083</v>
      </c>
    </row>
    <row r="1264" spans="1:13" ht="43.2">
      <c r="A1264" s="5">
        <v>1263</v>
      </c>
      <c r="B1264" t="str">
        <f t="shared" si="35"/>
        <v>TO</v>
      </c>
      <c r="C1264" t="str">
        <f t="shared" si="36"/>
        <v>KB</v>
      </c>
      <c r="D1264" t="s">
        <v>2410</v>
      </c>
      <c r="E1264" s="5"/>
      <c r="G1264" s="4" t="s">
        <v>2531</v>
      </c>
      <c r="H1264" s="313" t="s">
        <v>2540</v>
      </c>
      <c r="I1264" s="432" t="s">
        <v>2541</v>
      </c>
      <c r="K1264" t="s">
        <v>659</v>
      </c>
      <c r="L1264" t="s">
        <v>1999</v>
      </c>
      <c r="M1264" t="s">
        <v>1083</v>
      </c>
    </row>
    <row r="1265" spans="1:15" ht="43.2">
      <c r="A1265" s="5">
        <v>1264</v>
      </c>
      <c r="B1265" t="str">
        <f t="shared" si="35"/>
        <v>TO</v>
      </c>
      <c r="C1265" t="str">
        <f t="shared" si="36"/>
        <v>KB</v>
      </c>
      <c r="D1265" t="s">
        <v>2410</v>
      </c>
      <c r="E1265" s="5"/>
      <c r="G1265" s="4" t="s">
        <v>2542</v>
      </c>
      <c r="H1265" s="313" t="s">
        <v>2543</v>
      </c>
      <c r="I1265" s="432" t="s">
        <v>2544</v>
      </c>
      <c r="K1265" t="s">
        <v>659</v>
      </c>
      <c r="L1265" t="s">
        <v>1999</v>
      </c>
      <c r="M1265" t="s">
        <v>1083</v>
      </c>
    </row>
    <row r="1266" spans="1:15" ht="43.2">
      <c r="A1266" s="5">
        <v>1265</v>
      </c>
      <c r="B1266" t="str">
        <f t="shared" si="35"/>
        <v>TO</v>
      </c>
      <c r="C1266" t="str">
        <f t="shared" si="36"/>
        <v>KB</v>
      </c>
      <c r="D1266" t="s">
        <v>2410</v>
      </c>
      <c r="E1266" s="5"/>
      <c r="G1266" s="4" t="s">
        <v>2542</v>
      </c>
      <c r="H1266" s="313" t="s">
        <v>2545</v>
      </c>
      <c r="I1266" s="432" t="s">
        <v>2546</v>
      </c>
      <c r="K1266" t="s">
        <v>659</v>
      </c>
      <c r="L1266" t="s">
        <v>1999</v>
      </c>
      <c r="M1266" t="s">
        <v>1083</v>
      </c>
    </row>
    <row r="1267" spans="1:15" ht="43.2">
      <c r="A1267" s="5">
        <v>1266</v>
      </c>
      <c r="B1267" t="str">
        <f t="shared" si="35"/>
        <v>TO</v>
      </c>
      <c r="C1267" t="str">
        <f t="shared" si="36"/>
        <v>KB</v>
      </c>
      <c r="D1267" t="s">
        <v>2410</v>
      </c>
      <c r="E1267" s="5"/>
      <c r="G1267" s="4" t="s">
        <v>2542</v>
      </c>
      <c r="H1267" s="313" t="s">
        <v>2547</v>
      </c>
      <c r="I1267" s="432" t="s">
        <v>2548</v>
      </c>
      <c r="K1267" t="s">
        <v>659</v>
      </c>
      <c r="L1267" t="s">
        <v>1999</v>
      </c>
      <c r="M1267" t="s">
        <v>1083</v>
      </c>
    </row>
    <row r="1268" spans="1:15" ht="43.2">
      <c r="A1268" s="5">
        <v>1267</v>
      </c>
      <c r="B1268" t="str">
        <f t="shared" si="35"/>
        <v>TO</v>
      </c>
      <c r="C1268" t="str">
        <f t="shared" si="36"/>
        <v>KB</v>
      </c>
      <c r="D1268" t="s">
        <v>2410</v>
      </c>
      <c r="E1268" s="5"/>
      <c r="G1268" s="4" t="s">
        <v>2542</v>
      </c>
      <c r="H1268" s="313" t="s">
        <v>1486</v>
      </c>
      <c r="I1268" s="432" t="s">
        <v>2549</v>
      </c>
      <c r="K1268" t="s">
        <v>659</v>
      </c>
      <c r="L1268" t="s">
        <v>1999</v>
      </c>
      <c r="M1268" t="s">
        <v>1083</v>
      </c>
    </row>
    <row r="1269" spans="1:15">
      <c r="A1269" s="5">
        <v>1268</v>
      </c>
      <c r="B1269" t="str">
        <f t="shared" si="35"/>
        <v>TO</v>
      </c>
      <c r="C1269" t="str">
        <f t="shared" si="36"/>
        <v>KB</v>
      </c>
      <c r="D1269" t="s">
        <v>2410</v>
      </c>
      <c r="E1269" s="5"/>
      <c r="G1269" s="4" t="s">
        <v>2542</v>
      </c>
      <c r="H1269" s="306" t="s">
        <v>2550</v>
      </c>
      <c r="I1269" s="432" t="s">
        <v>2551</v>
      </c>
      <c r="K1269" t="s">
        <v>659</v>
      </c>
      <c r="L1269" t="s">
        <v>1999</v>
      </c>
      <c r="M1269" t="s">
        <v>1083</v>
      </c>
    </row>
    <row r="1270" spans="1:15" ht="36">
      <c r="A1270" s="5">
        <v>1269</v>
      </c>
      <c r="B1270" t="str">
        <f t="shared" si="35"/>
        <v>TO</v>
      </c>
      <c r="C1270" t="str">
        <f t="shared" si="36"/>
        <v>KB</v>
      </c>
      <c r="D1270" t="s">
        <v>2410</v>
      </c>
      <c r="E1270" s="5"/>
      <c r="G1270" s="4" t="s">
        <v>2552</v>
      </c>
      <c r="H1270" s="306" t="s">
        <v>1065</v>
      </c>
      <c r="I1270" s="432" t="s">
        <v>2553</v>
      </c>
      <c r="K1270" t="s">
        <v>659</v>
      </c>
      <c r="L1270" t="s">
        <v>669</v>
      </c>
      <c r="M1270" t="s">
        <v>1083</v>
      </c>
    </row>
    <row r="1271" spans="1:15">
      <c r="A1271" s="5">
        <v>1270</v>
      </c>
      <c r="B1271" t="s">
        <v>1906</v>
      </c>
      <c r="C1271" t="str">
        <f t="shared" si="36"/>
        <v>KB</v>
      </c>
      <c r="D1271" t="s">
        <v>2410</v>
      </c>
      <c r="E1271" s="5"/>
      <c r="G1271" s="4" t="s">
        <v>2552</v>
      </c>
      <c r="H1271" s="306" t="s">
        <v>2554</v>
      </c>
      <c r="I1271" s="432" t="s">
        <v>2555</v>
      </c>
      <c r="K1271" t="s">
        <v>659</v>
      </c>
      <c r="L1271" t="s">
        <v>2392</v>
      </c>
      <c r="M1271" t="s">
        <v>2492</v>
      </c>
      <c r="N1271" t="s">
        <v>2006</v>
      </c>
    </row>
    <row r="1272" spans="1:15" ht="43.2">
      <c r="A1272" s="5">
        <v>1271</v>
      </c>
      <c r="B1272" t="str">
        <f>MID(G1272,8,2)</f>
        <v>TO</v>
      </c>
      <c r="C1272" t="str">
        <f t="shared" si="36"/>
        <v>KB</v>
      </c>
      <c r="D1272" t="s">
        <v>2410</v>
      </c>
      <c r="E1272" s="5"/>
      <c r="G1272" s="4" t="s">
        <v>2552</v>
      </c>
      <c r="H1272" s="313" t="s">
        <v>2556</v>
      </c>
      <c r="I1272" s="432" t="s">
        <v>2557</v>
      </c>
      <c r="K1272" t="s">
        <v>1434</v>
      </c>
      <c r="L1272" t="s">
        <v>669</v>
      </c>
      <c r="M1272" t="s">
        <v>1083</v>
      </c>
    </row>
    <row r="1273" spans="1:15">
      <c r="A1273" s="5">
        <v>1272</v>
      </c>
      <c r="B1273" t="s">
        <v>1906</v>
      </c>
      <c r="C1273" t="str">
        <f t="shared" si="36"/>
        <v>KB</v>
      </c>
      <c r="D1273" t="s">
        <v>2558</v>
      </c>
      <c r="E1273" s="5"/>
      <c r="G1273" s="4" t="s">
        <v>2559</v>
      </c>
      <c r="H1273" s="306" t="s">
        <v>1623</v>
      </c>
      <c r="I1273" s="432" t="s">
        <v>2560</v>
      </c>
      <c r="K1273" t="s">
        <v>659</v>
      </c>
      <c r="L1273" t="s">
        <v>669</v>
      </c>
      <c r="M1273" t="s">
        <v>1083</v>
      </c>
      <c r="N1273" t="s">
        <v>2561</v>
      </c>
      <c r="O1273" t="s">
        <v>2071</v>
      </c>
    </row>
    <row r="1274" spans="1:15">
      <c r="A1274" s="5">
        <v>1273</v>
      </c>
      <c r="B1274" t="s">
        <v>1906</v>
      </c>
      <c r="C1274" t="str">
        <f t="shared" si="36"/>
        <v>KB</v>
      </c>
      <c r="D1274" t="s">
        <v>2562</v>
      </c>
      <c r="E1274" s="5"/>
      <c r="G1274" s="4" t="s">
        <v>2559</v>
      </c>
      <c r="H1274" s="306" t="s">
        <v>2563</v>
      </c>
      <c r="I1274" s="432" t="s">
        <v>2564</v>
      </c>
      <c r="K1274" t="s">
        <v>659</v>
      </c>
      <c r="L1274" t="s">
        <v>669</v>
      </c>
      <c r="M1274" t="s">
        <v>1083</v>
      </c>
    </row>
    <row r="1275" spans="1:15">
      <c r="A1275" s="5">
        <v>1274</v>
      </c>
      <c r="B1275" t="s">
        <v>1906</v>
      </c>
      <c r="C1275" t="str">
        <f t="shared" ref="C1275" si="37">MID(G1275,11,2)</f>
        <v>KB</v>
      </c>
      <c r="D1275" t="s">
        <v>2562</v>
      </c>
      <c r="E1275" s="5"/>
      <c r="G1275" s="4" t="s">
        <v>2559</v>
      </c>
      <c r="H1275" s="306" t="s">
        <v>2565</v>
      </c>
      <c r="I1275" s="432" t="s">
        <v>2566</v>
      </c>
      <c r="K1275" t="s">
        <v>659</v>
      </c>
      <c r="L1275" t="s">
        <v>669</v>
      </c>
      <c r="M1275" t="s">
        <v>1083</v>
      </c>
    </row>
    <row r="1276" spans="1:15">
      <c r="A1276" s="5">
        <v>1275</v>
      </c>
      <c r="B1276" t="s">
        <v>96</v>
      </c>
      <c r="C1276" t="str">
        <f t="shared" si="36"/>
        <v>KB</v>
      </c>
      <c r="D1276" t="s">
        <v>2558</v>
      </c>
      <c r="E1276" s="5"/>
      <c r="G1276" s="4" t="s">
        <v>2567</v>
      </c>
      <c r="H1276" s="306" t="s">
        <v>475</v>
      </c>
      <c r="I1276" s="432" t="s">
        <v>2568</v>
      </c>
      <c r="K1276" t="s">
        <v>659</v>
      </c>
      <c r="L1276" t="s">
        <v>669</v>
      </c>
      <c r="M1276" t="s">
        <v>1083</v>
      </c>
      <c r="N1276" t="s">
        <v>2569</v>
      </c>
    </row>
    <row r="1277" spans="1:15">
      <c r="A1277" s="5">
        <v>1276</v>
      </c>
      <c r="B1277" t="s">
        <v>1906</v>
      </c>
      <c r="C1277" t="str">
        <f t="shared" si="36"/>
        <v>KB</v>
      </c>
      <c r="D1277" t="s">
        <v>2410</v>
      </c>
      <c r="E1277" s="5"/>
      <c r="G1277" s="4" t="s">
        <v>2570</v>
      </c>
      <c r="H1277" s="306" t="s">
        <v>2571</v>
      </c>
      <c r="I1277" s="432" t="s">
        <v>2572</v>
      </c>
      <c r="K1277" t="s">
        <v>659</v>
      </c>
      <c r="L1277" t="s">
        <v>669</v>
      </c>
      <c r="M1277" t="s">
        <v>1083</v>
      </c>
    </row>
    <row r="1278" spans="1:15">
      <c r="A1278" s="5">
        <v>1277</v>
      </c>
      <c r="B1278" t="s">
        <v>1906</v>
      </c>
      <c r="C1278" t="str">
        <f t="shared" si="36"/>
        <v>KB</v>
      </c>
      <c r="D1278" t="s">
        <v>2410</v>
      </c>
      <c r="E1278" s="5"/>
      <c r="G1278" s="4" t="s">
        <v>2570</v>
      </c>
      <c r="H1278" s="306" t="s">
        <v>2573</v>
      </c>
      <c r="I1278" s="432" t="s">
        <v>2574</v>
      </c>
      <c r="K1278" t="s">
        <v>1434</v>
      </c>
      <c r="L1278" t="s">
        <v>669</v>
      </c>
      <c r="M1278" t="s">
        <v>1083</v>
      </c>
    </row>
    <row r="1279" spans="1:15">
      <c r="A1279" s="5">
        <v>1278</v>
      </c>
      <c r="B1279" t="s">
        <v>1906</v>
      </c>
      <c r="C1279" t="str">
        <f t="shared" ref="C1279:C1310" si="38">MID(G1279,11,2)</f>
        <v>KB</v>
      </c>
      <c r="D1279" t="s">
        <v>2410</v>
      </c>
      <c r="E1279" s="5"/>
      <c r="G1279" s="4" t="s">
        <v>2570</v>
      </c>
      <c r="H1279" s="306" t="s">
        <v>2575</v>
      </c>
      <c r="I1279" s="432" t="s">
        <v>2576</v>
      </c>
      <c r="K1279" t="s">
        <v>1434</v>
      </c>
      <c r="L1279" t="s">
        <v>669</v>
      </c>
      <c r="M1279" t="s">
        <v>1083</v>
      </c>
    </row>
    <row r="1280" spans="1:15">
      <c r="A1280" s="5">
        <v>1279</v>
      </c>
      <c r="B1280" t="s">
        <v>1906</v>
      </c>
      <c r="C1280" t="str">
        <f t="shared" si="38"/>
        <v>KB</v>
      </c>
      <c r="D1280" t="s">
        <v>2410</v>
      </c>
      <c r="E1280" s="5"/>
      <c r="G1280" s="4" t="s">
        <v>2570</v>
      </c>
      <c r="H1280" s="306" t="s">
        <v>2577</v>
      </c>
      <c r="I1280" s="432" t="s">
        <v>2578</v>
      </c>
      <c r="K1280" t="s">
        <v>659</v>
      </c>
      <c r="L1280" t="s">
        <v>669</v>
      </c>
      <c r="M1280" t="s">
        <v>1083</v>
      </c>
    </row>
    <row r="1281" spans="1:15">
      <c r="A1281" s="5">
        <v>1280</v>
      </c>
      <c r="B1281" t="s">
        <v>1906</v>
      </c>
      <c r="C1281" t="str">
        <f t="shared" si="38"/>
        <v>KB</v>
      </c>
      <c r="D1281" t="s">
        <v>2410</v>
      </c>
      <c r="E1281" s="5"/>
      <c r="G1281" s="4" t="s">
        <v>2570</v>
      </c>
      <c r="H1281" s="306" t="s">
        <v>2579</v>
      </c>
      <c r="I1281" s="432" t="s">
        <v>2580</v>
      </c>
      <c r="K1281" t="s">
        <v>1434</v>
      </c>
      <c r="L1281" t="s">
        <v>669</v>
      </c>
      <c r="M1281" t="s">
        <v>1083</v>
      </c>
    </row>
    <row r="1282" spans="1:15">
      <c r="A1282" s="5">
        <v>1281</v>
      </c>
      <c r="B1282" t="s">
        <v>1906</v>
      </c>
      <c r="C1282" t="str">
        <f t="shared" si="38"/>
        <v>KB</v>
      </c>
      <c r="D1282" t="s">
        <v>2558</v>
      </c>
      <c r="E1282" s="5"/>
      <c r="G1282" s="4" t="s">
        <v>2559</v>
      </c>
      <c r="H1282" s="306" t="s">
        <v>1621</v>
      </c>
      <c r="I1282" s="432" t="s">
        <v>2581</v>
      </c>
      <c r="K1282" t="s">
        <v>659</v>
      </c>
      <c r="L1282" t="s">
        <v>669</v>
      </c>
      <c r="M1282" s="1" t="s">
        <v>2043</v>
      </c>
      <c r="O1282" t="s">
        <v>2071</v>
      </c>
    </row>
    <row r="1283" spans="1:15">
      <c r="A1283" s="5">
        <v>1282</v>
      </c>
      <c r="B1283" t="s">
        <v>1906</v>
      </c>
      <c r="C1283" t="str">
        <f t="shared" si="38"/>
        <v>KB</v>
      </c>
      <c r="D1283" t="s">
        <v>2558</v>
      </c>
      <c r="E1283" s="5"/>
      <c r="G1283" s="4" t="s">
        <v>2559</v>
      </c>
      <c r="H1283" s="306" t="s">
        <v>2582</v>
      </c>
      <c r="I1283" s="432" t="s">
        <v>2583</v>
      </c>
      <c r="K1283" t="s">
        <v>659</v>
      </c>
      <c r="L1283" t="s">
        <v>669</v>
      </c>
      <c r="M1283" s="1" t="s">
        <v>2043</v>
      </c>
      <c r="O1283" t="s">
        <v>2071</v>
      </c>
    </row>
    <row r="1284" spans="1:15">
      <c r="A1284" s="5">
        <v>1283</v>
      </c>
      <c r="B1284" t="s">
        <v>1906</v>
      </c>
      <c r="C1284" t="str">
        <f t="shared" si="38"/>
        <v>KB</v>
      </c>
      <c r="D1284" t="s">
        <v>2410</v>
      </c>
      <c r="E1284" s="5"/>
      <c r="G1284" s="4" t="s">
        <v>2584</v>
      </c>
      <c r="H1284" s="306" t="s">
        <v>2585</v>
      </c>
      <c r="I1284" s="432" t="s">
        <v>2586</v>
      </c>
      <c r="K1284" t="s">
        <v>1434</v>
      </c>
      <c r="L1284" t="s">
        <v>669</v>
      </c>
      <c r="M1284" t="s">
        <v>1083</v>
      </c>
    </row>
    <row r="1285" spans="1:15">
      <c r="A1285" s="5">
        <v>1284</v>
      </c>
      <c r="B1285" t="s">
        <v>1906</v>
      </c>
      <c r="C1285" t="str">
        <f t="shared" si="38"/>
        <v>KB</v>
      </c>
      <c r="D1285" t="s">
        <v>2410</v>
      </c>
      <c r="E1285" s="5"/>
      <c r="G1285" s="4" t="s">
        <v>2587</v>
      </c>
      <c r="H1285" s="306" t="s">
        <v>2588</v>
      </c>
      <c r="I1285" s="432" t="s">
        <v>2589</v>
      </c>
      <c r="K1285" t="s">
        <v>659</v>
      </c>
      <c r="L1285" t="s">
        <v>669</v>
      </c>
      <c r="M1285" t="s">
        <v>1083</v>
      </c>
    </row>
    <row r="1286" spans="1:15" ht="36">
      <c r="A1286" s="5">
        <v>1285</v>
      </c>
      <c r="B1286" t="s">
        <v>1906</v>
      </c>
      <c r="C1286" t="str">
        <f t="shared" si="38"/>
        <v>KB</v>
      </c>
      <c r="D1286" t="s">
        <v>2410</v>
      </c>
      <c r="E1286" s="5"/>
      <c r="G1286" s="4" t="s">
        <v>2587</v>
      </c>
      <c r="H1286" s="306" t="s">
        <v>2590</v>
      </c>
      <c r="I1286" s="432" t="s">
        <v>2591</v>
      </c>
      <c r="K1286" t="s">
        <v>1434</v>
      </c>
      <c r="L1286" t="s">
        <v>669</v>
      </c>
      <c r="M1286" t="s">
        <v>1083</v>
      </c>
    </row>
    <row r="1287" spans="1:15">
      <c r="A1287" s="5">
        <v>1286</v>
      </c>
      <c r="B1287" t="s">
        <v>1906</v>
      </c>
      <c r="C1287" t="str">
        <f t="shared" si="38"/>
        <v>KB</v>
      </c>
      <c r="D1287" t="s">
        <v>2410</v>
      </c>
      <c r="E1287" s="5"/>
      <c r="G1287" s="4" t="s">
        <v>2587</v>
      </c>
      <c r="H1287" s="306" t="s">
        <v>1984</v>
      </c>
      <c r="I1287" s="432" t="s">
        <v>2592</v>
      </c>
      <c r="K1287" t="s">
        <v>659</v>
      </c>
      <c r="L1287" t="s">
        <v>669</v>
      </c>
      <c r="M1287" t="s">
        <v>1083</v>
      </c>
    </row>
    <row r="1288" spans="1:15" ht="36">
      <c r="A1288" s="5">
        <v>1287</v>
      </c>
      <c r="B1288" t="s">
        <v>1906</v>
      </c>
      <c r="C1288" t="str">
        <f t="shared" si="38"/>
        <v>KB</v>
      </c>
      <c r="D1288" t="s">
        <v>2410</v>
      </c>
      <c r="E1288" s="5"/>
      <c r="G1288" s="4" t="s">
        <v>2587</v>
      </c>
      <c r="H1288" s="306" t="s">
        <v>2593</v>
      </c>
      <c r="I1288" s="432" t="s">
        <v>2594</v>
      </c>
      <c r="K1288" t="s">
        <v>1434</v>
      </c>
      <c r="L1288" t="s">
        <v>669</v>
      </c>
      <c r="M1288" t="s">
        <v>1083</v>
      </c>
    </row>
    <row r="1289" spans="1:15">
      <c r="A1289" s="5">
        <v>1288</v>
      </c>
      <c r="B1289" t="s">
        <v>1906</v>
      </c>
      <c r="C1289" t="str">
        <f t="shared" si="38"/>
        <v>KB</v>
      </c>
      <c r="D1289" t="s">
        <v>2410</v>
      </c>
      <c r="E1289" s="5"/>
      <c r="G1289" s="4" t="s">
        <v>2595</v>
      </c>
      <c r="H1289" s="306" t="s">
        <v>2596</v>
      </c>
      <c r="I1289" s="432" t="s">
        <v>2597</v>
      </c>
      <c r="K1289" t="s">
        <v>659</v>
      </c>
      <c r="L1289" t="s">
        <v>669</v>
      </c>
      <c r="M1289" t="s">
        <v>1083</v>
      </c>
    </row>
    <row r="1290" spans="1:15">
      <c r="A1290" s="5">
        <v>1289</v>
      </c>
      <c r="B1290" t="s">
        <v>1906</v>
      </c>
      <c r="C1290" t="str">
        <f t="shared" si="38"/>
        <v>KB</v>
      </c>
      <c r="D1290" t="s">
        <v>2410</v>
      </c>
      <c r="E1290" s="5"/>
      <c r="G1290" s="4" t="s">
        <v>2595</v>
      </c>
      <c r="H1290" s="306" t="s">
        <v>2598</v>
      </c>
      <c r="I1290" s="432" t="s">
        <v>2599</v>
      </c>
      <c r="K1290" t="s">
        <v>659</v>
      </c>
      <c r="L1290" t="s">
        <v>669</v>
      </c>
      <c r="M1290" t="s">
        <v>1083</v>
      </c>
    </row>
    <row r="1291" spans="1:15">
      <c r="A1291" s="5">
        <v>1290</v>
      </c>
      <c r="B1291" t="s">
        <v>1906</v>
      </c>
      <c r="C1291" t="str">
        <f t="shared" si="38"/>
        <v>KB</v>
      </c>
      <c r="D1291" t="s">
        <v>2410</v>
      </c>
      <c r="E1291" s="5"/>
      <c r="G1291" s="4" t="s">
        <v>2595</v>
      </c>
      <c r="H1291" s="306" t="s">
        <v>2600</v>
      </c>
      <c r="I1291" s="432" t="s">
        <v>2601</v>
      </c>
      <c r="K1291" t="s">
        <v>659</v>
      </c>
      <c r="L1291" t="s">
        <v>669</v>
      </c>
      <c r="M1291" t="s">
        <v>1083</v>
      </c>
    </row>
    <row r="1292" spans="1:15">
      <c r="A1292" s="5">
        <v>1291</v>
      </c>
      <c r="B1292" t="s">
        <v>1906</v>
      </c>
      <c r="C1292" t="str">
        <f t="shared" si="38"/>
        <v>KB</v>
      </c>
      <c r="D1292" t="s">
        <v>2410</v>
      </c>
      <c r="E1292" s="5"/>
      <c r="G1292" s="4" t="s">
        <v>2595</v>
      </c>
      <c r="H1292" s="306" t="s">
        <v>2602</v>
      </c>
      <c r="I1292" s="432" t="s">
        <v>2603</v>
      </c>
      <c r="K1292" t="s">
        <v>659</v>
      </c>
      <c r="L1292" t="s">
        <v>669</v>
      </c>
      <c r="M1292" t="s">
        <v>1083</v>
      </c>
    </row>
    <row r="1293" spans="1:15">
      <c r="A1293" s="5">
        <v>1292</v>
      </c>
      <c r="B1293" t="s">
        <v>1906</v>
      </c>
      <c r="C1293" t="str">
        <f t="shared" si="38"/>
        <v>KB</v>
      </c>
      <c r="D1293" t="s">
        <v>2410</v>
      </c>
      <c r="E1293" s="5"/>
      <c r="G1293" s="4" t="s">
        <v>2604</v>
      </c>
      <c r="H1293" s="317" t="s">
        <v>273</v>
      </c>
      <c r="I1293" s="432" t="s">
        <v>2605</v>
      </c>
      <c r="K1293" t="s">
        <v>659</v>
      </c>
      <c r="L1293" t="s">
        <v>669</v>
      </c>
      <c r="M1293" t="s">
        <v>1083</v>
      </c>
    </row>
    <row r="1294" spans="1:15" ht="21.6">
      <c r="A1294" s="5">
        <v>1293</v>
      </c>
      <c r="B1294" t="s">
        <v>1906</v>
      </c>
      <c r="C1294" t="str">
        <f t="shared" si="38"/>
        <v>KB</v>
      </c>
      <c r="D1294" t="s">
        <v>2410</v>
      </c>
      <c r="E1294" s="5"/>
      <c r="G1294" s="4" t="s">
        <v>2604</v>
      </c>
      <c r="H1294" s="313" t="s">
        <v>2606</v>
      </c>
      <c r="I1294" s="432" t="s">
        <v>2607</v>
      </c>
      <c r="K1294" t="s">
        <v>659</v>
      </c>
      <c r="L1294" t="s">
        <v>669</v>
      </c>
      <c r="M1294" t="s">
        <v>1083</v>
      </c>
    </row>
    <row r="1295" spans="1:15" ht="36">
      <c r="A1295" s="5">
        <v>1294</v>
      </c>
      <c r="B1295" t="s">
        <v>1906</v>
      </c>
      <c r="C1295" t="str">
        <f t="shared" si="38"/>
        <v>KB</v>
      </c>
      <c r="D1295" t="s">
        <v>2410</v>
      </c>
      <c r="E1295" s="5"/>
      <c r="G1295" s="4" t="s">
        <v>2608</v>
      </c>
      <c r="H1295" s="317" t="s">
        <v>2037</v>
      </c>
      <c r="I1295" s="432" t="s">
        <v>2609</v>
      </c>
      <c r="K1295" t="s">
        <v>659</v>
      </c>
      <c r="L1295" t="s">
        <v>669</v>
      </c>
      <c r="M1295" t="s">
        <v>1083</v>
      </c>
    </row>
    <row r="1296" spans="1:15" ht="36">
      <c r="A1296" s="5">
        <v>1295</v>
      </c>
      <c r="B1296" t="s">
        <v>1906</v>
      </c>
      <c r="C1296" t="str">
        <f t="shared" si="38"/>
        <v>KB</v>
      </c>
      <c r="D1296" t="s">
        <v>2410</v>
      </c>
      <c r="E1296" s="5"/>
      <c r="G1296" s="4" t="s">
        <v>2608</v>
      </c>
      <c r="H1296" s="317" t="s">
        <v>2039</v>
      </c>
      <c r="I1296" s="432" t="s">
        <v>2610</v>
      </c>
      <c r="K1296" t="s">
        <v>659</v>
      </c>
      <c r="L1296" t="s">
        <v>669</v>
      </c>
      <c r="M1296" t="s">
        <v>1083</v>
      </c>
    </row>
    <row r="1297" spans="1:15" ht="36">
      <c r="A1297" s="5">
        <v>1296</v>
      </c>
      <c r="B1297" t="s">
        <v>1906</v>
      </c>
      <c r="C1297" t="str">
        <f t="shared" si="38"/>
        <v>KB</v>
      </c>
      <c r="D1297" t="s">
        <v>2410</v>
      </c>
      <c r="E1297" s="5"/>
      <c r="G1297" s="4" t="s">
        <v>2608</v>
      </c>
      <c r="H1297" s="317" t="s">
        <v>5764</v>
      </c>
      <c r="I1297" s="432" t="s">
        <v>2611</v>
      </c>
      <c r="K1297" t="s">
        <v>659</v>
      </c>
      <c r="L1297" t="s">
        <v>669</v>
      </c>
      <c r="M1297" t="s">
        <v>2021</v>
      </c>
    </row>
    <row r="1298" spans="1:15" ht="36">
      <c r="A1298" s="5">
        <v>1297</v>
      </c>
      <c r="B1298" t="s">
        <v>1906</v>
      </c>
      <c r="C1298" t="str">
        <f t="shared" si="38"/>
        <v>KB</v>
      </c>
      <c r="D1298" t="s">
        <v>2410</v>
      </c>
      <c r="E1298" s="5"/>
      <c r="G1298" s="4" t="s">
        <v>2608</v>
      </c>
      <c r="H1298" s="317" t="s">
        <v>1755</v>
      </c>
      <c r="I1298" s="432" t="s">
        <v>2413</v>
      </c>
      <c r="K1298" t="s">
        <v>659</v>
      </c>
      <c r="L1298" t="s">
        <v>669</v>
      </c>
      <c r="M1298" t="s">
        <v>1083</v>
      </c>
      <c r="O1298" s="235" t="s">
        <v>2036</v>
      </c>
    </row>
    <row r="1299" spans="1:15" ht="36">
      <c r="A1299" s="5">
        <v>1298</v>
      </c>
      <c r="B1299" t="s">
        <v>1906</v>
      </c>
      <c r="C1299" t="str">
        <f t="shared" si="38"/>
        <v>KB</v>
      </c>
      <c r="D1299" t="s">
        <v>2410</v>
      </c>
      <c r="E1299" s="5"/>
      <c r="G1299" s="4" t="s">
        <v>2608</v>
      </c>
      <c r="H1299" s="317" t="s">
        <v>2040</v>
      </c>
      <c r="I1299" s="432" t="s">
        <v>2612</v>
      </c>
      <c r="K1299" t="s">
        <v>659</v>
      </c>
      <c r="L1299" t="s">
        <v>669</v>
      </c>
      <c r="M1299" t="s">
        <v>1083</v>
      </c>
    </row>
    <row r="1300" spans="1:15">
      <c r="A1300" s="5">
        <v>1299</v>
      </c>
      <c r="B1300" t="s">
        <v>96</v>
      </c>
      <c r="C1300" t="str">
        <f t="shared" si="38"/>
        <v>KB</v>
      </c>
      <c r="D1300" t="s">
        <v>2410</v>
      </c>
      <c r="E1300" s="5"/>
      <c r="G1300" s="4" t="s">
        <v>2613</v>
      </c>
      <c r="H1300" s="306" t="s">
        <v>2614</v>
      </c>
      <c r="I1300" s="432" t="s">
        <v>2488</v>
      </c>
      <c r="K1300" t="s">
        <v>659</v>
      </c>
      <c r="L1300" t="s">
        <v>669</v>
      </c>
      <c r="M1300" t="s">
        <v>2021</v>
      </c>
    </row>
    <row r="1301" spans="1:15" ht="36">
      <c r="A1301" s="5">
        <v>1300</v>
      </c>
      <c r="B1301" t="str">
        <f t="shared" ref="B1301:B1332" si="39">MID(G1301,8,2)</f>
        <v>TO</v>
      </c>
      <c r="C1301" t="str">
        <f t="shared" si="38"/>
        <v>PP</v>
      </c>
      <c r="D1301" t="s">
        <v>2410</v>
      </c>
      <c r="E1301" s="5"/>
      <c r="G1301" s="4" t="s">
        <v>2615</v>
      </c>
      <c r="H1301" s="306" t="s">
        <v>2616</v>
      </c>
      <c r="L1301" t="s">
        <v>669</v>
      </c>
      <c r="M1301"/>
    </row>
    <row r="1302" spans="1:15" ht="36">
      <c r="A1302" s="5">
        <v>1301</v>
      </c>
      <c r="B1302" t="str">
        <f t="shared" si="39"/>
        <v>MH</v>
      </c>
      <c r="C1302" t="str">
        <f t="shared" si="38"/>
        <v>KB</v>
      </c>
      <c r="D1302" t="s">
        <v>2410</v>
      </c>
      <c r="E1302" s="5"/>
      <c r="G1302" s="4" t="s">
        <v>2617</v>
      </c>
      <c r="H1302" s="306" t="s">
        <v>1753</v>
      </c>
      <c r="I1302" s="432" t="s">
        <v>2412</v>
      </c>
      <c r="K1302" t="s">
        <v>659</v>
      </c>
      <c r="L1302" t="s">
        <v>669</v>
      </c>
      <c r="M1302" t="s">
        <v>985</v>
      </c>
      <c r="O1302" s="4" t="s">
        <v>2411</v>
      </c>
    </row>
    <row r="1303" spans="1:15" ht="36">
      <c r="A1303" s="5">
        <v>1302</v>
      </c>
      <c r="B1303" t="str">
        <f t="shared" si="39"/>
        <v>MH</v>
      </c>
      <c r="C1303" t="str">
        <f t="shared" si="38"/>
        <v>KB</v>
      </c>
      <c r="D1303" t="s">
        <v>2410</v>
      </c>
      <c r="E1303" s="5"/>
      <c r="G1303" s="4" t="s">
        <v>2617</v>
      </c>
      <c r="H1303" s="306" t="s">
        <v>1755</v>
      </c>
      <c r="I1303" s="432" t="s">
        <v>2413</v>
      </c>
      <c r="K1303" t="s">
        <v>659</v>
      </c>
      <c r="L1303" t="s">
        <v>669</v>
      </c>
      <c r="M1303" t="s">
        <v>985</v>
      </c>
      <c r="O1303" s="4" t="s">
        <v>2411</v>
      </c>
    </row>
    <row r="1304" spans="1:15" ht="36">
      <c r="A1304" s="5">
        <v>1303</v>
      </c>
      <c r="B1304" t="str">
        <f t="shared" si="39"/>
        <v>MH</v>
      </c>
      <c r="C1304" t="str">
        <f t="shared" si="38"/>
        <v>KB</v>
      </c>
      <c r="D1304" t="s">
        <v>2410</v>
      </c>
      <c r="E1304" s="5"/>
      <c r="G1304" s="4" t="s">
        <v>2617</v>
      </c>
      <c r="H1304" s="306" t="s">
        <v>1756</v>
      </c>
      <c r="I1304" s="432" t="s">
        <v>2618</v>
      </c>
      <c r="K1304" t="s">
        <v>659</v>
      </c>
      <c r="L1304" t="s">
        <v>669</v>
      </c>
      <c r="M1304" t="s">
        <v>985</v>
      </c>
      <c r="O1304" s="4" t="s">
        <v>2411</v>
      </c>
    </row>
    <row r="1305" spans="1:15" ht="36">
      <c r="A1305" s="5">
        <v>1304</v>
      </c>
      <c r="B1305" t="str">
        <f t="shared" si="39"/>
        <v>MH</v>
      </c>
      <c r="C1305" t="str">
        <f t="shared" si="38"/>
        <v>KB</v>
      </c>
      <c r="D1305" t="s">
        <v>2410</v>
      </c>
      <c r="E1305" s="5"/>
      <c r="G1305" s="4" t="s">
        <v>2617</v>
      </c>
      <c r="H1305" s="306" t="s">
        <v>1758</v>
      </c>
      <c r="I1305" s="432" t="s">
        <v>2415</v>
      </c>
      <c r="K1305" t="s">
        <v>659</v>
      </c>
      <c r="L1305" t="s">
        <v>669</v>
      </c>
      <c r="M1305" t="s">
        <v>985</v>
      </c>
      <c r="O1305" s="4" t="s">
        <v>2411</v>
      </c>
    </row>
    <row r="1306" spans="1:15" ht="36">
      <c r="A1306" s="5">
        <v>1305</v>
      </c>
      <c r="B1306" t="str">
        <f t="shared" si="39"/>
        <v>MH</v>
      </c>
      <c r="C1306" t="str">
        <f t="shared" si="38"/>
        <v>KB</v>
      </c>
      <c r="D1306" t="s">
        <v>2410</v>
      </c>
      <c r="E1306" s="5"/>
      <c r="G1306" s="4" t="s">
        <v>2617</v>
      </c>
      <c r="H1306" s="306" t="s">
        <v>1759</v>
      </c>
      <c r="I1306" s="432" t="s">
        <v>2416</v>
      </c>
      <c r="K1306" t="s">
        <v>659</v>
      </c>
      <c r="L1306" t="s">
        <v>669</v>
      </c>
      <c r="M1306" t="s">
        <v>985</v>
      </c>
      <c r="O1306" s="4" t="s">
        <v>2411</v>
      </c>
    </row>
    <row r="1307" spans="1:15" ht="36">
      <c r="A1307" s="5">
        <v>1306</v>
      </c>
      <c r="B1307" t="str">
        <f t="shared" si="39"/>
        <v>MH</v>
      </c>
      <c r="C1307" t="str">
        <f t="shared" si="38"/>
        <v>in</v>
      </c>
      <c r="D1307" t="s">
        <v>2410</v>
      </c>
      <c r="E1307" s="5"/>
      <c r="G1307" s="4" t="s">
        <v>2619</v>
      </c>
      <c r="H1307" s="306" t="s">
        <v>389</v>
      </c>
      <c r="L1307" t="s">
        <v>669</v>
      </c>
      <c r="M1307"/>
    </row>
    <row r="1308" spans="1:15" ht="21.6">
      <c r="A1308" s="5">
        <v>1307</v>
      </c>
      <c r="B1308" t="str">
        <f t="shared" si="39"/>
        <v>TO</v>
      </c>
      <c r="C1308" t="str">
        <f t="shared" si="38"/>
        <v>KB</v>
      </c>
      <c r="D1308" t="s">
        <v>2410</v>
      </c>
      <c r="E1308" s="5"/>
      <c r="G1308" s="4" t="s">
        <v>2620</v>
      </c>
      <c r="H1308" s="313" t="s">
        <v>1803</v>
      </c>
      <c r="I1308" s="432" t="s">
        <v>2621</v>
      </c>
      <c r="K1308" t="s">
        <v>659</v>
      </c>
      <c r="L1308" t="s">
        <v>669</v>
      </c>
      <c r="M1308" t="s">
        <v>1083</v>
      </c>
    </row>
    <row r="1309" spans="1:15" ht="21.6">
      <c r="A1309" s="5">
        <v>1308</v>
      </c>
      <c r="B1309" t="str">
        <f t="shared" si="39"/>
        <v>TO</v>
      </c>
      <c r="C1309" t="str">
        <f t="shared" si="38"/>
        <v>KB</v>
      </c>
      <c r="D1309" t="s">
        <v>2410</v>
      </c>
      <c r="E1309" s="5"/>
      <c r="G1309" s="4" t="s">
        <v>2620</v>
      </c>
      <c r="H1309" s="313" t="s">
        <v>2207</v>
      </c>
      <c r="I1309" s="432" t="s">
        <v>2208</v>
      </c>
      <c r="K1309" t="s">
        <v>659</v>
      </c>
      <c r="L1309" t="s">
        <v>669</v>
      </c>
      <c r="M1309" t="s">
        <v>1083</v>
      </c>
    </row>
    <row r="1310" spans="1:15" ht="21.6">
      <c r="A1310" s="5">
        <v>1309</v>
      </c>
      <c r="B1310" t="str">
        <f t="shared" si="39"/>
        <v>TO</v>
      </c>
      <c r="C1310" t="str">
        <f t="shared" si="38"/>
        <v>KB</v>
      </c>
      <c r="D1310" t="s">
        <v>2410</v>
      </c>
      <c r="E1310" s="5"/>
      <c r="G1310" s="4" t="s">
        <v>2620</v>
      </c>
      <c r="H1310" s="313" t="s">
        <v>2622</v>
      </c>
      <c r="I1310" s="432" t="s">
        <v>2623</v>
      </c>
      <c r="K1310" t="s">
        <v>659</v>
      </c>
      <c r="L1310" t="s">
        <v>669</v>
      </c>
      <c r="M1310" t="s">
        <v>1083</v>
      </c>
    </row>
    <row r="1311" spans="1:15" ht="21.6">
      <c r="A1311" s="5">
        <v>1310</v>
      </c>
      <c r="B1311" t="str">
        <f t="shared" si="39"/>
        <v>TO</v>
      </c>
      <c r="C1311" t="str">
        <f t="shared" ref="C1311:C1342" si="40">MID(G1311,11,2)</f>
        <v>KB</v>
      </c>
      <c r="D1311" t="s">
        <v>2410</v>
      </c>
      <c r="E1311" s="5"/>
      <c r="G1311" s="4" t="s">
        <v>2620</v>
      </c>
      <c r="H1311" s="313" t="s">
        <v>2624</v>
      </c>
      <c r="I1311" s="432" t="s">
        <v>2625</v>
      </c>
      <c r="K1311" t="s">
        <v>659</v>
      </c>
      <c r="L1311" t="s">
        <v>669</v>
      </c>
      <c r="M1311" t="s">
        <v>1083</v>
      </c>
    </row>
    <row r="1312" spans="1:15" ht="21.6">
      <c r="A1312" s="5">
        <v>1311</v>
      </c>
      <c r="B1312" t="str">
        <f t="shared" si="39"/>
        <v>TO</v>
      </c>
      <c r="C1312" t="str">
        <f t="shared" si="40"/>
        <v>KB</v>
      </c>
      <c r="D1312" t="s">
        <v>2410</v>
      </c>
      <c r="E1312" s="5"/>
      <c r="G1312" s="4" t="s">
        <v>2620</v>
      </c>
      <c r="H1312" s="313" t="s">
        <v>2626</v>
      </c>
      <c r="I1312" s="432" t="s">
        <v>2627</v>
      </c>
      <c r="K1312" t="s">
        <v>659</v>
      </c>
      <c r="L1312" t="s">
        <v>669</v>
      </c>
      <c r="M1312" s="1" t="s">
        <v>2043</v>
      </c>
      <c r="N1312" t="s">
        <v>2628</v>
      </c>
    </row>
    <row r="1313" spans="1:13" ht="21.6">
      <c r="A1313" s="5">
        <v>1312</v>
      </c>
      <c r="B1313" t="str">
        <f t="shared" si="39"/>
        <v>TO</v>
      </c>
      <c r="C1313" t="str">
        <f t="shared" si="40"/>
        <v>KB</v>
      </c>
      <c r="D1313" t="s">
        <v>2410</v>
      </c>
      <c r="E1313" s="5"/>
      <c r="G1313" s="4" t="s">
        <v>2629</v>
      </c>
      <c r="H1313" s="313" t="s">
        <v>1805</v>
      </c>
      <c r="I1313" s="432" t="s">
        <v>2630</v>
      </c>
      <c r="K1313" t="s">
        <v>659</v>
      </c>
      <c r="L1313" t="s">
        <v>669</v>
      </c>
      <c r="M1313" t="s">
        <v>1083</v>
      </c>
    </row>
    <row r="1314" spans="1:13" ht="21.6">
      <c r="A1314" s="5">
        <v>1313</v>
      </c>
      <c r="B1314" t="str">
        <f t="shared" si="39"/>
        <v>TO</v>
      </c>
      <c r="C1314" t="str">
        <f t="shared" si="40"/>
        <v>KB</v>
      </c>
      <c r="D1314" t="s">
        <v>2410</v>
      </c>
      <c r="E1314" s="5"/>
      <c r="G1314" s="4" t="s">
        <v>2629</v>
      </c>
      <c r="H1314" s="313" t="s">
        <v>2631</v>
      </c>
      <c r="I1314" s="432" t="s">
        <v>2632</v>
      </c>
      <c r="K1314" t="s">
        <v>659</v>
      </c>
      <c r="L1314" t="s">
        <v>669</v>
      </c>
      <c r="M1314" t="s">
        <v>1083</v>
      </c>
    </row>
    <row r="1315" spans="1:13" ht="21.6">
      <c r="A1315" s="5">
        <v>1314</v>
      </c>
      <c r="B1315" t="str">
        <f t="shared" si="39"/>
        <v>TO</v>
      </c>
      <c r="C1315" t="str">
        <f t="shared" si="40"/>
        <v>KB</v>
      </c>
      <c r="D1315" t="s">
        <v>2410</v>
      </c>
      <c r="E1315" s="5"/>
      <c r="G1315" s="4" t="s">
        <v>2629</v>
      </c>
      <c r="H1315" s="313" t="s">
        <v>2633</v>
      </c>
      <c r="I1315" s="432" t="s">
        <v>2634</v>
      </c>
      <c r="K1315" t="s">
        <v>659</v>
      </c>
      <c r="L1315" t="s">
        <v>669</v>
      </c>
      <c r="M1315" t="s">
        <v>1083</v>
      </c>
    </row>
    <row r="1316" spans="1:13" ht="21.6">
      <c r="A1316" s="5">
        <v>1315</v>
      </c>
      <c r="B1316" t="str">
        <f t="shared" si="39"/>
        <v>TO</v>
      </c>
      <c r="C1316" t="str">
        <f t="shared" si="40"/>
        <v>KB</v>
      </c>
      <c r="D1316" t="s">
        <v>2410</v>
      </c>
      <c r="E1316" s="5"/>
      <c r="G1316" s="4" t="s">
        <v>2635</v>
      </c>
      <c r="H1316" s="313" t="s">
        <v>2636</v>
      </c>
      <c r="I1316" s="432" t="s">
        <v>2637</v>
      </c>
      <c r="K1316" t="s">
        <v>659</v>
      </c>
      <c r="L1316" t="s">
        <v>669</v>
      </c>
      <c r="M1316" t="s">
        <v>1083</v>
      </c>
    </row>
    <row r="1317" spans="1:13" ht="21.6">
      <c r="A1317" s="5">
        <v>1316</v>
      </c>
      <c r="B1317" t="str">
        <f t="shared" si="39"/>
        <v>TO</v>
      </c>
      <c r="C1317" t="str">
        <f t="shared" si="40"/>
        <v>KB</v>
      </c>
      <c r="D1317" t="s">
        <v>2410</v>
      </c>
      <c r="E1317" s="5"/>
      <c r="G1317" s="4" t="s">
        <v>2635</v>
      </c>
      <c r="H1317" s="313" t="s">
        <v>2638</v>
      </c>
      <c r="I1317" s="432" t="s">
        <v>2639</v>
      </c>
      <c r="K1317" t="s">
        <v>659</v>
      </c>
      <c r="L1317" t="s">
        <v>669</v>
      </c>
      <c r="M1317" t="s">
        <v>1083</v>
      </c>
    </row>
    <row r="1318" spans="1:13" ht="43.2">
      <c r="A1318" s="5">
        <v>1317</v>
      </c>
      <c r="B1318" t="str">
        <f t="shared" si="39"/>
        <v>TO</v>
      </c>
      <c r="C1318" t="str">
        <f t="shared" si="40"/>
        <v>KB</v>
      </c>
      <c r="D1318" t="s">
        <v>2640</v>
      </c>
      <c r="E1318" s="5"/>
      <c r="G1318" s="4" t="s">
        <v>2635</v>
      </c>
      <c r="H1318" s="313" t="s">
        <v>2641</v>
      </c>
      <c r="I1318" s="432" t="s">
        <v>2642</v>
      </c>
      <c r="K1318" t="s">
        <v>659</v>
      </c>
      <c r="L1318" t="s">
        <v>669</v>
      </c>
      <c r="M1318" t="s">
        <v>1083</v>
      </c>
    </row>
    <row r="1319" spans="1:13" ht="21.6">
      <c r="A1319" s="5">
        <v>1318</v>
      </c>
      <c r="B1319" t="str">
        <f t="shared" si="39"/>
        <v>TO</v>
      </c>
      <c r="C1319" t="str">
        <f t="shared" si="40"/>
        <v>KB</v>
      </c>
      <c r="D1319" t="s">
        <v>2640</v>
      </c>
      <c r="E1319" s="5"/>
      <c r="G1319" s="4" t="s">
        <v>2635</v>
      </c>
      <c r="H1319" s="313" t="s">
        <v>2643</v>
      </c>
      <c r="I1319" s="432" t="s">
        <v>2644</v>
      </c>
      <c r="K1319" t="s">
        <v>659</v>
      </c>
      <c r="L1319" t="s">
        <v>669</v>
      </c>
      <c r="M1319" t="s">
        <v>1083</v>
      </c>
    </row>
    <row r="1320" spans="1:13" ht="21.6">
      <c r="A1320" s="5">
        <v>1319</v>
      </c>
      <c r="B1320" t="str">
        <f t="shared" si="39"/>
        <v>TO</v>
      </c>
      <c r="C1320" t="str">
        <f t="shared" si="40"/>
        <v>KB</v>
      </c>
      <c r="D1320" t="s">
        <v>2640</v>
      </c>
      <c r="E1320" s="5"/>
      <c r="G1320" s="4" t="s">
        <v>2635</v>
      </c>
      <c r="H1320" s="313" t="s">
        <v>2645</v>
      </c>
      <c r="I1320" s="432" t="s">
        <v>2646</v>
      </c>
      <c r="K1320" t="s">
        <v>659</v>
      </c>
      <c r="L1320" t="s">
        <v>669</v>
      </c>
      <c r="M1320" t="s">
        <v>1083</v>
      </c>
    </row>
    <row r="1321" spans="1:13" ht="43.2">
      <c r="A1321" s="5">
        <v>1320</v>
      </c>
      <c r="B1321" t="str">
        <f t="shared" si="39"/>
        <v>TO</v>
      </c>
      <c r="C1321" t="str">
        <f t="shared" si="40"/>
        <v>KB</v>
      </c>
      <c r="D1321" t="s">
        <v>2640</v>
      </c>
      <c r="E1321" s="5"/>
      <c r="G1321" s="4" t="s">
        <v>2647</v>
      </c>
      <c r="H1321" s="313" t="s">
        <v>2648</v>
      </c>
      <c r="I1321" s="432" t="s">
        <v>2649</v>
      </c>
      <c r="K1321" t="s">
        <v>659</v>
      </c>
      <c r="L1321" t="s">
        <v>669</v>
      </c>
      <c r="M1321" t="s">
        <v>1083</v>
      </c>
    </row>
    <row r="1322" spans="1:13" ht="21.6">
      <c r="A1322" s="5">
        <v>1321</v>
      </c>
      <c r="B1322" t="str">
        <f t="shared" si="39"/>
        <v>TO</v>
      </c>
      <c r="C1322" t="str">
        <f t="shared" si="40"/>
        <v>KB</v>
      </c>
      <c r="D1322" t="s">
        <v>2640</v>
      </c>
      <c r="E1322" s="5"/>
      <c r="G1322" s="4" t="s">
        <v>2647</v>
      </c>
      <c r="H1322" s="313" t="s">
        <v>2650</v>
      </c>
      <c r="I1322" s="432" t="s">
        <v>2651</v>
      </c>
      <c r="K1322" t="s">
        <v>659</v>
      </c>
      <c r="L1322" t="s">
        <v>669</v>
      </c>
      <c r="M1322" t="s">
        <v>1083</v>
      </c>
    </row>
    <row r="1323" spans="1:13" ht="21.6">
      <c r="A1323" s="5">
        <v>1322</v>
      </c>
      <c r="B1323" t="str">
        <f t="shared" si="39"/>
        <v>TO</v>
      </c>
      <c r="C1323" t="str">
        <f t="shared" si="40"/>
        <v>KB</v>
      </c>
      <c r="D1323" t="s">
        <v>2640</v>
      </c>
      <c r="E1323" s="5"/>
      <c r="G1323" s="4" t="s">
        <v>2647</v>
      </c>
      <c r="H1323" s="313" t="s">
        <v>2652</v>
      </c>
      <c r="I1323" s="432" t="s">
        <v>2653</v>
      </c>
      <c r="K1323" t="s">
        <v>659</v>
      </c>
      <c r="L1323" t="s">
        <v>669</v>
      </c>
      <c r="M1323" t="s">
        <v>1083</v>
      </c>
    </row>
    <row r="1324" spans="1:13" ht="21.6">
      <c r="A1324" s="5">
        <v>1323</v>
      </c>
      <c r="B1324" t="str">
        <f t="shared" si="39"/>
        <v>TO</v>
      </c>
      <c r="C1324" t="str">
        <f t="shared" si="40"/>
        <v>KB</v>
      </c>
      <c r="D1324" t="s">
        <v>2640</v>
      </c>
      <c r="E1324" s="5"/>
      <c r="G1324" s="4" t="s">
        <v>2647</v>
      </c>
      <c r="H1324" s="313" t="s">
        <v>2654</v>
      </c>
      <c r="I1324" s="432" t="s">
        <v>2655</v>
      </c>
      <c r="K1324" t="s">
        <v>659</v>
      </c>
      <c r="L1324" t="s">
        <v>669</v>
      </c>
      <c r="M1324" t="s">
        <v>1083</v>
      </c>
    </row>
    <row r="1325" spans="1:13" ht="21.6">
      <c r="A1325" s="5">
        <v>1324</v>
      </c>
      <c r="B1325" t="str">
        <f t="shared" si="39"/>
        <v>TO</v>
      </c>
      <c r="C1325" t="str">
        <f t="shared" si="40"/>
        <v>KB</v>
      </c>
      <c r="D1325" t="s">
        <v>2640</v>
      </c>
      <c r="E1325" s="5"/>
      <c r="G1325" s="4" t="s">
        <v>2647</v>
      </c>
      <c r="H1325" s="313" t="s">
        <v>1829</v>
      </c>
      <c r="I1325" s="432" t="s">
        <v>2656</v>
      </c>
      <c r="K1325" t="s">
        <v>659</v>
      </c>
      <c r="L1325" t="s">
        <v>669</v>
      </c>
      <c r="M1325" t="s">
        <v>1083</v>
      </c>
    </row>
    <row r="1326" spans="1:13" ht="43.2">
      <c r="A1326" s="5">
        <v>1325</v>
      </c>
      <c r="B1326" t="str">
        <f t="shared" si="39"/>
        <v>TO</v>
      </c>
      <c r="C1326" t="str">
        <f t="shared" si="40"/>
        <v>KB</v>
      </c>
      <c r="D1326" t="s">
        <v>2640</v>
      </c>
      <c r="E1326" s="5"/>
      <c r="G1326" s="4" t="s">
        <v>2657</v>
      </c>
      <c r="H1326" s="313" t="s">
        <v>2658</v>
      </c>
      <c r="I1326" s="432" t="s">
        <v>2659</v>
      </c>
      <c r="K1326" t="s">
        <v>659</v>
      </c>
      <c r="L1326" t="s">
        <v>669</v>
      </c>
      <c r="M1326" t="s">
        <v>1083</v>
      </c>
    </row>
    <row r="1327" spans="1:13" ht="21.6">
      <c r="A1327" s="5">
        <v>1326</v>
      </c>
      <c r="B1327" t="str">
        <f t="shared" si="39"/>
        <v>TO</v>
      </c>
      <c r="C1327" t="str">
        <f t="shared" si="40"/>
        <v>KB</v>
      </c>
      <c r="D1327" t="s">
        <v>2640</v>
      </c>
      <c r="E1327" s="5"/>
      <c r="G1327" s="4" t="s">
        <v>2657</v>
      </c>
      <c r="H1327" s="313" t="s">
        <v>1334</v>
      </c>
      <c r="I1327" s="432" t="s">
        <v>2660</v>
      </c>
      <c r="K1327" t="s">
        <v>659</v>
      </c>
      <c r="L1327" t="s">
        <v>669</v>
      </c>
      <c r="M1327" t="s">
        <v>1083</v>
      </c>
    </row>
    <row r="1328" spans="1:13" ht="21.6">
      <c r="A1328" s="5">
        <v>1327</v>
      </c>
      <c r="B1328" t="str">
        <f t="shared" si="39"/>
        <v>TO</v>
      </c>
      <c r="C1328" t="str">
        <f t="shared" si="40"/>
        <v>KB</v>
      </c>
      <c r="D1328" t="s">
        <v>2640</v>
      </c>
      <c r="E1328" s="5"/>
      <c r="G1328" s="451" t="s">
        <v>2661</v>
      </c>
      <c r="H1328" s="313" t="s">
        <v>2662</v>
      </c>
      <c r="I1328" s="432" t="s">
        <v>2663</v>
      </c>
      <c r="K1328" t="s">
        <v>1434</v>
      </c>
      <c r="L1328" t="s">
        <v>669</v>
      </c>
      <c r="M1328" t="s">
        <v>1083</v>
      </c>
    </row>
    <row r="1329" spans="1:14" ht="21.6">
      <c r="A1329" s="5">
        <v>1328</v>
      </c>
      <c r="B1329" t="str">
        <f t="shared" si="39"/>
        <v>TO</v>
      </c>
      <c r="C1329" t="str">
        <f t="shared" si="40"/>
        <v>KB</v>
      </c>
      <c r="D1329" t="s">
        <v>2640</v>
      </c>
      <c r="E1329" s="5"/>
      <c r="G1329" s="451" t="s">
        <v>2661</v>
      </c>
      <c r="H1329" s="313" t="s">
        <v>2664</v>
      </c>
      <c r="I1329" s="432" t="s">
        <v>2665</v>
      </c>
      <c r="K1329" t="s">
        <v>659</v>
      </c>
      <c r="L1329" t="s">
        <v>669</v>
      </c>
      <c r="M1329" t="s">
        <v>1083</v>
      </c>
    </row>
    <row r="1330" spans="1:14" ht="21.6">
      <c r="A1330" s="5">
        <v>1329</v>
      </c>
      <c r="B1330" t="str">
        <f t="shared" si="39"/>
        <v>TO</v>
      </c>
      <c r="C1330" t="str">
        <f t="shared" si="40"/>
        <v>KB</v>
      </c>
      <c r="D1330" t="s">
        <v>2640</v>
      </c>
      <c r="E1330" s="5"/>
      <c r="G1330" s="451" t="s">
        <v>2661</v>
      </c>
      <c r="H1330" s="313" t="s">
        <v>2666</v>
      </c>
      <c r="I1330" s="432" t="s">
        <v>2667</v>
      </c>
      <c r="K1330" t="s">
        <v>659</v>
      </c>
      <c r="L1330" t="s">
        <v>669</v>
      </c>
      <c r="M1330" t="s">
        <v>1083</v>
      </c>
    </row>
    <row r="1331" spans="1:14" ht="21.6">
      <c r="A1331" s="5">
        <v>1330</v>
      </c>
      <c r="B1331" t="str">
        <f t="shared" si="39"/>
        <v>TO</v>
      </c>
      <c r="C1331" t="str">
        <f t="shared" si="40"/>
        <v>KB</v>
      </c>
      <c r="D1331" t="s">
        <v>2640</v>
      </c>
      <c r="E1331" s="5"/>
      <c r="G1331" s="451" t="s">
        <v>2661</v>
      </c>
      <c r="H1331" s="313" t="s">
        <v>2668</v>
      </c>
      <c r="I1331" s="432" t="s">
        <v>2669</v>
      </c>
      <c r="K1331" t="s">
        <v>1434</v>
      </c>
      <c r="L1331" t="s">
        <v>669</v>
      </c>
      <c r="M1331" t="s">
        <v>1083</v>
      </c>
    </row>
    <row r="1332" spans="1:14" ht="21.6">
      <c r="A1332" s="5">
        <v>1331</v>
      </c>
      <c r="B1332" t="str">
        <f t="shared" si="39"/>
        <v>TO</v>
      </c>
      <c r="C1332" t="str">
        <f t="shared" si="40"/>
        <v>KB</v>
      </c>
      <c r="D1332" t="s">
        <v>2640</v>
      </c>
      <c r="E1332" s="5"/>
      <c r="G1332" s="451" t="s">
        <v>2670</v>
      </c>
      <c r="H1332" s="313" t="s">
        <v>365</v>
      </c>
      <c r="I1332" s="432" t="s">
        <v>2671</v>
      </c>
      <c r="K1332" t="s">
        <v>659</v>
      </c>
      <c r="L1332" t="s">
        <v>669</v>
      </c>
      <c r="M1332" t="s">
        <v>1083</v>
      </c>
    </row>
    <row r="1333" spans="1:14" ht="43.2">
      <c r="A1333" s="5">
        <v>1332</v>
      </c>
      <c r="B1333" t="str">
        <f t="shared" ref="B1333:B1366" si="41">MID(G1333,8,2)</f>
        <v>TO</v>
      </c>
      <c r="C1333" t="str">
        <f t="shared" si="40"/>
        <v>KB</v>
      </c>
      <c r="D1333" t="s">
        <v>2640</v>
      </c>
      <c r="E1333" s="5"/>
      <c r="G1333" s="451" t="s">
        <v>2672</v>
      </c>
      <c r="H1333" s="313" t="s">
        <v>396</v>
      </c>
      <c r="I1333" s="432" t="s">
        <v>2673</v>
      </c>
      <c r="K1333" t="s">
        <v>659</v>
      </c>
      <c r="L1333" t="s">
        <v>669</v>
      </c>
      <c r="M1333" t="s">
        <v>1083</v>
      </c>
    </row>
    <row r="1334" spans="1:14" ht="36">
      <c r="A1334" s="5">
        <v>1333</v>
      </c>
      <c r="B1334" t="str">
        <f t="shared" si="41"/>
        <v>MH</v>
      </c>
      <c r="C1334" t="str">
        <f t="shared" si="40"/>
        <v>KB</v>
      </c>
      <c r="D1334" t="s">
        <v>2640</v>
      </c>
      <c r="E1334" s="5"/>
      <c r="G1334" s="4" t="s">
        <v>2674</v>
      </c>
      <c r="H1334" s="306" t="s">
        <v>397</v>
      </c>
      <c r="I1334" s="438" t="s">
        <v>2121</v>
      </c>
      <c r="K1334" t="s">
        <v>659</v>
      </c>
      <c r="L1334" t="s">
        <v>669</v>
      </c>
      <c r="M1334" t="s">
        <v>1083</v>
      </c>
      <c r="N1334" t="s">
        <v>2675</v>
      </c>
    </row>
    <row r="1335" spans="1:14" ht="21.6">
      <c r="A1335" s="5">
        <v>1334</v>
      </c>
      <c r="B1335" t="str">
        <f t="shared" si="41"/>
        <v>TO</v>
      </c>
      <c r="C1335" t="str">
        <f t="shared" si="40"/>
        <v>KB</v>
      </c>
      <c r="D1335" t="s">
        <v>2640</v>
      </c>
      <c r="E1335" s="5"/>
      <c r="G1335" s="451" t="s">
        <v>2676</v>
      </c>
      <c r="H1335" s="313" t="s">
        <v>2677</v>
      </c>
      <c r="I1335" s="432" t="s">
        <v>2678</v>
      </c>
      <c r="K1335" t="s">
        <v>1434</v>
      </c>
      <c r="L1335" t="s">
        <v>669</v>
      </c>
      <c r="M1335" s="1" t="s">
        <v>2043</v>
      </c>
    </row>
    <row r="1336" spans="1:14" ht="21.6">
      <c r="A1336" s="5">
        <v>1335</v>
      </c>
      <c r="B1336" t="str">
        <f t="shared" si="41"/>
        <v>TO</v>
      </c>
      <c r="C1336" t="str">
        <f t="shared" si="40"/>
        <v>KB</v>
      </c>
      <c r="D1336" t="s">
        <v>2640</v>
      </c>
      <c r="E1336" s="5"/>
      <c r="G1336" s="451" t="s">
        <v>2676</v>
      </c>
      <c r="H1336" s="313" t="s">
        <v>2679</v>
      </c>
      <c r="I1336" s="432" t="s">
        <v>2680</v>
      </c>
      <c r="K1336" t="s">
        <v>1434</v>
      </c>
      <c r="L1336" t="s">
        <v>669</v>
      </c>
      <c r="M1336" t="s">
        <v>1083</v>
      </c>
    </row>
    <row r="1337" spans="1:14" ht="21.6">
      <c r="A1337" s="5">
        <v>1336</v>
      </c>
      <c r="B1337" t="str">
        <f t="shared" si="41"/>
        <v>TO</v>
      </c>
      <c r="C1337" t="str">
        <f t="shared" si="40"/>
        <v>KB</v>
      </c>
      <c r="D1337" t="s">
        <v>2640</v>
      </c>
      <c r="E1337" s="5"/>
      <c r="G1337" s="451" t="s">
        <v>2676</v>
      </c>
      <c r="H1337" s="313" t="s">
        <v>2681</v>
      </c>
      <c r="I1337" s="432" t="s">
        <v>2682</v>
      </c>
      <c r="K1337" t="s">
        <v>1434</v>
      </c>
      <c r="L1337" t="s">
        <v>669</v>
      </c>
      <c r="M1337" t="s">
        <v>1083</v>
      </c>
    </row>
    <row r="1338" spans="1:14">
      <c r="A1338" s="5">
        <v>1337</v>
      </c>
      <c r="B1338" t="str">
        <f t="shared" si="41"/>
        <v>TO</v>
      </c>
      <c r="C1338" t="str">
        <f t="shared" si="40"/>
        <v>KB</v>
      </c>
      <c r="D1338" t="s">
        <v>2640</v>
      </c>
      <c r="E1338" s="5"/>
      <c r="G1338" s="4" t="s">
        <v>2683</v>
      </c>
      <c r="H1338" s="306" t="s">
        <v>2684</v>
      </c>
      <c r="I1338" s="432" t="s">
        <v>2685</v>
      </c>
      <c r="K1338" t="s">
        <v>1434</v>
      </c>
      <c r="L1338" t="s">
        <v>669</v>
      </c>
      <c r="M1338" t="s">
        <v>1083</v>
      </c>
    </row>
    <row r="1339" spans="1:14">
      <c r="A1339" s="5">
        <v>1338</v>
      </c>
      <c r="B1339" t="str">
        <f t="shared" si="41"/>
        <v>TO</v>
      </c>
      <c r="C1339" t="str">
        <f t="shared" si="40"/>
        <v>KB</v>
      </c>
      <c r="D1339" t="s">
        <v>2640</v>
      </c>
      <c r="E1339" s="5"/>
      <c r="G1339" s="4" t="s">
        <v>2683</v>
      </c>
      <c r="H1339" s="306" t="s">
        <v>1857</v>
      </c>
      <c r="I1339" s="432" t="s">
        <v>2686</v>
      </c>
      <c r="K1339" t="s">
        <v>1434</v>
      </c>
      <c r="L1339" t="s">
        <v>669</v>
      </c>
      <c r="M1339" t="s">
        <v>1083</v>
      </c>
    </row>
    <row r="1340" spans="1:14">
      <c r="A1340" s="5">
        <v>1339</v>
      </c>
      <c r="B1340" t="str">
        <f t="shared" si="41"/>
        <v>TO</v>
      </c>
      <c r="C1340" t="str">
        <f t="shared" si="40"/>
        <v>KB</v>
      </c>
      <c r="D1340" t="s">
        <v>2640</v>
      </c>
      <c r="E1340" s="5"/>
      <c r="G1340" s="4" t="s">
        <v>2683</v>
      </c>
      <c r="H1340" s="306" t="s">
        <v>2687</v>
      </c>
      <c r="I1340" s="432" t="s">
        <v>2688</v>
      </c>
      <c r="K1340" t="s">
        <v>1434</v>
      </c>
      <c r="L1340" t="s">
        <v>669</v>
      </c>
      <c r="M1340"/>
    </row>
    <row r="1341" spans="1:14">
      <c r="A1341" s="5">
        <v>1340</v>
      </c>
      <c r="B1341" t="str">
        <f t="shared" si="41"/>
        <v>TO</v>
      </c>
      <c r="C1341" t="str">
        <f t="shared" si="40"/>
        <v>KB</v>
      </c>
      <c r="D1341" t="s">
        <v>2640</v>
      </c>
      <c r="E1341" s="5"/>
      <c r="G1341" s="451" t="s">
        <v>2689</v>
      </c>
      <c r="H1341" s="306" t="s">
        <v>2690</v>
      </c>
      <c r="I1341" s="432" t="s">
        <v>2691</v>
      </c>
      <c r="K1341" t="s">
        <v>1434</v>
      </c>
      <c r="L1341" t="s">
        <v>669</v>
      </c>
      <c r="M1341" t="s">
        <v>1083</v>
      </c>
    </row>
    <row r="1342" spans="1:14">
      <c r="A1342" s="5">
        <v>1341</v>
      </c>
      <c r="B1342" t="str">
        <f t="shared" si="41"/>
        <v>TO</v>
      </c>
      <c r="C1342" t="str">
        <f t="shared" si="40"/>
        <v>KB</v>
      </c>
      <c r="D1342" t="s">
        <v>2640</v>
      </c>
      <c r="E1342" s="5"/>
      <c r="G1342" s="451" t="s">
        <v>2689</v>
      </c>
      <c r="H1342" s="306" t="s">
        <v>2692</v>
      </c>
      <c r="I1342" s="432" t="s">
        <v>2693</v>
      </c>
      <c r="K1342" t="s">
        <v>1434</v>
      </c>
      <c r="L1342" t="s">
        <v>669</v>
      </c>
      <c r="M1342" t="s">
        <v>1083</v>
      </c>
    </row>
    <row r="1343" spans="1:14">
      <c r="A1343" s="5">
        <v>1342</v>
      </c>
      <c r="B1343" t="str">
        <f t="shared" si="41"/>
        <v>TO</v>
      </c>
      <c r="C1343" t="str">
        <f t="shared" ref="C1343:C1366" si="42">MID(G1343,11,2)</f>
        <v>KB</v>
      </c>
      <c r="D1343" t="s">
        <v>2640</v>
      </c>
      <c r="E1343" s="5"/>
      <c r="G1343" s="451" t="s">
        <v>2689</v>
      </c>
      <c r="H1343" s="306" t="s">
        <v>2694</v>
      </c>
      <c r="I1343" s="432" t="s">
        <v>2695</v>
      </c>
      <c r="K1343" t="s">
        <v>1434</v>
      </c>
      <c r="L1343" t="s">
        <v>669</v>
      </c>
      <c r="M1343" t="s">
        <v>1083</v>
      </c>
    </row>
    <row r="1344" spans="1:14">
      <c r="A1344" s="5">
        <v>1343</v>
      </c>
      <c r="B1344" t="str">
        <f t="shared" si="41"/>
        <v>TO</v>
      </c>
      <c r="C1344" t="str">
        <f t="shared" si="42"/>
        <v>KB</v>
      </c>
      <c r="D1344" t="s">
        <v>2640</v>
      </c>
      <c r="E1344" s="5"/>
      <c r="G1344" s="451" t="s">
        <v>2689</v>
      </c>
      <c r="H1344" s="306" t="s">
        <v>2696</v>
      </c>
      <c r="I1344" s="432" t="s">
        <v>2697</v>
      </c>
      <c r="K1344" t="s">
        <v>1434</v>
      </c>
      <c r="L1344" t="s">
        <v>669</v>
      </c>
      <c r="M1344" t="s">
        <v>1083</v>
      </c>
    </row>
    <row r="1345" spans="1:15" ht="21.6">
      <c r="A1345" s="5">
        <v>1344</v>
      </c>
      <c r="B1345" t="str">
        <f t="shared" si="41"/>
        <v>TO</v>
      </c>
      <c r="C1345" t="str">
        <f t="shared" si="42"/>
        <v>KB</v>
      </c>
      <c r="D1345" t="s">
        <v>2640</v>
      </c>
      <c r="E1345" s="5"/>
      <c r="G1345" s="451" t="s">
        <v>2689</v>
      </c>
      <c r="H1345" s="313" t="s">
        <v>2136</v>
      </c>
      <c r="I1345" s="438" t="s">
        <v>2698</v>
      </c>
      <c r="K1345" t="s">
        <v>659</v>
      </c>
      <c r="L1345" t="s">
        <v>669</v>
      </c>
      <c r="M1345" s="1" t="s">
        <v>2043</v>
      </c>
    </row>
    <row r="1346" spans="1:15">
      <c r="A1346" s="5">
        <v>1345</v>
      </c>
      <c r="B1346" t="str">
        <f t="shared" si="41"/>
        <v>TO</v>
      </c>
      <c r="C1346" t="str">
        <f t="shared" si="42"/>
        <v>KB</v>
      </c>
      <c r="D1346" t="s">
        <v>2640</v>
      </c>
      <c r="E1346" s="5"/>
      <c r="G1346" s="451" t="s">
        <v>2699</v>
      </c>
      <c r="H1346" s="306" t="s">
        <v>2700</v>
      </c>
      <c r="I1346" s="432" t="s">
        <v>2701</v>
      </c>
      <c r="K1346" t="s">
        <v>659</v>
      </c>
      <c r="L1346" t="s">
        <v>669</v>
      </c>
      <c r="M1346" t="s">
        <v>1083</v>
      </c>
    </row>
    <row r="1347" spans="1:15" ht="36">
      <c r="A1347" s="5">
        <v>1346</v>
      </c>
      <c r="B1347" t="str">
        <f t="shared" si="41"/>
        <v>TO</v>
      </c>
      <c r="C1347" t="str">
        <f t="shared" si="42"/>
        <v>KB</v>
      </c>
      <c r="D1347" t="s">
        <v>2640</v>
      </c>
      <c r="E1347" s="5"/>
      <c r="G1347" s="451" t="s">
        <v>2699</v>
      </c>
      <c r="H1347" s="306" t="s">
        <v>2702</v>
      </c>
      <c r="I1347" s="432" t="s">
        <v>2703</v>
      </c>
      <c r="K1347" t="s">
        <v>1434</v>
      </c>
      <c r="L1347" t="s">
        <v>669</v>
      </c>
      <c r="M1347" t="s">
        <v>1083</v>
      </c>
    </row>
    <row r="1348" spans="1:15">
      <c r="A1348" s="5">
        <v>1347</v>
      </c>
      <c r="B1348" t="str">
        <f t="shared" si="41"/>
        <v>TO</v>
      </c>
      <c r="C1348" t="str">
        <f t="shared" si="42"/>
        <v>KB</v>
      </c>
      <c r="D1348" t="s">
        <v>2640</v>
      </c>
      <c r="E1348" s="5"/>
      <c r="G1348" s="451" t="s">
        <v>2699</v>
      </c>
      <c r="H1348" s="306" t="s">
        <v>2704</v>
      </c>
      <c r="I1348" s="432" t="s">
        <v>2705</v>
      </c>
      <c r="K1348" t="s">
        <v>1434</v>
      </c>
      <c r="L1348" t="s">
        <v>669</v>
      </c>
      <c r="M1348" t="s">
        <v>1083</v>
      </c>
    </row>
    <row r="1349" spans="1:15" ht="21.6">
      <c r="A1349" s="5">
        <v>1348</v>
      </c>
      <c r="B1349" t="str">
        <f t="shared" si="41"/>
        <v>TO</v>
      </c>
      <c r="C1349" t="str">
        <f t="shared" si="42"/>
        <v>KB</v>
      </c>
      <c r="D1349" t="s">
        <v>2640</v>
      </c>
      <c r="E1349" s="5"/>
      <c r="G1349" s="4" t="s">
        <v>2706</v>
      </c>
      <c r="H1349" s="313" t="s">
        <v>978</v>
      </c>
      <c r="I1349" s="432" t="s">
        <v>2707</v>
      </c>
      <c r="K1349" t="s">
        <v>1434</v>
      </c>
      <c r="L1349" t="s">
        <v>669</v>
      </c>
      <c r="M1349" t="s">
        <v>1083</v>
      </c>
    </row>
    <row r="1350" spans="1:15" ht="21.6">
      <c r="A1350" s="5">
        <v>1349</v>
      </c>
      <c r="B1350" t="str">
        <f t="shared" si="41"/>
        <v>TO</v>
      </c>
      <c r="C1350" t="str">
        <f t="shared" si="42"/>
        <v>KB</v>
      </c>
      <c r="D1350" t="s">
        <v>2640</v>
      </c>
      <c r="E1350" s="5"/>
      <c r="G1350" s="4" t="s">
        <v>2706</v>
      </c>
      <c r="H1350" s="313" t="s">
        <v>2708</v>
      </c>
      <c r="I1350" s="432" t="s">
        <v>2709</v>
      </c>
      <c r="K1350" t="s">
        <v>1434</v>
      </c>
      <c r="L1350" t="s">
        <v>669</v>
      </c>
      <c r="M1350" t="s">
        <v>1083</v>
      </c>
    </row>
    <row r="1351" spans="1:15" ht="43.2">
      <c r="A1351" s="5">
        <v>1350</v>
      </c>
      <c r="B1351" t="str">
        <f t="shared" si="41"/>
        <v>TO</v>
      </c>
      <c r="C1351" t="str">
        <f t="shared" si="42"/>
        <v>KB</v>
      </c>
      <c r="D1351" t="s">
        <v>2640</v>
      </c>
      <c r="E1351" s="5"/>
      <c r="G1351" s="4" t="s">
        <v>2706</v>
      </c>
      <c r="H1351" s="313" t="s">
        <v>2710</v>
      </c>
      <c r="I1351" s="432" t="s">
        <v>2711</v>
      </c>
      <c r="K1351" t="s">
        <v>1434</v>
      </c>
      <c r="L1351" t="s">
        <v>669</v>
      </c>
      <c r="M1351" t="s">
        <v>2140</v>
      </c>
    </row>
    <row r="1352" spans="1:15" ht="43.2">
      <c r="A1352" s="5">
        <v>1351</v>
      </c>
      <c r="B1352" t="str">
        <f t="shared" si="41"/>
        <v>TO</v>
      </c>
      <c r="C1352" t="str">
        <f t="shared" si="42"/>
        <v>KB</v>
      </c>
      <c r="D1352" t="s">
        <v>2640</v>
      </c>
      <c r="E1352" s="5"/>
      <c r="G1352" s="4" t="s">
        <v>2706</v>
      </c>
      <c r="H1352" s="313" t="s">
        <v>1969</v>
      </c>
      <c r="I1352" s="432" t="s">
        <v>2712</v>
      </c>
      <c r="K1352" t="s">
        <v>1434</v>
      </c>
      <c r="L1352" t="s">
        <v>669</v>
      </c>
      <c r="M1352" t="s">
        <v>1083</v>
      </c>
    </row>
    <row r="1353" spans="1:15" ht="21.6">
      <c r="A1353" s="5">
        <v>1352</v>
      </c>
      <c r="B1353" t="str">
        <f t="shared" si="41"/>
        <v>TO</v>
      </c>
      <c r="C1353" t="str">
        <f t="shared" si="42"/>
        <v>KB</v>
      </c>
      <c r="D1353" t="s">
        <v>2640</v>
      </c>
      <c r="E1353" s="5"/>
      <c r="G1353" s="4" t="s">
        <v>2706</v>
      </c>
      <c r="H1353" s="313" t="s">
        <v>2713</v>
      </c>
      <c r="I1353" s="432" t="s">
        <v>2714</v>
      </c>
      <c r="K1353" t="s">
        <v>1434</v>
      </c>
      <c r="L1353" t="s">
        <v>669</v>
      </c>
      <c r="M1353" t="s">
        <v>1083</v>
      </c>
    </row>
    <row r="1354" spans="1:15">
      <c r="A1354" s="5">
        <v>1353</v>
      </c>
      <c r="B1354" t="str">
        <f t="shared" si="41"/>
        <v>TO</v>
      </c>
      <c r="C1354" t="str">
        <f t="shared" si="42"/>
        <v>KB</v>
      </c>
      <c r="D1354" t="s">
        <v>2640</v>
      </c>
      <c r="E1354" s="5"/>
      <c r="G1354" s="4" t="s">
        <v>2715</v>
      </c>
      <c r="H1354" s="316" t="s">
        <v>111</v>
      </c>
      <c r="I1354" s="432" t="s">
        <v>2427</v>
      </c>
      <c r="K1354" t="s">
        <v>659</v>
      </c>
      <c r="L1354" t="s">
        <v>669</v>
      </c>
      <c r="M1354"/>
      <c r="N1354" t="s">
        <v>2425</v>
      </c>
    </row>
    <row r="1355" spans="1:15">
      <c r="A1355" s="5">
        <v>1354</v>
      </c>
      <c r="B1355" t="str">
        <f t="shared" si="41"/>
        <v>TO</v>
      </c>
      <c r="C1355" t="str">
        <f t="shared" si="42"/>
        <v>KB</v>
      </c>
      <c r="D1355" t="s">
        <v>2640</v>
      </c>
      <c r="E1355" s="5"/>
      <c r="G1355" s="4" t="s">
        <v>2715</v>
      </c>
      <c r="H1355" s="316" t="s">
        <v>1650</v>
      </c>
      <c r="I1355" s="432" t="s">
        <v>2428</v>
      </c>
      <c r="K1355" t="s">
        <v>659</v>
      </c>
      <c r="L1355" t="s">
        <v>669</v>
      </c>
      <c r="M1355"/>
      <c r="N1355" t="s">
        <v>2425</v>
      </c>
      <c r="O1355" t="s">
        <v>2716</v>
      </c>
    </row>
    <row r="1356" spans="1:15">
      <c r="A1356" s="5">
        <v>1355</v>
      </c>
      <c r="B1356" t="str">
        <f t="shared" si="41"/>
        <v>TO</v>
      </c>
      <c r="C1356" t="str">
        <f t="shared" si="42"/>
        <v>KB</v>
      </c>
      <c r="D1356" t="s">
        <v>2640</v>
      </c>
      <c r="E1356" s="5"/>
      <c r="G1356" s="4" t="s">
        <v>2715</v>
      </c>
      <c r="H1356" s="316" t="s">
        <v>371</v>
      </c>
      <c r="I1356" s="432" t="s">
        <v>2717</v>
      </c>
      <c r="K1356" t="s">
        <v>659</v>
      </c>
      <c r="L1356" t="s">
        <v>669</v>
      </c>
      <c r="M1356"/>
      <c r="N1356" t="s">
        <v>2425</v>
      </c>
    </row>
    <row r="1357" spans="1:15">
      <c r="A1357" s="5">
        <v>1356</v>
      </c>
      <c r="B1357" t="str">
        <f t="shared" si="41"/>
        <v>TO</v>
      </c>
      <c r="C1357" t="str">
        <f t="shared" si="42"/>
        <v>KB</v>
      </c>
      <c r="D1357" t="s">
        <v>2640</v>
      </c>
      <c r="E1357" s="5"/>
      <c r="G1357" s="4" t="s">
        <v>2715</v>
      </c>
      <c r="H1357" s="306" t="s">
        <v>2395</v>
      </c>
      <c r="I1357" s="432" t="s">
        <v>2473</v>
      </c>
      <c r="K1357" t="s">
        <v>659</v>
      </c>
      <c r="L1357" t="s">
        <v>669</v>
      </c>
      <c r="M1357"/>
      <c r="N1357" t="s">
        <v>2472</v>
      </c>
    </row>
    <row r="1358" spans="1:15">
      <c r="A1358" s="5">
        <v>1357</v>
      </c>
      <c r="B1358" t="str">
        <f t="shared" si="41"/>
        <v>TO</v>
      </c>
      <c r="C1358" t="str">
        <f t="shared" si="42"/>
        <v>KB</v>
      </c>
      <c r="D1358" t="s">
        <v>2640</v>
      </c>
      <c r="E1358" s="5"/>
      <c r="G1358" s="4" t="s">
        <v>2715</v>
      </c>
      <c r="H1358" s="306" t="s">
        <v>2718</v>
      </c>
      <c r="I1358" s="432" t="s">
        <v>2150</v>
      </c>
      <c r="K1358" t="s">
        <v>659</v>
      </c>
      <c r="L1358" t="s">
        <v>669</v>
      </c>
      <c r="M1358"/>
      <c r="N1358" t="s">
        <v>2491</v>
      </c>
    </row>
    <row r="1359" spans="1:15">
      <c r="A1359" s="5">
        <v>1358</v>
      </c>
      <c r="B1359" t="str">
        <f t="shared" si="41"/>
        <v>TO</v>
      </c>
      <c r="C1359" t="str">
        <f t="shared" si="42"/>
        <v>KB</v>
      </c>
      <c r="D1359" t="s">
        <v>2640</v>
      </c>
      <c r="E1359" s="5"/>
      <c r="G1359" s="4" t="s">
        <v>2715</v>
      </c>
      <c r="H1359" s="306" t="s">
        <v>2719</v>
      </c>
      <c r="I1359" s="432" t="s">
        <v>2151</v>
      </c>
      <c r="K1359" t="s">
        <v>659</v>
      </c>
      <c r="L1359" t="s">
        <v>669</v>
      </c>
      <c r="M1359"/>
    </row>
    <row r="1360" spans="1:15" ht="36">
      <c r="A1360" s="5">
        <v>1359</v>
      </c>
      <c r="B1360" t="str">
        <f t="shared" si="41"/>
        <v>TO</v>
      </c>
      <c r="C1360" t="str">
        <f t="shared" si="42"/>
        <v>KB</v>
      </c>
      <c r="D1360" t="s">
        <v>2640</v>
      </c>
      <c r="E1360" s="5"/>
      <c r="G1360" s="4" t="s">
        <v>2715</v>
      </c>
      <c r="H1360" s="306" t="s">
        <v>2720</v>
      </c>
      <c r="I1360" s="432" t="s">
        <v>2721</v>
      </c>
      <c r="K1360" t="s">
        <v>659</v>
      </c>
      <c r="L1360" t="s">
        <v>669</v>
      </c>
      <c r="M1360"/>
    </row>
    <row r="1361" spans="1:15">
      <c r="A1361" s="5">
        <v>1360</v>
      </c>
      <c r="B1361" t="str">
        <f t="shared" si="41"/>
        <v>TO</v>
      </c>
      <c r="C1361" t="str">
        <f t="shared" si="42"/>
        <v>KB</v>
      </c>
      <c r="D1361" t="s">
        <v>2640</v>
      </c>
      <c r="E1361" s="5"/>
      <c r="G1361" s="4" t="s">
        <v>2715</v>
      </c>
      <c r="H1361" s="306" t="s">
        <v>2722</v>
      </c>
      <c r="I1361" s="432" t="s">
        <v>2723</v>
      </c>
      <c r="K1361" t="s">
        <v>1434</v>
      </c>
      <c r="L1361" t="s">
        <v>669</v>
      </c>
      <c r="M1361"/>
    </row>
    <row r="1362" spans="1:15">
      <c r="A1362" s="5">
        <v>1361</v>
      </c>
      <c r="B1362" t="str">
        <f t="shared" si="41"/>
        <v>TO</v>
      </c>
      <c r="C1362" t="str">
        <f t="shared" si="42"/>
        <v>KB</v>
      </c>
      <c r="D1362" t="s">
        <v>2640</v>
      </c>
      <c r="E1362" s="5"/>
      <c r="G1362" s="4" t="s">
        <v>2724</v>
      </c>
      <c r="H1362" s="306" t="s">
        <v>403</v>
      </c>
      <c r="I1362" s="432" t="s">
        <v>2725</v>
      </c>
      <c r="K1362" t="s">
        <v>1434</v>
      </c>
      <c r="L1362" t="s">
        <v>669</v>
      </c>
      <c r="M1362"/>
    </row>
    <row r="1363" spans="1:15" ht="30">
      <c r="A1363" s="5">
        <v>1362</v>
      </c>
      <c r="B1363" t="str">
        <f t="shared" si="41"/>
        <v>TO</v>
      </c>
      <c r="C1363" t="str">
        <f t="shared" si="42"/>
        <v>KB</v>
      </c>
      <c r="D1363" t="s">
        <v>2640</v>
      </c>
      <c r="E1363" s="5"/>
      <c r="G1363" s="4" t="s">
        <v>2726</v>
      </c>
      <c r="H1363" s="306" t="s">
        <v>2727</v>
      </c>
      <c r="I1363" s="432" t="s">
        <v>2524</v>
      </c>
      <c r="K1363" t="s">
        <v>659</v>
      </c>
      <c r="L1363" t="s">
        <v>669</v>
      </c>
      <c r="M1363" t="s">
        <v>1083</v>
      </c>
      <c r="N1363" s="267" t="s">
        <v>2523</v>
      </c>
    </row>
    <row r="1364" spans="1:15">
      <c r="A1364" s="5">
        <v>1363</v>
      </c>
      <c r="B1364" t="str">
        <f t="shared" si="41"/>
        <v>TO</v>
      </c>
      <c r="C1364" t="str">
        <f t="shared" si="42"/>
        <v>KB</v>
      </c>
      <c r="D1364" t="s">
        <v>2640</v>
      </c>
      <c r="E1364" s="5"/>
      <c r="G1364" s="4" t="s">
        <v>2726</v>
      </c>
      <c r="H1364" s="306" t="s">
        <v>1014</v>
      </c>
      <c r="I1364" s="432" t="s">
        <v>2728</v>
      </c>
      <c r="K1364" t="s">
        <v>659</v>
      </c>
      <c r="L1364" t="s">
        <v>669</v>
      </c>
      <c r="M1364" t="s">
        <v>1083</v>
      </c>
    </row>
    <row r="1365" spans="1:15">
      <c r="A1365" s="5">
        <v>1364</v>
      </c>
      <c r="B1365" t="str">
        <f t="shared" si="41"/>
        <v>TO</v>
      </c>
      <c r="C1365" t="str">
        <f t="shared" si="42"/>
        <v>KB</v>
      </c>
      <c r="D1365" t="s">
        <v>2640</v>
      </c>
      <c r="E1365" s="5"/>
      <c r="G1365" s="4" t="s">
        <v>2726</v>
      </c>
      <c r="H1365" s="306" t="s">
        <v>2729</v>
      </c>
      <c r="I1365" s="432" t="s">
        <v>2730</v>
      </c>
      <c r="K1365" t="s">
        <v>1434</v>
      </c>
      <c r="L1365" t="s">
        <v>669</v>
      </c>
      <c r="M1365" t="s">
        <v>1083</v>
      </c>
    </row>
    <row r="1366" spans="1:15">
      <c r="A1366" s="5">
        <v>1365</v>
      </c>
      <c r="B1366" t="str">
        <f t="shared" si="41"/>
        <v>TO</v>
      </c>
      <c r="C1366" t="str">
        <f t="shared" si="42"/>
        <v>KB</v>
      </c>
      <c r="D1366" t="s">
        <v>2640</v>
      </c>
      <c r="E1366" s="5"/>
      <c r="G1366" s="4" t="s">
        <v>2726</v>
      </c>
      <c r="H1366" s="306" t="s">
        <v>1552</v>
      </c>
      <c r="I1366" s="432" t="s">
        <v>2731</v>
      </c>
      <c r="K1366" t="s">
        <v>659</v>
      </c>
      <c r="L1366" t="s">
        <v>669</v>
      </c>
      <c r="M1366"/>
    </row>
    <row r="1367" spans="1:15">
      <c r="A1367" s="5">
        <v>1366</v>
      </c>
      <c r="B1367" t="str">
        <f>MID(G1367,8,2)</f>
        <v>TO</v>
      </c>
      <c r="C1367" t="str">
        <f>MID(G1367,11,2)</f>
        <v>KB</v>
      </c>
      <c r="D1367" t="s">
        <v>2640</v>
      </c>
      <c r="E1367" s="5"/>
      <c r="G1367" s="4" t="s">
        <v>2726</v>
      </c>
      <c r="H1367" s="306" t="s">
        <v>1457</v>
      </c>
      <c r="I1367" s="432" t="s">
        <v>2732</v>
      </c>
      <c r="K1367" t="s">
        <v>659</v>
      </c>
      <c r="L1367" t="s">
        <v>669</v>
      </c>
      <c r="M1367"/>
    </row>
    <row r="1368" spans="1:15">
      <c r="A1368" s="5">
        <v>1367</v>
      </c>
      <c r="B1368" t="str">
        <f t="shared" ref="B1368:B1385" si="43">MID(G1368,8,2)</f>
        <v>TO</v>
      </c>
      <c r="C1368" t="str">
        <f t="shared" ref="C1368:C1385" si="44">MID(G1368,11,2)</f>
        <v>KB</v>
      </c>
      <c r="D1368" t="s">
        <v>2640</v>
      </c>
      <c r="E1368" s="5"/>
      <c r="G1368" s="4" t="s">
        <v>2733</v>
      </c>
      <c r="H1368" s="306" t="s">
        <v>2734</v>
      </c>
      <c r="I1368" s="432" t="s">
        <v>2735</v>
      </c>
      <c r="K1368" t="s">
        <v>659</v>
      </c>
      <c r="L1368" t="s">
        <v>669</v>
      </c>
      <c r="M1368" t="s">
        <v>1083</v>
      </c>
    </row>
    <row r="1369" spans="1:15">
      <c r="A1369" s="5">
        <v>1368</v>
      </c>
      <c r="B1369" t="str">
        <f t="shared" si="43"/>
        <v>TO</v>
      </c>
      <c r="C1369" t="str">
        <f t="shared" si="44"/>
        <v>KB</v>
      </c>
      <c r="D1369" t="s">
        <v>2640</v>
      </c>
      <c r="E1369" s="5"/>
      <c r="G1369" s="4" t="s">
        <v>2733</v>
      </c>
      <c r="H1369" s="306" t="s">
        <v>2736</v>
      </c>
      <c r="I1369" s="438" t="s">
        <v>2737</v>
      </c>
      <c r="K1369" t="s">
        <v>1434</v>
      </c>
      <c r="L1369" t="s">
        <v>669</v>
      </c>
      <c r="M1369" t="s">
        <v>1083</v>
      </c>
    </row>
    <row r="1370" spans="1:15">
      <c r="A1370" s="5">
        <v>1369</v>
      </c>
      <c r="B1370" t="str">
        <f t="shared" si="43"/>
        <v>TO</v>
      </c>
      <c r="C1370" t="str">
        <f t="shared" si="44"/>
        <v>KB</v>
      </c>
      <c r="D1370" t="s">
        <v>2640</v>
      </c>
      <c r="E1370" s="5"/>
      <c r="G1370" s="4" t="s">
        <v>2733</v>
      </c>
      <c r="H1370" s="306" t="s">
        <v>2738</v>
      </c>
      <c r="I1370" s="438" t="s">
        <v>2739</v>
      </c>
      <c r="K1370" t="s">
        <v>659</v>
      </c>
      <c r="L1370" t="s">
        <v>669</v>
      </c>
      <c r="M1370" t="s">
        <v>1083</v>
      </c>
      <c r="N1370" t="s">
        <v>2740</v>
      </c>
    </row>
    <row r="1371" spans="1:15">
      <c r="A1371" s="5">
        <v>1370</v>
      </c>
      <c r="B1371" t="str">
        <f t="shared" si="43"/>
        <v>TO</v>
      </c>
      <c r="C1371" t="str">
        <f t="shared" si="44"/>
        <v>KB</v>
      </c>
      <c r="D1371" t="s">
        <v>2640</v>
      </c>
      <c r="E1371" s="5"/>
      <c r="G1371" s="4" t="s">
        <v>2733</v>
      </c>
      <c r="H1371" s="306" t="s">
        <v>2741</v>
      </c>
      <c r="I1371" s="438" t="s">
        <v>2742</v>
      </c>
      <c r="K1371" t="s">
        <v>1434</v>
      </c>
      <c r="L1371" t="s">
        <v>669</v>
      </c>
      <c r="M1371" t="s">
        <v>2492</v>
      </c>
      <c r="N1371" t="s">
        <v>2743</v>
      </c>
      <c r="O1371" t="s">
        <v>1693</v>
      </c>
    </row>
    <row r="1372" spans="1:15" ht="21.6">
      <c r="A1372" s="5">
        <v>1371</v>
      </c>
      <c r="B1372" t="str">
        <f t="shared" si="43"/>
        <v>TO</v>
      </c>
      <c r="C1372" t="str">
        <f t="shared" si="44"/>
        <v>KB</v>
      </c>
      <c r="D1372" t="s">
        <v>2640</v>
      </c>
      <c r="E1372" s="5"/>
      <c r="G1372" s="4" t="s">
        <v>2733</v>
      </c>
      <c r="H1372" s="313" t="s">
        <v>1420</v>
      </c>
      <c r="I1372" s="438" t="s">
        <v>2744</v>
      </c>
      <c r="K1372" t="s">
        <v>659</v>
      </c>
      <c r="L1372" t="s">
        <v>669</v>
      </c>
      <c r="M1372" t="s">
        <v>1083</v>
      </c>
      <c r="O1372" t="s">
        <v>1693</v>
      </c>
    </row>
    <row r="1373" spans="1:15">
      <c r="A1373" s="5">
        <v>1372</v>
      </c>
      <c r="B1373" t="str">
        <f t="shared" si="43"/>
        <v>TO</v>
      </c>
      <c r="C1373" t="str">
        <f t="shared" si="44"/>
        <v>KB</v>
      </c>
      <c r="D1373" t="s">
        <v>2640</v>
      </c>
      <c r="E1373" s="5"/>
      <c r="G1373" s="4" t="s">
        <v>2745</v>
      </c>
      <c r="H1373" s="306" t="s">
        <v>2746</v>
      </c>
      <c r="I1373" s="438" t="s">
        <v>2747</v>
      </c>
      <c r="K1373" t="s">
        <v>659</v>
      </c>
      <c r="L1373" t="s">
        <v>669</v>
      </c>
      <c r="M1373" t="s">
        <v>1083</v>
      </c>
      <c r="N1373" t="s">
        <v>1693</v>
      </c>
    </row>
    <row r="1374" spans="1:15" ht="21.6">
      <c r="A1374" s="5">
        <v>1373</v>
      </c>
      <c r="B1374" t="str">
        <f t="shared" si="43"/>
        <v>TO</v>
      </c>
      <c r="C1374" t="str">
        <f t="shared" si="44"/>
        <v>KB</v>
      </c>
      <c r="D1374" t="s">
        <v>2640</v>
      </c>
      <c r="E1374" s="5"/>
      <c r="G1374" s="4" t="s">
        <v>2745</v>
      </c>
      <c r="H1374" s="313" t="s">
        <v>1702</v>
      </c>
      <c r="I1374" s="438" t="s">
        <v>2748</v>
      </c>
      <c r="K1374" t="s">
        <v>659</v>
      </c>
      <c r="L1374" t="s">
        <v>669</v>
      </c>
      <c r="M1374" t="s">
        <v>1083</v>
      </c>
      <c r="N1374" t="s">
        <v>1693</v>
      </c>
    </row>
    <row r="1375" spans="1:15">
      <c r="A1375" s="5">
        <v>1374</v>
      </c>
      <c r="B1375" t="str">
        <f t="shared" si="43"/>
        <v>TO</v>
      </c>
      <c r="C1375" t="str">
        <f t="shared" si="44"/>
        <v>KB</v>
      </c>
      <c r="D1375" t="s">
        <v>2640</v>
      </c>
      <c r="E1375" s="5"/>
      <c r="G1375" s="4" t="s">
        <v>2745</v>
      </c>
      <c r="H1375" s="306" t="s">
        <v>2749</v>
      </c>
      <c r="I1375" s="438" t="s">
        <v>2750</v>
      </c>
      <c r="K1375" t="s">
        <v>659</v>
      </c>
      <c r="L1375" t="s">
        <v>669</v>
      </c>
      <c r="M1375" t="s">
        <v>2492</v>
      </c>
      <c r="N1375" t="s">
        <v>1693</v>
      </c>
    </row>
    <row r="1376" spans="1:15">
      <c r="A1376" s="5">
        <v>1375</v>
      </c>
      <c r="B1376" t="str">
        <f t="shared" si="43"/>
        <v>TO</v>
      </c>
      <c r="C1376" t="str">
        <f t="shared" si="44"/>
        <v>KB</v>
      </c>
      <c r="D1376" t="s">
        <v>2640</v>
      </c>
      <c r="E1376" s="5"/>
      <c r="G1376" s="4" t="s">
        <v>2745</v>
      </c>
      <c r="H1376" s="306" t="s">
        <v>2751</v>
      </c>
      <c r="I1376" s="438" t="s">
        <v>2752</v>
      </c>
      <c r="K1376" t="s">
        <v>659</v>
      </c>
      <c r="L1376" t="s">
        <v>669</v>
      </c>
      <c r="M1376" t="s">
        <v>1083</v>
      </c>
      <c r="N1376" t="s">
        <v>1693</v>
      </c>
    </row>
    <row r="1377" spans="1:14" ht="36">
      <c r="A1377" s="5">
        <v>1376</v>
      </c>
      <c r="B1377" t="str">
        <f t="shared" si="43"/>
        <v>TO</v>
      </c>
      <c r="C1377" t="str">
        <f t="shared" si="44"/>
        <v>KB</v>
      </c>
      <c r="D1377" t="s">
        <v>2640</v>
      </c>
      <c r="E1377" s="5"/>
      <c r="G1377" s="4" t="s">
        <v>2753</v>
      </c>
      <c r="H1377" s="306" t="s">
        <v>1727</v>
      </c>
      <c r="I1377" s="438" t="s">
        <v>2754</v>
      </c>
      <c r="K1377" t="s">
        <v>659</v>
      </c>
      <c r="L1377" t="s">
        <v>669</v>
      </c>
      <c r="M1377" t="s">
        <v>2140</v>
      </c>
      <c r="N1377" s="4" t="s">
        <v>1726</v>
      </c>
    </row>
    <row r="1378" spans="1:14" ht="36">
      <c r="A1378" s="5">
        <v>1377</v>
      </c>
      <c r="B1378" t="str">
        <f t="shared" si="43"/>
        <v>TO</v>
      </c>
      <c r="C1378" t="str">
        <f t="shared" si="44"/>
        <v>KB</v>
      </c>
      <c r="D1378" t="s">
        <v>2640</v>
      </c>
      <c r="E1378" s="5"/>
      <c r="G1378" s="4" t="s">
        <v>2753</v>
      </c>
      <c r="H1378" s="306" t="s">
        <v>1728</v>
      </c>
      <c r="I1378" s="438" t="s">
        <v>2755</v>
      </c>
      <c r="K1378" t="s">
        <v>659</v>
      </c>
      <c r="L1378" t="s">
        <v>669</v>
      </c>
      <c r="M1378" t="s">
        <v>1083</v>
      </c>
      <c r="N1378" s="4" t="s">
        <v>1726</v>
      </c>
    </row>
    <row r="1379" spans="1:14" ht="36">
      <c r="A1379" s="5">
        <v>1378</v>
      </c>
      <c r="B1379" t="str">
        <f t="shared" si="43"/>
        <v>TO</v>
      </c>
      <c r="C1379" t="str">
        <f t="shared" si="44"/>
        <v>KB</v>
      </c>
      <c r="D1379" t="s">
        <v>2640</v>
      </c>
      <c r="E1379" s="5"/>
      <c r="G1379" s="4" t="s">
        <v>2753</v>
      </c>
      <c r="H1379" s="306" t="s">
        <v>1730</v>
      </c>
      <c r="I1379" s="438" t="s">
        <v>2756</v>
      </c>
      <c r="K1379" t="s">
        <v>659</v>
      </c>
      <c r="L1379" t="s">
        <v>669</v>
      </c>
      <c r="M1379" t="s">
        <v>1083</v>
      </c>
      <c r="N1379" s="4" t="s">
        <v>1726</v>
      </c>
    </row>
    <row r="1380" spans="1:14" ht="36">
      <c r="A1380" s="5">
        <v>1379</v>
      </c>
      <c r="B1380" t="str">
        <f t="shared" si="43"/>
        <v>TO</v>
      </c>
      <c r="C1380" t="str">
        <f t="shared" si="44"/>
        <v>KB</v>
      </c>
      <c r="D1380" t="s">
        <v>2640</v>
      </c>
      <c r="E1380" s="5"/>
      <c r="G1380" s="4" t="s">
        <v>2753</v>
      </c>
      <c r="H1380" s="306" t="s">
        <v>313</v>
      </c>
      <c r="I1380" s="438" t="s">
        <v>2757</v>
      </c>
      <c r="K1380" t="s">
        <v>659</v>
      </c>
      <c r="L1380" t="s">
        <v>669</v>
      </c>
      <c r="M1380" t="s">
        <v>1083</v>
      </c>
      <c r="N1380" s="4" t="s">
        <v>1726</v>
      </c>
    </row>
    <row r="1381" spans="1:14" ht="36">
      <c r="A1381" s="5">
        <v>1380</v>
      </c>
      <c r="B1381" t="str">
        <f t="shared" si="43"/>
        <v>TO</v>
      </c>
      <c r="C1381" t="str">
        <f t="shared" si="44"/>
        <v>KB</v>
      </c>
      <c r="D1381" t="s">
        <v>2758</v>
      </c>
      <c r="E1381" s="5"/>
      <c r="G1381" s="4" t="s">
        <v>2759</v>
      </c>
      <c r="H1381" s="306" t="s">
        <v>1732</v>
      </c>
      <c r="I1381" s="438" t="s">
        <v>2760</v>
      </c>
      <c r="K1381" t="s">
        <v>659</v>
      </c>
      <c r="L1381" t="s">
        <v>669</v>
      </c>
      <c r="M1381" t="s">
        <v>1083</v>
      </c>
      <c r="N1381" s="4" t="s">
        <v>1726</v>
      </c>
    </row>
    <row r="1382" spans="1:14" ht="36">
      <c r="A1382" s="5">
        <v>1381</v>
      </c>
      <c r="B1382" t="str">
        <f t="shared" si="43"/>
        <v>TO</v>
      </c>
      <c r="C1382" t="str">
        <f t="shared" si="44"/>
        <v>KB</v>
      </c>
      <c r="D1382" t="s">
        <v>2758</v>
      </c>
      <c r="E1382" s="5"/>
      <c r="G1382" s="4" t="s">
        <v>2759</v>
      </c>
      <c r="H1382" s="306" t="s">
        <v>1733</v>
      </c>
      <c r="I1382" s="438" t="s">
        <v>2761</v>
      </c>
      <c r="K1382" t="s">
        <v>659</v>
      </c>
      <c r="L1382" t="s">
        <v>669</v>
      </c>
      <c r="M1382" t="s">
        <v>1083</v>
      </c>
      <c r="N1382" s="4" t="s">
        <v>1726</v>
      </c>
    </row>
    <row r="1383" spans="1:14" ht="36">
      <c r="A1383" s="5">
        <v>1382</v>
      </c>
      <c r="B1383" t="str">
        <f t="shared" si="43"/>
        <v>TO</v>
      </c>
      <c r="C1383" t="str">
        <f t="shared" si="44"/>
        <v>KB</v>
      </c>
      <c r="D1383" t="s">
        <v>2758</v>
      </c>
      <c r="E1383" s="5"/>
      <c r="G1383" s="4" t="s">
        <v>2759</v>
      </c>
      <c r="H1383" s="306" t="s">
        <v>1734</v>
      </c>
      <c r="I1383" s="432" t="s">
        <v>2762</v>
      </c>
      <c r="K1383" t="s">
        <v>659</v>
      </c>
      <c r="L1383" t="s">
        <v>669</v>
      </c>
      <c r="M1383" t="s">
        <v>1083</v>
      </c>
      <c r="N1383" s="4" t="s">
        <v>1726</v>
      </c>
    </row>
    <row r="1384" spans="1:14" ht="36">
      <c r="A1384" s="5">
        <v>1383</v>
      </c>
      <c r="B1384" t="str">
        <f t="shared" si="43"/>
        <v>TO</v>
      </c>
      <c r="C1384" t="str">
        <f t="shared" si="44"/>
        <v>KB</v>
      </c>
      <c r="D1384" t="s">
        <v>2758</v>
      </c>
      <c r="E1384" s="5"/>
      <c r="G1384" s="4" t="s">
        <v>2759</v>
      </c>
      <c r="H1384" s="306" t="s">
        <v>1735</v>
      </c>
      <c r="I1384" s="438" t="s">
        <v>2763</v>
      </c>
      <c r="K1384" t="s">
        <v>659</v>
      </c>
      <c r="L1384" t="s">
        <v>669</v>
      </c>
      <c r="M1384" t="s">
        <v>1083</v>
      </c>
      <c r="N1384" s="4" t="s">
        <v>1726</v>
      </c>
    </row>
    <row r="1385" spans="1:14">
      <c r="A1385" s="5">
        <v>1384</v>
      </c>
      <c r="B1385" t="str">
        <f t="shared" si="43"/>
        <v>TO</v>
      </c>
      <c r="C1385" t="str">
        <f t="shared" si="44"/>
        <v>KB</v>
      </c>
      <c r="D1385" t="s">
        <v>2758</v>
      </c>
      <c r="E1385" s="5"/>
      <c r="G1385" s="4" t="s">
        <v>2759</v>
      </c>
      <c r="H1385" s="306" t="s">
        <v>439</v>
      </c>
      <c r="I1385" s="438" t="s">
        <v>2470</v>
      </c>
      <c r="K1385" t="s">
        <v>659</v>
      </c>
      <c r="L1385" t="s">
        <v>669</v>
      </c>
      <c r="M1385" t="s">
        <v>2021</v>
      </c>
    </row>
    <row r="1386" spans="1:14" ht="36">
      <c r="A1386" s="5">
        <v>1385</v>
      </c>
      <c r="B1386" t="str">
        <f t="shared" ref="B1386" si="45">MID(G1386,8,2)</f>
        <v>MH</v>
      </c>
      <c r="C1386" t="str">
        <f t="shared" ref="C1386" si="46">MID(G1386,11,2)</f>
        <v>KB</v>
      </c>
      <c r="D1386" t="s">
        <v>2764</v>
      </c>
      <c r="E1386" s="5"/>
      <c r="G1386" s="4" t="s">
        <v>2765</v>
      </c>
      <c r="H1386" s="306" t="s">
        <v>439</v>
      </c>
      <c r="I1386" s="438" t="s">
        <v>2470</v>
      </c>
      <c r="K1386" t="s">
        <v>659</v>
      </c>
      <c r="L1386" t="s">
        <v>669</v>
      </c>
      <c r="M1386" t="s">
        <v>1083</v>
      </c>
    </row>
    <row r="1387" spans="1:14" ht="36">
      <c r="A1387" s="5">
        <v>1386</v>
      </c>
      <c r="B1387" t="str">
        <f t="shared" ref="B1387:B1400" si="47">MID(G1387,8,2)</f>
        <v>MH</v>
      </c>
      <c r="C1387" t="str">
        <f t="shared" ref="C1387:C1400" si="48">MID(G1387,11,2)</f>
        <v>KB</v>
      </c>
      <c r="D1387" t="s">
        <v>2758</v>
      </c>
      <c r="E1387" s="5"/>
      <c r="F1387" t="s">
        <v>2766</v>
      </c>
      <c r="G1387" s="4" t="s">
        <v>2767</v>
      </c>
      <c r="H1387" s="306" t="s">
        <v>459</v>
      </c>
      <c r="I1387" s="432" t="s">
        <v>5523</v>
      </c>
      <c r="K1387" t="s">
        <v>659</v>
      </c>
      <c r="L1387" t="s">
        <v>669</v>
      </c>
      <c r="M1387" t="s">
        <v>1083</v>
      </c>
      <c r="N1387" t="s">
        <v>2768</v>
      </c>
    </row>
    <row r="1388" spans="1:14">
      <c r="A1388" s="5">
        <v>1387</v>
      </c>
      <c r="B1388" t="str">
        <f t="shared" si="47"/>
        <v>TO</v>
      </c>
      <c r="C1388" t="str">
        <f t="shared" si="48"/>
        <v>KB</v>
      </c>
      <c r="D1388" t="s">
        <v>2758</v>
      </c>
      <c r="E1388" s="5"/>
      <c r="F1388" t="s">
        <v>2766</v>
      </c>
      <c r="G1388" s="4" t="s">
        <v>2769</v>
      </c>
      <c r="H1388" s="306" t="s">
        <v>5765</v>
      </c>
      <c r="I1388" s="450" t="s">
        <v>2770</v>
      </c>
      <c r="K1388" t="s">
        <v>1434</v>
      </c>
      <c r="L1388" t="s">
        <v>669</v>
      </c>
      <c r="M1388" t="s">
        <v>1083</v>
      </c>
      <c r="N1388" s="281" t="s">
        <v>2771</v>
      </c>
    </row>
    <row r="1389" spans="1:14">
      <c r="A1389" s="5">
        <v>1388</v>
      </c>
      <c r="B1389" t="str">
        <f t="shared" si="47"/>
        <v>TO</v>
      </c>
      <c r="C1389" t="str">
        <f t="shared" si="48"/>
        <v>KB</v>
      </c>
      <c r="D1389" t="s">
        <v>2758</v>
      </c>
      <c r="E1389" s="5"/>
      <c r="F1389" t="s">
        <v>2766</v>
      </c>
      <c r="G1389" s="4" t="s">
        <v>2769</v>
      </c>
      <c r="H1389" s="306" t="s">
        <v>2772</v>
      </c>
      <c r="I1389" s="438" t="s">
        <v>1115</v>
      </c>
      <c r="K1389" t="s">
        <v>659</v>
      </c>
      <c r="L1389" t="s">
        <v>669</v>
      </c>
      <c r="M1389" t="s">
        <v>1083</v>
      </c>
      <c r="N1389" s="281" t="s">
        <v>2773</v>
      </c>
    </row>
    <row r="1390" spans="1:14">
      <c r="A1390" s="5">
        <v>1389</v>
      </c>
      <c r="B1390" t="str">
        <f t="shared" si="47"/>
        <v>TO</v>
      </c>
      <c r="C1390" t="str">
        <f t="shared" si="48"/>
        <v>KB</v>
      </c>
      <c r="D1390" t="s">
        <v>2758</v>
      </c>
      <c r="E1390" s="5"/>
      <c r="F1390" t="s">
        <v>2766</v>
      </c>
      <c r="G1390" s="4" t="s">
        <v>2769</v>
      </c>
      <c r="H1390" s="306" t="s">
        <v>378</v>
      </c>
      <c r="I1390" s="438" t="s">
        <v>2488</v>
      </c>
      <c r="K1390" t="s">
        <v>659</v>
      </c>
      <c r="L1390" t="s">
        <v>669</v>
      </c>
      <c r="M1390" t="s">
        <v>1083</v>
      </c>
      <c r="N1390" s="282" t="s">
        <v>2774</v>
      </c>
    </row>
    <row r="1391" spans="1:14" ht="36">
      <c r="A1391" s="5">
        <v>1390</v>
      </c>
      <c r="B1391" t="str">
        <f t="shared" si="47"/>
        <v>TO</v>
      </c>
      <c r="C1391" t="str">
        <f t="shared" si="48"/>
        <v>KB</v>
      </c>
      <c r="D1391" t="s">
        <v>2758</v>
      </c>
      <c r="E1391" s="5"/>
      <c r="F1391" t="s">
        <v>2766</v>
      </c>
      <c r="G1391" s="4" t="s">
        <v>2769</v>
      </c>
      <c r="H1391" s="306" t="s">
        <v>2154</v>
      </c>
      <c r="I1391" s="450" t="s">
        <v>2155</v>
      </c>
      <c r="K1391" t="s">
        <v>659</v>
      </c>
      <c r="L1391" t="s">
        <v>669</v>
      </c>
      <c r="M1391" t="s">
        <v>1083</v>
      </c>
    </row>
    <row r="1392" spans="1:14">
      <c r="A1392" s="5">
        <v>1391</v>
      </c>
      <c r="B1392" t="str">
        <f t="shared" si="47"/>
        <v>TO</v>
      </c>
      <c r="C1392" t="str">
        <f t="shared" si="48"/>
        <v>KB</v>
      </c>
      <c r="D1392" t="s">
        <v>2758</v>
      </c>
      <c r="E1392" s="5"/>
      <c r="F1392" t="s">
        <v>2766</v>
      </c>
      <c r="G1392" s="4" t="s">
        <v>2769</v>
      </c>
      <c r="H1392" s="306" t="s">
        <v>2636</v>
      </c>
      <c r="I1392" s="450" t="s">
        <v>2637</v>
      </c>
      <c r="K1392" t="s">
        <v>659</v>
      </c>
      <c r="L1392" t="s">
        <v>669</v>
      </c>
      <c r="M1392" t="s">
        <v>1083</v>
      </c>
    </row>
    <row r="1393" spans="1:15">
      <c r="A1393" s="5">
        <v>1392</v>
      </c>
      <c r="B1393" t="str">
        <f t="shared" si="47"/>
        <v>TO</v>
      </c>
      <c r="C1393" t="str">
        <f t="shared" si="48"/>
        <v>KB</v>
      </c>
      <c r="D1393" t="s">
        <v>2758</v>
      </c>
      <c r="E1393" s="5"/>
      <c r="F1393" t="s">
        <v>2766</v>
      </c>
      <c r="G1393" s="4" t="s">
        <v>2775</v>
      </c>
      <c r="H1393" s="306" t="s">
        <v>1855</v>
      </c>
      <c r="I1393" s="450" t="s">
        <v>2776</v>
      </c>
      <c r="K1393" t="s">
        <v>659</v>
      </c>
      <c r="L1393" t="s">
        <v>2102</v>
      </c>
      <c r="M1393" t="s">
        <v>2777</v>
      </c>
      <c r="N1393" s="4"/>
      <c r="O1393" t="s">
        <v>2492</v>
      </c>
    </row>
    <row r="1394" spans="1:15">
      <c r="A1394" s="5">
        <v>1393</v>
      </c>
      <c r="B1394" t="str">
        <f t="shared" si="47"/>
        <v>TO</v>
      </c>
      <c r="C1394" t="str">
        <f t="shared" si="48"/>
        <v>KB</v>
      </c>
      <c r="D1394" t="s">
        <v>2758</v>
      </c>
      <c r="E1394" s="5"/>
      <c r="F1394" t="s">
        <v>2766</v>
      </c>
      <c r="G1394" s="4" t="s">
        <v>2775</v>
      </c>
      <c r="H1394" s="306" t="s">
        <v>2778</v>
      </c>
      <c r="I1394" s="450" t="s">
        <v>2779</v>
      </c>
      <c r="K1394" t="s">
        <v>659</v>
      </c>
      <c r="L1394" t="s">
        <v>669</v>
      </c>
      <c r="M1394" t="s">
        <v>2777</v>
      </c>
      <c r="N1394" s="4"/>
    </row>
    <row r="1395" spans="1:15">
      <c r="A1395" s="5">
        <v>1394</v>
      </c>
      <c r="B1395" t="str">
        <f t="shared" si="47"/>
        <v>TO</v>
      </c>
      <c r="C1395" t="str">
        <f t="shared" si="48"/>
        <v>KB</v>
      </c>
      <c r="D1395" t="s">
        <v>2758</v>
      </c>
      <c r="E1395" s="5"/>
      <c r="F1395" t="s">
        <v>2766</v>
      </c>
      <c r="G1395" s="4" t="s">
        <v>2775</v>
      </c>
      <c r="H1395" s="306" t="s">
        <v>2780</v>
      </c>
      <c r="I1395" s="450" t="s">
        <v>2781</v>
      </c>
      <c r="K1395" t="s">
        <v>659</v>
      </c>
      <c r="L1395" t="s">
        <v>669</v>
      </c>
      <c r="M1395" t="s">
        <v>2777</v>
      </c>
      <c r="N1395" s="4"/>
    </row>
    <row r="1396" spans="1:15">
      <c r="A1396" s="5">
        <v>1395</v>
      </c>
      <c r="B1396" t="str">
        <f t="shared" si="47"/>
        <v>TO</v>
      </c>
      <c r="C1396" t="str">
        <f t="shared" si="48"/>
        <v>KB</v>
      </c>
      <c r="D1396" t="s">
        <v>2758</v>
      </c>
      <c r="E1396" s="5"/>
      <c r="F1396" t="s">
        <v>2766</v>
      </c>
      <c r="G1396" s="4" t="s">
        <v>2775</v>
      </c>
      <c r="H1396" s="306" t="s">
        <v>2782</v>
      </c>
      <c r="I1396" s="450" t="s">
        <v>2783</v>
      </c>
      <c r="K1396" t="s">
        <v>1434</v>
      </c>
      <c r="L1396" t="s">
        <v>2102</v>
      </c>
      <c r="M1396" t="s">
        <v>2777</v>
      </c>
      <c r="N1396" t="s">
        <v>2492</v>
      </c>
    </row>
    <row r="1397" spans="1:15">
      <c r="A1397" s="5">
        <v>1396</v>
      </c>
      <c r="B1397" t="str">
        <f t="shared" si="47"/>
        <v>TO</v>
      </c>
      <c r="C1397" t="str">
        <f t="shared" si="48"/>
        <v>KB</v>
      </c>
      <c r="D1397" t="s">
        <v>2758</v>
      </c>
      <c r="E1397" s="5"/>
      <c r="F1397" t="s">
        <v>2766</v>
      </c>
      <c r="G1397" s="4" t="s">
        <v>2784</v>
      </c>
      <c r="H1397" s="306" t="s">
        <v>374</v>
      </c>
      <c r="I1397" s="450" t="s">
        <v>2213</v>
      </c>
      <c r="K1397" t="s">
        <v>659</v>
      </c>
      <c r="L1397" t="s">
        <v>669</v>
      </c>
      <c r="M1397" t="s">
        <v>1083</v>
      </c>
      <c r="O1397" s="267"/>
    </row>
    <row r="1398" spans="1:15">
      <c r="A1398" s="5">
        <v>1397</v>
      </c>
      <c r="B1398" t="str">
        <f t="shared" si="47"/>
        <v>TO</v>
      </c>
      <c r="C1398" t="str">
        <f t="shared" si="48"/>
        <v>KB</v>
      </c>
      <c r="D1398" t="s">
        <v>2758</v>
      </c>
      <c r="E1398" s="5"/>
      <c r="F1398" t="s">
        <v>2766</v>
      </c>
      <c r="G1398" s="4" t="s">
        <v>2785</v>
      </c>
      <c r="H1398" s="306" t="s">
        <v>407</v>
      </c>
      <c r="I1398" s="432" t="s">
        <v>2786</v>
      </c>
      <c r="K1398" t="s">
        <v>1434</v>
      </c>
      <c r="L1398" t="s">
        <v>669</v>
      </c>
      <c r="M1398" t="s">
        <v>1083</v>
      </c>
      <c r="N1398" s="4" t="s">
        <v>2787</v>
      </c>
      <c r="O1398" s="267"/>
    </row>
    <row r="1399" spans="1:15" ht="36">
      <c r="A1399" s="5">
        <v>1398</v>
      </c>
      <c r="B1399" t="str">
        <f t="shared" si="47"/>
        <v>TO</v>
      </c>
      <c r="C1399" t="str">
        <f t="shared" si="48"/>
        <v>KB</v>
      </c>
      <c r="D1399" t="s">
        <v>2758</v>
      </c>
      <c r="E1399" s="5"/>
      <c r="F1399" t="s">
        <v>2766</v>
      </c>
      <c r="G1399" s="4" t="s">
        <v>2785</v>
      </c>
      <c r="H1399" s="306" t="s">
        <v>2788</v>
      </c>
      <c r="I1399" s="432" t="s">
        <v>2789</v>
      </c>
      <c r="K1399" t="s">
        <v>1434</v>
      </c>
      <c r="L1399" t="s">
        <v>669</v>
      </c>
      <c r="M1399" t="s">
        <v>1083</v>
      </c>
      <c r="O1399" s="267" t="s">
        <v>2448</v>
      </c>
    </row>
    <row r="1400" spans="1:15">
      <c r="A1400" s="5">
        <v>1399</v>
      </c>
      <c r="B1400" t="str">
        <f t="shared" si="47"/>
        <v>TO</v>
      </c>
      <c r="C1400" t="str">
        <f t="shared" si="48"/>
        <v>KB</v>
      </c>
      <c r="D1400" t="s">
        <v>2758</v>
      </c>
      <c r="E1400" s="5"/>
      <c r="F1400" t="s">
        <v>2766</v>
      </c>
      <c r="G1400" s="4" t="s">
        <v>2784</v>
      </c>
      <c r="H1400" s="306" t="s">
        <v>373</v>
      </c>
      <c r="I1400" s="450" t="s">
        <v>2211</v>
      </c>
      <c r="K1400" t="s">
        <v>659</v>
      </c>
      <c r="L1400" t="s">
        <v>669</v>
      </c>
      <c r="M1400" t="s">
        <v>1083</v>
      </c>
    </row>
    <row r="1401" spans="1:15">
      <c r="A1401" s="5">
        <v>1400</v>
      </c>
      <c r="B1401" t="str">
        <f t="shared" ref="B1401:B1412" si="49">MID(G1401,8,2)</f>
        <v>TO</v>
      </c>
      <c r="C1401" t="str">
        <f t="shared" ref="C1401:C1412" si="50">MID(G1401,11,2)</f>
        <v>KB</v>
      </c>
      <c r="D1401" t="s">
        <v>2758</v>
      </c>
      <c r="E1401" s="5"/>
      <c r="F1401" t="s">
        <v>2766</v>
      </c>
      <c r="G1401" s="4" t="s">
        <v>2784</v>
      </c>
      <c r="H1401" s="306" t="s">
        <v>2790</v>
      </c>
      <c r="I1401" s="450" t="s">
        <v>2791</v>
      </c>
      <c r="K1401" t="s">
        <v>659</v>
      </c>
      <c r="L1401" t="s">
        <v>669</v>
      </c>
      <c r="M1401" t="s">
        <v>2777</v>
      </c>
    </row>
    <row r="1402" spans="1:15" ht="36">
      <c r="A1402" s="5">
        <v>1401</v>
      </c>
      <c r="B1402" t="str">
        <f t="shared" si="49"/>
        <v>MH</v>
      </c>
      <c r="C1402" t="str">
        <f t="shared" si="50"/>
        <v>KB</v>
      </c>
      <c r="D1402" t="s">
        <v>2640</v>
      </c>
      <c r="E1402" s="5"/>
      <c r="F1402" t="s">
        <v>2766</v>
      </c>
      <c r="G1402" s="4" t="s">
        <v>2792</v>
      </c>
      <c r="H1402" s="306" t="s">
        <v>296</v>
      </c>
      <c r="I1402" s="432" t="s">
        <v>2611</v>
      </c>
      <c r="K1402" t="s">
        <v>659</v>
      </c>
      <c r="L1402" t="s">
        <v>669</v>
      </c>
      <c r="M1402" t="s">
        <v>1083</v>
      </c>
    </row>
    <row r="1403" spans="1:15" ht="37.200000000000003">
      <c r="A1403" s="5">
        <v>1402</v>
      </c>
      <c r="B1403" t="str">
        <f>MID(G1403,8,2)</f>
        <v>TO</v>
      </c>
      <c r="C1403" t="str">
        <f>MID(G1403,11,2)</f>
        <v>KB</v>
      </c>
      <c r="D1403" t="s">
        <v>2758</v>
      </c>
      <c r="E1403" s="5"/>
      <c r="G1403" s="4" t="s">
        <v>2793</v>
      </c>
      <c r="H1403" s="313" t="s">
        <v>2794</v>
      </c>
      <c r="I1403" s="432" t="s">
        <v>2795</v>
      </c>
      <c r="K1403" t="s">
        <v>1434</v>
      </c>
      <c r="L1403" t="s">
        <v>669</v>
      </c>
      <c r="M1403" s="1" t="s">
        <v>2043</v>
      </c>
    </row>
    <row r="1404" spans="1:15" ht="37.200000000000003">
      <c r="A1404" s="5">
        <v>1403</v>
      </c>
      <c r="B1404" t="str">
        <f t="shared" si="49"/>
        <v>TO</v>
      </c>
      <c r="C1404" t="str">
        <f t="shared" si="50"/>
        <v>KB</v>
      </c>
      <c r="D1404" t="s">
        <v>2758</v>
      </c>
      <c r="E1404" s="5"/>
      <c r="G1404" s="4" t="s">
        <v>2796</v>
      </c>
      <c r="H1404" s="313" t="s">
        <v>409</v>
      </c>
      <c r="I1404" s="432" t="s">
        <v>2797</v>
      </c>
      <c r="K1404" t="s">
        <v>1434</v>
      </c>
      <c r="L1404" t="s">
        <v>669</v>
      </c>
      <c r="M1404" s="1" t="s">
        <v>2043</v>
      </c>
    </row>
    <row r="1405" spans="1:15">
      <c r="A1405" s="5">
        <v>1404</v>
      </c>
      <c r="B1405" t="str">
        <f t="shared" si="49"/>
        <v>TO</v>
      </c>
      <c r="C1405" t="str">
        <f t="shared" si="50"/>
        <v>KB</v>
      </c>
      <c r="D1405" t="s">
        <v>2640</v>
      </c>
      <c r="E1405" s="5"/>
      <c r="G1405" s="4" t="s">
        <v>2798</v>
      </c>
      <c r="H1405" s="306" t="s">
        <v>2124</v>
      </c>
      <c r="I1405" s="450" t="s">
        <v>2799</v>
      </c>
      <c r="K1405" t="s">
        <v>659</v>
      </c>
      <c r="L1405" t="s">
        <v>669</v>
      </c>
      <c r="M1405" t="s">
        <v>1083</v>
      </c>
      <c r="O1405" s="4" t="s">
        <v>2122</v>
      </c>
    </row>
    <row r="1406" spans="1:15">
      <c r="A1406" s="5">
        <v>1405</v>
      </c>
      <c r="B1406" t="str">
        <f t="shared" si="49"/>
        <v>TO</v>
      </c>
      <c r="C1406" t="str">
        <f t="shared" si="50"/>
        <v>KB</v>
      </c>
      <c r="D1406" t="s">
        <v>2640</v>
      </c>
      <c r="E1406" s="5"/>
      <c r="G1406" s="4" t="s">
        <v>2798</v>
      </c>
      <c r="H1406" s="306" t="s">
        <v>2800</v>
      </c>
      <c r="I1406" s="450" t="s">
        <v>2801</v>
      </c>
      <c r="K1406" t="s">
        <v>1434</v>
      </c>
      <c r="L1406" t="s">
        <v>669</v>
      </c>
      <c r="M1406" t="s">
        <v>1083</v>
      </c>
    </row>
    <row r="1407" spans="1:15">
      <c r="A1407" s="5">
        <v>1406</v>
      </c>
      <c r="B1407" t="str">
        <f t="shared" si="49"/>
        <v>TO</v>
      </c>
      <c r="C1407" t="str">
        <f t="shared" si="50"/>
        <v>KB</v>
      </c>
      <c r="D1407" t="s">
        <v>2640</v>
      </c>
      <c r="E1407" s="5"/>
      <c r="G1407" s="4" t="s">
        <v>2798</v>
      </c>
      <c r="H1407" s="306" t="s">
        <v>2802</v>
      </c>
      <c r="I1407" s="450" t="s">
        <v>2803</v>
      </c>
      <c r="K1407" t="s">
        <v>1434</v>
      </c>
      <c r="L1407" t="s">
        <v>669</v>
      </c>
      <c r="M1407" t="s">
        <v>1083</v>
      </c>
    </row>
    <row r="1408" spans="1:15">
      <c r="A1408" s="5">
        <v>1407</v>
      </c>
      <c r="B1408" t="str">
        <f t="shared" si="49"/>
        <v>TO</v>
      </c>
      <c r="C1408" t="str">
        <f t="shared" si="50"/>
        <v>KB</v>
      </c>
      <c r="D1408" t="s">
        <v>2640</v>
      </c>
      <c r="E1408" s="5"/>
      <c r="G1408" s="4" t="s">
        <v>2798</v>
      </c>
      <c r="H1408" s="306" t="s">
        <v>1393</v>
      </c>
      <c r="I1408" s="450" t="s">
        <v>2804</v>
      </c>
      <c r="K1408" t="s">
        <v>659</v>
      </c>
      <c r="L1408" t="s">
        <v>669</v>
      </c>
      <c r="M1408"/>
    </row>
    <row r="1409" spans="1:15">
      <c r="A1409" s="5">
        <v>1408</v>
      </c>
      <c r="B1409" t="str">
        <f t="shared" si="49"/>
        <v>TO</v>
      </c>
      <c r="C1409" t="str">
        <f t="shared" si="50"/>
        <v>KB</v>
      </c>
      <c r="D1409" t="s">
        <v>2640</v>
      </c>
      <c r="E1409" s="5"/>
      <c r="G1409" s="4" t="s">
        <v>2798</v>
      </c>
      <c r="H1409" s="306" t="s">
        <v>2805</v>
      </c>
      <c r="I1409" s="450" t="s">
        <v>2806</v>
      </c>
      <c r="K1409" t="s">
        <v>659</v>
      </c>
      <c r="L1409" t="s">
        <v>669</v>
      </c>
      <c r="M1409"/>
    </row>
    <row r="1410" spans="1:15">
      <c r="A1410" s="5">
        <v>1409</v>
      </c>
      <c r="B1410" t="str">
        <f t="shared" si="49"/>
        <v>TO</v>
      </c>
      <c r="C1410" t="str">
        <f t="shared" si="50"/>
        <v>KB</v>
      </c>
      <c r="D1410" t="s">
        <v>2640</v>
      </c>
      <c r="E1410" s="5"/>
      <c r="G1410" s="4" t="s">
        <v>2798</v>
      </c>
      <c r="H1410" s="306" t="s">
        <v>2807</v>
      </c>
      <c r="I1410" s="450" t="s">
        <v>2808</v>
      </c>
      <c r="K1410" t="s">
        <v>659</v>
      </c>
      <c r="L1410" t="s">
        <v>669</v>
      </c>
      <c r="M1410"/>
    </row>
    <row r="1411" spans="1:15">
      <c r="A1411" s="5">
        <v>1410</v>
      </c>
      <c r="B1411" t="str">
        <f t="shared" si="49"/>
        <v>TO</v>
      </c>
      <c r="C1411" t="str">
        <f t="shared" si="50"/>
        <v>KB</v>
      </c>
      <c r="D1411" t="s">
        <v>2640</v>
      </c>
      <c r="E1411" s="5"/>
      <c r="G1411" s="4" t="s">
        <v>2798</v>
      </c>
      <c r="H1411" s="306" t="s">
        <v>2809</v>
      </c>
      <c r="I1411" s="450" t="s">
        <v>2810</v>
      </c>
      <c r="K1411" t="s">
        <v>1434</v>
      </c>
      <c r="L1411" t="s">
        <v>669</v>
      </c>
      <c r="M1411" t="s">
        <v>1083</v>
      </c>
    </row>
    <row r="1412" spans="1:15">
      <c r="A1412" s="5">
        <v>1411</v>
      </c>
      <c r="B1412" t="str">
        <f t="shared" si="49"/>
        <v>TO</v>
      </c>
      <c r="C1412" t="str">
        <f t="shared" si="50"/>
        <v>KB</v>
      </c>
      <c r="D1412" t="s">
        <v>2640</v>
      </c>
      <c r="E1412" s="5"/>
      <c r="G1412" s="4" t="s">
        <v>2811</v>
      </c>
      <c r="H1412" s="306" t="s">
        <v>410</v>
      </c>
      <c r="I1412" s="432" t="s">
        <v>2812</v>
      </c>
      <c r="K1412" t="s">
        <v>1434</v>
      </c>
      <c r="L1412" t="s">
        <v>669</v>
      </c>
      <c r="M1412" s="1" t="s">
        <v>2043</v>
      </c>
    </row>
    <row r="1413" spans="1:15" ht="36">
      <c r="A1413" s="5">
        <v>1412</v>
      </c>
      <c r="B1413" t="str">
        <f t="shared" ref="B1413:B1434" si="51">MID(G1413,8,2)</f>
        <v>TO</v>
      </c>
      <c r="C1413" t="str">
        <f t="shared" ref="C1413:C1434" si="52">MID(G1413,11,2)</f>
        <v>KB</v>
      </c>
      <c r="D1413" t="s">
        <v>2758</v>
      </c>
      <c r="E1413" s="5"/>
      <c r="G1413" s="4" t="s">
        <v>2813</v>
      </c>
      <c r="H1413" s="306" t="s">
        <v>2814</v>
      </c>
      <c r="I1413" s="438" t="s">
        <v>2377</v>
      </c>
      <c r="K1413" t="s">
        <v>659</v>
      </c>
      <c r="L1413" t="s">
        <v>669</v>
      </c>
      <c r="M1413" t="s">
        <v>1083</v>
      </c>
    </row>
    <row r="1414" spans="1:15">
      <c r="A1414" s="5">
        <v>1413</v>
      </c>
      <c r="B1414" t="str">
        <f t="shared" si="51"/>
        <v>TO</v>
      </c>
      <c r="C1414" t="str">
        <f t="shared" si="52"/>
        <v>KB</v>
      </c>
      <c r="D1414" t="s">
        <v>2758</v>
      </c>
      <c r="E1414" s="5"/>
      <c r="G1414" s="4" t="s">
        <v>2813</v>
      </c>
      <c r="H1414" s="306" t="s">
        <v>2815</v>
      </c>
      <c r="I1414" s="438" t="s">
        <v>2816</v>
      </c>
      <c r="K1414" t="s">
        <v>1434</v>
      </c>
      <c r="L1414" t="s">
        <v>669</v>
      </c>
      <c r="M1414" t="s">
        <v>1083</v>
      </c>
    </row>
    <row r="1415" spans="1:15">
      <c r="A1415" s="5">
        <v>1414</v>
      </c>
      <c r="B1415" t="str">
        <f t="shared" si="51"/>
        <v>TO</v>
      </c>
      <c r="C1415" t="str">
        <f t="shared" si="52"/>
        <v>KB</v>
      </c>
      <c r="D1415" t="s">
        <v>2758</v>
      </c>
      <c r="E1415" s="5"/>
      <c r="G1415" s="4" t="s">
        <v>2813</v>
      </c>
      <c r="H1415" s="306" t="s">
        <v>2817</v>
      </c>
      <c r="I1415" s="438" t="s">
        <v>2818</v>
      </c>
      <c r="K1415" t="s">
        <v>659</v>
      </c>
      <c r="L1415" t="s">
        <v>669</v>
      </c>
      <c r="M1415" t="s">
        <v>1083</v>
      </c>
    </row>
    <row r="1416" spans="1:15">
      <c r="A1416" s="5">
        <v>1415</v>
      </c>
      <c r="B1416" t="str">
        <f t="shared" si="51"/>
        <v>TO</v>
      </c>
      <c r="C1416" t="str">
        <f t="shared" si="52"/>
        <v>KB</v>
      </c>
      <c r="D1416" t="s">
        <v>2758</v>
      </c>
      <c r="E1416" s="5"/>
      <c r="G1416" s="4" t="s">
        <v>2813</v>
      </c>
      <c r="H1416" s="306" t="s">
        <v>2819</v>
      </c>
      <c r="I1416" s="438" t="s">
        <v>2820</v>
      </c>
      <c r="K1416" t="s">
        <v>659</v>
      </c>
      <c r="L1416" t="s">
        <v>669</v>
      </c>
      <c r="M1416" t="s">
        <v>2508</v>
      </c>
    </row>
    <row r="1417" spans="1:15" ht="36">
      <c r="A1417" s="5">
        <v>1416</v>
      </c>
      <c r="B1417" t="str">
        <f t="shared" si="51"/>
        <v>TO</v>
      </c>
      <c r="C1417" t="str">
        <f t="shared" si="52"/>
        <v>KB</v>
      </c>
      <c r="D1417" t="s">
        <v>2758</v>
      </c>
      <c r="E1417" s="5"/>
      <c r="G1417" s="4" t="s">
        <v>2821</v>
      </c>
      <c r="H1417" s="306" t="s">
        <v>2822</v>
      </c>
      <c r="I1417" s="432" t="s">
        <v>2823</v>
      </c>
      <c r="K1417" t="s">
        <v>659</v>
      </c>
      <c r="L1417" t="s">
        <v>669</v>
      </c>
      <c r="M1417" t="s">
        <v>1083</v>
      </c>
    </row>
    <row r="1418" spans="1:15" ht="36">
      <c r="A1418" s="5">
        <v>1417</v>
      </c>
      <c r="B1418" t="str">
        <f t="shared" si="51"/>
        <v>TO</v>
      </c>
      <c r="C1418" t="str">
        <f t="shared" si="52"/>
        <v>KB</v>
      </c>
      <c r="D1418" t="s">
        <v>2758</v>
      </c>
      <c r="E1418" s="5"/>
      <c r="G1418" s="4" t="s">
        <v>2821</v>
      </c>
      <c r="H1418" s="306" t="s">
        <v>2824</v>
      </c>
      <c r="I1418" s="432" t="s">
        <v>2825</v>
      </c>
      <c r="K1418" t="s">
        <v>1434</v>
      </c>
      <c r="L1418" t="s">
        <v>669</v>
      </c>
      <c r="M1418" t="s">
        <v>1083</v>
      </c>
    </row>
    <row r="1419" spans="1:15" ht="36">
      <c r="A1419" s="5">
        <v>1418</v>
      </c>
      <c r="B1419" t="str">
        <f t="shared" si="51"/>
        <v>TO</v>
      </c>
      <c r="C1419" t="str">
        <f t="shared" si="52"/>
        <v>KB</v>
      </c>
      <c r="D1419" t="s">
        <v>2758</v>
      </c>
      <c r="E1419" s="5"/>
      <c r="G1419" s="4" t="s">
        <v>2821</v>
      </c>
      <c r="H1419" s="306" t="s">
        <v>2826</v>
      </c>
      <c r="I1419" s="432" t="s">
        <v>2827</v>
      </c>
      <c r="K1419" t="s">
        <v>1434</v>
      </c>
      <c r="L1419" t="s">
        <v>669</v>
      </c>
      <c r="M1419" t="s">
        <v>1083</v>
      </c>
    </row>
    <row r="1420" spans="1:15" ht="36">
      <c r="A1420" s="5">
        <v>1419</v>
      </c>
      <c r="B1420" t="str">
        <f>MID(G1420,8,2)</f>
        <v>TO</v>
      </c>
      <c r="C1420" t="str">
        <f>MID(G1420,11,2)</f>
        <v>KB</v>
      </c>
      <c r="D1420" t="s">
        <v>2758</v>
      </c>
      <c r="E1420" s="5"/>
      <c r="G1420" s="4" t="s">
        <v>2828</v>
      </c>
      <c r="H1420" s="306" t="s">
        <v>571</v>
      </c>
      <c r="I1420" s="432" t="s">
        <v>2829</v>
      </c>
      <c r="K1420" t="s">
        <v>1434</v>
      </c>
      <c r="L1420" t="s">
        <v>669</v>
      </c>
      <c r="M1420" t="s">
        <v>1083</v>
      </c>
    </row>
    <row r="1421" spans="1:15" ht="36">
      <c r="A1421" s="5">
        <v>1420</v>
      </c>
      <c r="B1421" t="str">
        <f>MID(G1421,8,2)</f>
        <v>TO</v>
      </c>
      <c r="C1421" t="str">
        <f>MID(G1421,11,2)</f>
        <v>KB</v>
      </c>
      <c r="D1421" t="s">
        <v>2758</v>
      </c>
      <c r="E1421" s="5"/>
      <c r="G1421" s="4" t="s">
        <v>2828</v>
      </c>
      <c r="H1421" s="306" t="s">
        <v>2830</v>
      </c>
      <c r="I1421" s="432" t="s">
        <v>2831</v>
      </c>
      <c r="K1421" t="s">
        <v>1434</v>
      </c>
      <c r="L1421" t="s">
        <v>669</v>
      </c>
      <c r="M1421" t="s">
        <v>1083</v>
      </c>
    </row>
    <row r="1422" spans="1:15" ht="36">
      <c r="A1422" s="5">
        <v>1421</v>
      </c>
      <c r="B1422" t="str">
        <f t="shared" si="51"/>
        <v>TO</v>
      </c>
      <c r="C1422" t="str">
        <f t="shared" si="52"/>
        <v>KB</v>
      </c>
      <c r="D1422" t="s">
        <v>2758</v>
      </c>
      <c r="E1422" s="5"/>
      <c r="G1422" s="4" t="s">
        <v>2832</v>
      </c>
      <c r="H1422" s="306" t="s">
        <v>2833</v>
      </c>
      <c r="I1422" s="432" t="s">
        <v>2834</v>
      </c>
      <c r="K1422" t="s">
        <v>659</v>
      </c>
      <c r="L1422" t="s">
        <v>669</v>
      </c>
      <c r="M1422" t="s">
        <v>1083</v>
      </c>
      <c r="O1422" t="s">
        <v>2111</v>
      </c>
    </row>
    <row r="1423" spans="1:15" ht="36">
      <c r="A1423" s="5">
        <v>1422</v>
      </c>
      <c r="B1423" t="str">
        <f t="shared" si="51"/>
        <v>TO</v>
      </c>
      <c r="C1423" t="str">
        <f t="shared" si="52"/>
        <v>KB</v>
      </c>
      <c r="D1423" t="s">
        <v>2758</v>
      </c>
      <c r="E1423" s="5"/>
      <c r="G1423" s="4" t="s">
        <v>2832</v>
      </c>
      <c r="H1423" s="306" t="s">
        <v>2835</v>
      </c>
      <c r="I1423" s="432" t="s">
        <v>2836</v>
      </c>
      <c r="K1423" t="s">
        <v>659</v>
      </c>
      <c r="L1423" t="s">
        <v>669</v>
      </c>
      <c r="M1423" t="s">
        <v>1083</v>
      </c>
      <c r="O1423" t="s">
        <v>2111</v>
      </c>
    </row>
    <row r="1424" spans="1:15" ht="36">
      <c r="A1424" s="5">
        <v>1423</v>
      </c>
      <c r="B1424" t="str">
        <f>MID(G1425,8,2)</f>
        <v>TO</v>
      </c>
      <c r="C1424" t="str">
        <f>MID(G1425,11,2)</f>
        <v>KB</v>
      </c>
      <c r="D1424" t="s">
        <v>2758</v>
      </c>
      <c r="E1424" s="5"/>
      <c r="G1424" s="4" t="s">
        <v>2832</v>
      </c>
      <c r="H1424" s="306" t="s">
        <v>572</v>
      </c>
      <c r="I1424" s="432" t="s">
        <v>2688</v>
      </c>
      <c r="K1424" t="s">
        <v>659</v>
      </c>
      <c r="L1424" t="s">
        <v>669</v>
      </c>
      <c r="M1424" t="s">
        <v>1083</v>
      </c>
      <c r="O1424" t="s">
        <v>2683</v>
      </c>
    </row>
    <row r="1425" spans="1:15" ht="36">
      <c r="A1425" s="5">
        <v>1424</v>
      </c>
      <c r="B1425" t="str">
        <f>MID(G1425,8,2)</f>
        <v>TO</v>
      </c>
      <c r="C1425" t="str">
        <f>MID(G1425,11,2)</f>
        <v>KB</v>
      </c>
      <c r="D1425" t="s">
        <v>2758</v>
      </c>
      <c r="E1425" s="5"/>
      <c r="G1425" s="4" t="s">
        <v>2832</v>
      </c>
      <c r="H1425" s="306" t="s">
        <v>2837</v>
      </c>
      <c r="I1425" s="432" t="s">
        <v>2838</v>
      </c>
      <c r="K1425" t="s">
        <v>659</v>
      </c>
      <c r="L1425" t="s">
        <v>669</v>
      </c>
      <c r="M1425" t="s">
        <v>1083</v>
      </c>
      <c r="O1425" t="s">
        <v>2726</v>
      </c>
    </row>
    <row r="1426" spans="1:15">
      <c r="A1426" s="5">
        <v>1425</v>
      </c>
      <c r="B1426" t="str">
        <f t="shared" si="51"/>
        <v>TO</v>
      </c>
      <c r="C1426" t="str">
        <f t="shared" si="52"/>
        <v>Ap</v>
      </c>
      <c r="D1426" t="s">
        <v>2758</v>
      </c>
      <c r="E1426" s="5"/>
      <c r="G1426" s="4" t="s">
        <v>2839</v>
      </c>
      <c r="H1426" s="306" t="s">
        <v>2840</v>
      </c>
      <c r="K1426" t="s">
        <v>2841</v>
      </c>
      <c r="L1426" t="s">
        <v>669</v>
      </c>
      <c r="M1426" t="s">
        <v>1424</v>
      </c>
    </row>
    <row r="1427" spans="1:15" ht="36">
      <c r="A1427" s="5">
        <v>1426</v>
      </c>
      <c r="B1427" t="str">
        <f t="shared" si="51"/>
        <v>TO</v>
      </c>
      <c r="C1427" t="str">
        <f t="shared" si="52"/>
        <v>Ap</v>
      </c>
      <c r="D1427" t="s">
        <v>2758</v>
      </c>
      <c r="E1427" s="5"/>
      <c r="G1427" s="4" t="s">
        <v>2839</v>
      </c>
      <c r="H1427" s="306" t="s">
        <v>2842</v>
      </c>
      <c r="K1427" t="s">
        <v>2841</v>
      </c>
      <c r="L1427" t="s">
        <v>669</v>
      </c>
      <c r="M1427" t="s">
        <v>1424</v>
      </c>
    </row>
    <row r="1428" spans="1:15">
      <c r="A1428" s="5">
        <v>1427</v>
      </c>
      <c r="B1428" t="str">
        <f t="shared" si="51"/>
        <v>TO</v>
      </c>
      <c r="C1428" t="str">
        <f t="shared" si="52"/>
        <v>Ap</v>
      </c>
      <c r="D1428" t="s">
        <v>2758</v>
      </c>
      <c r="E1428" s="5"/>
      <c r="G1428" s="4" t="s">
        <v>2839</v>
      </c>
      <c r="H1428" s="306" t="s">
        <v>1994</v>
      </c>
      <c r="K1428" t="s">
        <v>2841</v>
      </c>
      <c r="L1428" t="s">
        <v>669</v>
      </c>
      <c r="M1428" t="s">
        <v>1424</v>
      </c>
    </row>
    <row r="1429" spans="1:15" ht="21.6">
      <c r="A1429" s="5">
        <v>1428</v>
      </c>
      <c r="B1429" t="str">
        <f>MID(G1429,8,2)</f>
        <v>TO</v>
      </c>
      <c r="C1429" t="str">
        <f>MID(G1429,11,2)</f>
        <v>KB</v>
      </c>
      <c r="D1429" t="s">
        <v>2758</v>
      </c>
      <c r="E1429" s="5"/>
      <c r="G1429" s="4" t="s">
        <v>2843</v>
      </c>
      <c r="H1429" s="313" t="s">
        <v>2844</v>
      </c>
      <c r="I1429" s="438" t="s">
        <v>2845</v>
      </c>
      <c r="K1429" t="s">
        <v>659</v>
      </c>
      <c r="L1429" t="s">
        <v>669</v>
      </c>
      <c r="M1429" t="s">
        <v>1083</v>
      </c>
    </row>
    <row r="1430" spans="1:15">
      <c r="A1430" s="5">
        <v>1429</v>
      </c>
      <c r="B1430" t="str">
        <f t="shared" si="51"/>
        <v>TO</v>
      </c>
      <c r="C1430" t="str">
        <f t="shared" si="52"/>
        <v>KB</v>
      </c>
      <c r="D1430" t="s">
        <v>2758</v>
      </c>
      <c r="E1430" s="5"/>
      <c r="G1430" s="4" t="s">
        <v>2843</v>
      </c>
      <c r="H1430" s="306" t="s">
        <v>2846</v>
      </c>
      <c r="I1430" s="438" t="s">
        <v>2847</v>
      </c>
      <c r="K1430" t="s">
        <v>659</v>
      </c>
      <c r="L1430" t="s">
        <v>669</v>
      </c>
      <c r="M1430" t="s">
        <v>1083</v>
      </c>
    </row>
    <row r="1431" spans="1:15">
      <c r="A1431" s="5">
        <v>1430</v>
      </c>
      <c r="B1431" t="str">
        <f t="shared" si="51"/>
        <v>TO</v>
      </c>
      <c r="C1431" t="str">
        <f t="shared" si="52"/>
        <v>KB</v>
      </c>
      <c r="D1431" t="s">
        <v>2758</v>
      </c>
      <c r="E1431" s="5"/>
      <c r="G1431" s="4" t="s">
        <v>2843</v>
      </c>
      <c r="H1431" s="306" t="s">
        <v>2848</v>
      </c>
      <c r="I1431" s="438" t="s">
        <v>2849</v>
      </c>
      <c r="K1431" t="s">
        <v>659</v>
      </c>
      <c r="L1431" t="s">
        <v>669</v>
      </c>
      <c r="M1431" t="s">
        <v>1083</v>
      </c>
    </row>
    <row r="1432" spans="1:15">
      <c r="A1432" s="5">
        <v>1431</v>
      </c>
      <c r="B1432" t="str">
        <f t="shared" si="51"/>
        <v>TO</v>
      </c>
      <c r="C1432" t="str">
        <f t="shared" si="52"/>
        <v>KB</v>
      </c>
      <c r="D1432" t="s">
        <v>2758</v>
      </c>
      <c r="E1432" s="5"/>
      <c r="G1432" s="4" t="s">
        <v>2843</v>
      </c>
      <c r="H1432" s="306" t="s">
        <v>2850</v>
      </c>
      <c r="I1432" s="438" t="s">
        <v>2851</v>
      </c>
      <c r="K1432" t="s">
        <v>659</v>
      </c>
      <c r="L1432" t="s">
        <v>669</v>
      </c>
      <c r="M1432" t="s">
        <v>1083</v>
      </c>
    </row>
    <row r="1433" spans="1:15" ht="21.6">
      <c r="A1433" s="5">
        <v>1432</v>
      </c>
      <c r="B1433" t="str">
        <f>MID(G1433,8,2)</f>
        <v>TO</v>
      </c>
      <c r="C1433" t="str">
        <f>MID(G1433,11,2)</f>
        <v>KB</v>
      </c>
      <c r="D1433" t="s">
        <v>2758</v>
      </c>
      <c r="E1433" s="5"/>
      <c r="G1433" s="4" t="s">
        <v>2843</v>
      </c>
      <c r="H1433" s="313" t="s">
        <v>2852</v>
      </c>
      <c r="I1433" s="438" t="s">
        <v>2853</v>
      </c>
      <c r="K1433" t="s">
        <v>659</v>
      </c>
      <c r="L1433" t="s">
        <v>669</v>
      </c>
      <c r="M1433" t="s">
        <v>1083</v>
      </c>
    </row>
    <row r="1434" spans="1:15">
      <c r="A1434" s="5">
        <v>1433</v>
      </c>
      <c r="B1434" t="str">
        <f t="shared" si="51"/>
        <v>MH</v>
      </c>
      <c r="C1434" t="str">
        <f t="shared" si="52"/>
        <v>KB</v>
      </c>
      <c r="D1434" t="s">
        <v>2758</v>
      </c>
      <c r="E1434" s="5"/>
      <c r="G1434" s="4" t="s">
        <v>2854</v>
      </c>
      <c r="H1434" s="306" t="s">
        <v>410</v>
      </c>
      <c r="I1434" s="432" t="s">
        <v>2855</v>
      </c>
      <c r="K1434" t="s">
        <v>659</v>
      </c>
      <c r="L1434" t="s">
        <v>669</v>
      </c>
      <c r="M1434" t="s">
        <v>1083</v>
      </c>
    </row>
    <row r="1435" spans="1:15">
      <c r="A1435" s="5">
        <v>1434</v>
      </c>
      <c r="B1435" t="str">
        <f>MID(G1435,8,2)</f>
        <v>MH</v>
      </c>
      <c r="C1435" t="str">
        <f>MID(G1435,11,2)</f>
        <v>KB</v>
      </c>
      <c r="D1435" t="s">
        <v>2758</v>
      </c>
      <c r="E1435" s="5"/>
      <c r="G1435" s="4" t="s">
        <v>2856</v>
      </c>
      <c r="H1435" s="306" t="s">
        <v>416</v>
      </c>
      <c r="I1435" s="438" t="s">
        <v>2857</v>
      </c>
      <c r="K1435" t="s">
        <v>659</v>
      </c>
      <c r="L1435" t="s">
        <v>669</v>
      </c>
      <c r="M1435" t="s">
        <v>1083</v>
      </c>
      <c r="N1435" t="s">
        <v>2858</v>
      </c>
      <c r="O1435" s="4"/>
    </row>
    <row r="1436" spans="1:15" ht="36">
      <c r="A1436" s="5">
        <v>1435</v>
      </c>
      <c r="B1436" t="str">
        <f>MID(G1436,8,2)</f>
        <v>MH</v>
      </c>
      <c r="C1436" t="str">
        <f>MID(G1436,11,2)</f>
        <v>KB</v>
      </c>
      <c r="D1436" t="s">
        <v>2764</v>
      </c>
      <c r="E1436" s="5"/>
      <c r="G1436" s="4" t="s">
        <v>2859</v>
      </c>
      <c r="H1436" s="306" t="s">
        <v>416</v>
      </c>
      <c r="I1436" s="438" t="s">
        <v>2857</v>
      </c>
      <c r="K1436" t="s">
        <v>659</v>
      </c>
      <c r="L1436" t="s">
        <v>669</v>
      </c>
      <c r="M1436" t="s">
        <v>1083</v>
      </c>
      <c r="O1436" s="4"/>
    </row>
    <row r="1437" spans="1:15" ht="36">
      <c r="A1437" s="5">
        <v>1436</v>
      </c>
      <c r="B1437" t="str">
        <f t="shared" ref="B1437:B1468" si="53">MID(G1437,8,2)</f>
        <v>MH</v>
      </c>
      <c r="C1437" t="str">
        <f t="shared" ref="C1437:C1468" si="54">MID(G1437,11,2)</f>
        <v>KB</v>
      </c>
      <c r="D1437" t="s">
        <v>2758</v>
      </c>
      <c r="E1437" s="5"/>
      <c r="G1437" s="4" t="s">
        <v>2860</v>
      </c>
      <c r="H1437" s="306" t="s">
        <v>417</v>
      </c>
      <c r="I1437" s="438" t="s">
        <v>2861</v>
      </c>
      <c r="K1437" t="s">
        <v>659</v>
      </c>
      <c r="L1437" t="s">
        <v>669</v>
      </c>
      <c r="M1437" t="s">
        <v>1083</v>
      </c>
      <c r="O1437" s="4"/>
    </row>
    <row r="1438" spans="1:15" ht="43.2">
      <c r="A1438" s="5">
        <v>1437</v>
      </c>
      <c r="B1438" t="str">
        <f t="shared" ref="B1438:B1454" si="55">MID(G1438,8,2)</f>
        <v>TO</v>
      </c>
      <c r="C1438" t="str">
        <f t="shared" ref="C1438:C1454" si="56">MID(G1438,11,2)</f>
        <v>KB</v>
      </c>
      <c r="D1438" t="s">
        <v>2758</v>
      </c>
      <c r="E1438" s="5"/>
      <c r="G1438" s="4" t="s">
        <v>2862</v>
      </c>
      <c r="H1438" s="313" t="s">
        <v>1743</v>
      </c>
      <c r="I1438" s="432" t="s">
        <v>2147</v>
      </c>
      <c r="K1438" t="s">
        <v>659</v>
      </c>
      <c r="L1438" t="s">
        <v>669</v>
      </c>
      <c r="M1438" t="s">
        <v>2333</v>
      </c>
      <c r="N1438" t="s">
        <v>2863</v>
      </c>
      <c r="O1438" s="4" t="s">
        <v>2864</v>
      </c>
    </row>
    <row r="1439" spans="1:15">
      <c r="A1439" s="5">
        <v>1438</v>
      </c>
      <c r="B1439" t="str">
        <f t="shared" si="55"/>
        <v>TO</v>
      </c>
      <c r="C1439" t="str">
        <f t="shared" si="56"/>
        <v>KB</v>
      </c>
      <c r="D1439" t="s">
        <v>2758</v>
      </c>
      <c r="E1439" s="5"/>
      <c r="F1439" t="s">
        <v>2766</v>
      </c>
      <c r="G1439" s="4" t="s">
        <v>2862</v>
      </c>
      <c r="H1439" s="306" t="s">
        <v>2510</v>
      </c>
      <c r="I1439" s="432" t="s">
        <v>2865</v>
      </c>
      <c r="K1439" t="s">
        <v>659</v>
      </c>
      <c r="L1439" t="s">
        <v>669</v>
      </c>
      <c r="M1439" t="s">
        <v>2333</v>
      </c>
      <c r="N1439" t="s">
        <v>2866</v>
      </c>
      <c r="O1439" s="267"/>
    </row>
    <row r="1440" spans="1:15" ht="36">
      <c r="A1440" s="5">
        <v>1439</v>
      </c>
      <c r="B1440" t="str">
        <f t="shared" si="55"/>
        <v>TO</v>
      </c>
      <c r="C1440" t="str">
        <f t="shared" si="56"/>
        <v>KB</v>
      </c>
      <c r="D1440" t="s">
        <v>2758</v>
      </c>
      <c r="E1440" s="5"/>
      <c r="F1440" t="s">
        <v>2766</v>
      </c>
      <c r="G1440" s="4" t="s">
        <v>2862</v>
      </c>
      <c r="H1440" s="306" t="s">
        <v>2867</v>
      </c>
      <c r="I1440" s="438" t="s">
        <v>2868</v>
      </c>
      <c r="K1440" t="s">
        <v>659</v>
      </c>
      <c r="L1440" t="s">
        <v>669</v>
      </c>
      <c r="M1440" t="s">
        <v>2333</v>
      </c>
      <c r="N1440" s="4" t="s">
        <v>2869</v>
      </c>
      <c r="O1440" s="267"/>
    </row>
    <row r="1441" spans="1:15">
      <c r="A1441" s="5">
        <v>1440</v>
      </c>
      <c r="B1441" t="str">
        <f t="shared" si="55"/>
        <v>TO</v>
      </c>
      <c r="C1441" t="str">
        <f t="shared" si="56"/>
        <v>KB</v>
      </c>
      <c r="D1441" t="s">
        <v>2758</v>
      </c>
      <c r="E1441" s="5"/>
      <c r="F1441" t="s">
        <v>2766</v>
      </c>
      <c r="G1441" s="4" t="s">
        <v>2870</v>
      </c>
      <c r="H1441" s="306" t="s">
        <v>2871</v>
      </c>
      <c r="I1441" s="438" t="s">
        <v>2872</v>
      </c>
      <c r="K1441" t="s">
        <v>659</v>
      </c>
      <c r="L1441" t="s">
        <v>669</v>
      </c>
      <c r="M1441" t="s">
        <v>2102</v>
      </c>
      <c r="N1441" s="4" t="s">
        <v>2873</v>
      </c>
      <c r="O1441" s="4"/>
    </row>
    <row r="1442" spans="1:15">
      <c r="A1442" s="5">
        <v>1441</v>
      </c>
      <c r="B1442" t="str">
        <f t="shared" si="55"/>
        <v>TO</v>
      </c>
      <c r="C1442" t="str">
        <f t="shared" si="56"/>
        <v>KB</v>
      </c>
      <c r="D1442" t="s">
        <v>2758</v>
      </c>
      <c r="E1442" s="5"/>
      <c r="F1442" t="s">
        <v>2766</v>
      </c>
      <c r="G1442" s="4" t="s">
        <v>2870</v>
      </c>
      <c r="H1442" s="306" t="s">
        <v>2874</v>
      </c>
      <c r="I1442" s="438" t="s">
        <v>2875</v>
      </c>
      <c r="K1442" t="s">
        <v>659</v>
      </c>
      <c r="L1442" t="s">
        <v>669</v>
      </c>
      <c r="M1442" t="s">
        <v>2333</v>
      </c>
      <c r="N1442" s="4"/>
      <c r="O1442" s="4"/>
    </row>
    <row r="1443" spans="1:15">
      <c r="A1443" s="5">
        <v>1442</v>
      </c>
      <c r="B1443" t="str">
        <f t="shared" si="55"/>
        <v>TO</v>
      </c>
      <c r="C1443" t="str">
        <f t="shared" si="56"/>
        <v>KB</v>
      </c>
      <c r="D1443" t="s">
        <v>2758</v>
      </c>
      <c r="E1443" s="5"/>
      <c r="F1443" t="s">
        <v>2766</v>
      </c>
      <c r="G1443" s="4" t="s">
        <v>2870</v>
      </c>
      <c r="H1443" s="306" t="s">
        <v>2876</v>
      </c>
      <c r="I1443" s="438" t="s">
        <v>2877</v>
      </c>
      <c r="K1443" t="s">
        <v>659</v>
      </c>
      <c r="L1443" t="s">
        <v>669</v>
      </c>
      <c r="M1443" t="s">
        <v>2333</v>
      </c>
      <c r="N1443" s="4"/>
      <c r="O1443" s="4"/>
    </row>
    <row r="1444" spans="1:15" ht="36">
      <c r="A1444" s="5">
        <v>1443</v>
      </c>
      <c r="B1444" t="str">
        <f t="shared" ref="B1444:B1451" si="57">MID(G1444,8,2)</f>
        <v>TO</v>
      </c>
      <c r="C1444" t="str">
        <f t="shared" ref="C1444:C1451" si="58">MID(G1444,11,2)</f>
        <v>KB</v>
      </c>
      <c r="D1444" t="s">
        <v>2758</v>
      </c>
      <c r="E1444" s="5"/>
      <c r="F1444" t="s">
        <v>2766</v>
      </c>
      <c r="G1444" s="4" t="s">
        <v>2878</v>
      </c>
      <c r="H1444" s="306" t="s">
        <v>2448</v>
      </c>
      <c r="I1444" s="450" t="s">
        <v>2449</v>
      </c>
      <c r="K1444" t="s">
        <v>659</v>
      </c>
      <c r="L1444" t="s">
        <v>669</v>
      </c>
      <c r="M1444" t="s">
        <v>1083</v>
      </c>
      <c r="N1444" t="s">
        <v>2879</v>
      </c>
      <c r="O1444" s="4" t="s">
        <v>2880</v>
      </c>
    </row>
    <row r="1445" spans="1:15">
      <c r="A1445" s="5">
        <v>1444</v>
      </c>
      <c r="B1445" t="str">
        <f t="shared" si="57"/>
        <v>TO</v>
      </c>
      <c r="C1445" t="str">
        <f t="shared" si="58"/>
        <v>KB</v>
      </c>
      <c r="D1445" t="s">
        <v>2758</v>
      </c>
      <c r="E1445" s="5"/>
      <c r="F1445" t="s">
        <v>2766</v>
      </c>
      <c r="G1445" s="4" t="s">
        <v>2878</v>
      </c>
      <c r="H1445" s="306" t="s">
        <v>1757</v>
      </c>
      <c r="I1445" s="432" t="s">
        <v>2446</v>
      </c>
      <c r="K1445" t="s">
        <v>659</v>
      </c>
      <c r="L1445" t="s">
        <v>669</v>
      </c>
      <c r="M1445" t="s">
        <v>2021</v>
      </c>
      <c r="N1445" t="s">
        <v>2492</v>
      </c>
      <c r="O1445" s="4"/>
    </row>
    <row r="1446" spans="1:15">
      <c r="A1446" s="5">
        <v>1445</v>
      </c>
      <c r="B1446" t="str">
        <f t="shared" si="57"/>
        <v>TO</v>
      </c>
      <c r="C1446" t="str">
        <f t="shared" si="58"/>
        <v>KB</v>
      </c>
      <c r="D1446" t="s">
        <v>2758</v>
      </c>
      <c r="E1446" s="5"/>
      <c r="G1446" s="4" t="s">
        <v>2878</v>
      </c>
      <c r="H1446" s="306" t="s">
        <v>2881</v>
      </c>
      <c r="I1446" s="432" t="s">
        <v>2502</v>
      </c>
      <c r="K1446" t="s">
        <v>659</v>
      </c>
      <c r="L1446" t="s">
        <v>669</v>
      </c>
      <c r="M1446" t="s">
        <v>1083</v>
      </c>
      <c r="O1446" s="4"/>
    </row>
    <row r="1447" spans="1:15">
      <c r="A1447" s="5">
        <v>1446</v>
      </c>
      <c r="B1447" t="str">
        <f t="shared" si="57"/>
        <v>TO</v>
      </c>
      <c r="C1447" t="str">
        <f t="shared" si="58"/>
        <v>KB</v>
      </c>
      <c r="D1447" t="s">
        <v>2758</v>
      </c>
      <c r="E1447" s="5"/>
      <c r="G1447" s="4" t="s">
        <v>2878</v>
      </c>
      <c r="H1447" s="306" t="s">
        <v>2498</v>
      </c>
      <c r="I1447" s="432" t="s">
        <v>2882</v>
      </c>
      <c r="K1447" t="s">
        <v>659</v>
      </c>
      <c r="L1447" t="s">
        <v>669</v>
      </c>
      <c r="M1447" t="s">
        <v>1083</v>
      </c>
    </row>
    <row r="1448" spans="1:15" ht="90">
      <c r="A1448" s="5">
        <v>1447</v>
      </c>
      <c r="B1448" t="str">
        <f t="shared" si="57"/>
        <v>TO</v>
      </c>
      <c r="C1448" t="str">
        <f t="shared" si="58"/>
        <v>KB</v>
      </c>
      <c r="D1448" t="s">
        <v>2758</v>
      </c>
      <c r="E1448" s="5"/>
      <c r="F1448" t="s">
        <v>2766</v>
      </c>
      <c r="G1448" s="4" t="s">
        <v>2878</v>
      </c>
      <c r="H1448" s="306" t="s">
        <v>2180</v>
      </c>
      <c r="I1448" s="438" t="s">
        <v>2181</v>
      </c>
      <c r="K1448" t="s">
        <v>659</v>
      </c>
      <c r="L1448" t="s">
        <v>669</v>
      </c>
      <c r="M1448" t="s">
        <v>1083</v>
      </c>
      <c r="N1448" s="4" t="s">
        <v>2883</v>
      </c>
      <c r="O1448" s="4"/>
    </row>
    <row r="1449" spans="1:15">
      <c r="A1449" s="5">
        <v>1448</v>
      </c>
      <c r="B1449" t="str">
        <f t="shared" si="57"/>
        <v>TO</v>
      </c>
      <c r="C1449" t="str">
        <f t="shared" si="58"/>
        <v>KB</v>
      </c>
      <c r="D1449" t="s">
        <v>2764</v>
      </c>
      <c r="E1449" s="5"/>
      <c r="F1449" t="s">
        <v>2766</v>
      </c>
      <c r="G1449" s="4" t="s">
        <v>2884</v>
      </c>
      <c r="H1449" s="306" t="s">
        <v>1773</v>
      </c>
      <c r="I1449" s="438" t="s">
        <v>2885</v>
      </c>
      <c r="K1449" t="s">
        <v>659</v>
      </c>
      <c r="L1449" t="s">
        <v>669</v>
      </c>
      <c r="M1449" t="s">
        <v>1083</v>
      </c>
      <c r="N1449" s="4"/>
      <c r="O1449" s="4"/>
    </row>
    <row r="1450" spans="1:15" ht="36">
      <c r="A1450" s="5">
        <v>1449</v>
      </c>
      <c r="B1450" t="str">
        <f t="shared" si="57"/>
        <v>TO</v>
      </c>
      <c r="C1450" t="str">
        <f t="shared" si="58"/>
        <v>KB</v>
      </c>
      <c r="D1450" t="s">
        <v>2558</v>
      </c>
      <c r="E1450" s="5"/>
      <c r="F1450" t="s">
        <v>2766</v>
      </c>
      <c r="G1450" s="4" t="s">
        <v>2884</v>
      </c>
      <c r="H1450" s="306" t="s">
        <v>397</v>
      </c>
      <c r="I1450" s="438" t="s">
        <v>2121</v>
      </c>
      <c r="K1450" t="s">
        <v>659</v>
      </c>
      <c r="L1450" t="s">
        <v>669</v>
      </c>
      <c r="M1450" t="s">
        <v>1083</v>
      </c>
      <c r="N1450" s="4" t="s">
        <v>2886</v>
      </c>
      <c r="O1450" s="4"/>
    </row>
    <row r="1451" spans="1:15" ht="36">
      <c r="A1451" s="5">
        <v>1450</v>
      </c>
      <c r="B1451" t="str">
        <f t="shared" si="57"/>
        <v>TO</v>
      </c>
      <c r="C1451" t="str">
        <f t="shared" si="58"/>
        <v>KB</v>
      </c>
      <c r="D1451" t="s">
        <v>2558</v>
      </c>
      <c r="E1451" s="5"/>
      <c r="F1451" t="s">
        <v>2766</v>
      </c>
      <c r="G1451" s="4" t="s">
        <v>2884</v>
      </c>
      <c r="H1451" s="306" t="s">
        <v>2887</v>
      </c>
      <c r="I1451" s="438" t="s">
        <v>2888</v>
      </c>
      <c r="K1451" t="s">
        <v>1434</v>
      </c>
      <c r="L1451" t="s">
        <v>669</v>
      </c>
      <c r="M1451" t="s">
        <v>1083</v>
      </c>
      <c r="N1451" s="4" t="s">
        <v>2889</v>
      </c>
      <c r="O1451" s="4"/>
    </row>
    <row r="1452" spans="1:15" ht="54">
      <c r="A1452" s="5">
        <v>1451</v>
      </c>
      <c r="B1452" t="str">
        <f t="shared" si="55"/>
        <v>TO</v>
      </c>
      <c r="C1452" t="str">
        <f t="shared" si="56"/>
        <v>KB</v>
      </c>
      <c r="D1452" t="s">
        <v>2758</v>
      </c>
      <c r="E1452" s="5"/>
      <c r="F1452" t="s">
        <v>2766</v>
      </c>
      <c r="G1452" s="4" t="s">
        <v>2890</v>
      </c>
      <c r="H1452" s="306" t="s">
        <v>2891</v>
      </c>
      <c r="I1452" s="438" t="s">
        <v>2892</v>
      </c>
      <c r="K1452" t="s">
        <v>659</v>
      </c>
      <c r="L1452" t="s">
        <v>669</v>
      </c>
      <c r="M1452" t="s">
        <v>1083</v>
      </c>
      <c r="N1452" s="4" t="s">
        <v>2893</v>
      </c>
      <c r="O1452" s="4"/>
    </row>
    <row r="1453" spans="1:15">
      <c r="A1453" s="5">
        <v>1452</v>
      </c>
      <c r="B1453" t="str">
        <f t="shared" si="55"/>
        <v>TO</v>
      </c>
      <c r="C1453" t="str">
        <f t="shared" si="56"/>
        <v>KB</v>
      </c>
      <c r="D1453" t="s">
        <v>2758</v>
      </c>
      <c r="E1453" s="5"/>
      <c r="F1453" t="s">
        <v>2766</v>
      </c>
      <c r="G1453" s="4" t="s">
        <v>2890</v>
      </c>
      <c r="H1453" s="306" t="s">
        <v>1566</v>
      </c>
      <c r="I1453" s="438" t="s">
        <v>2894</v>
      </c>
      <c r="K1453" t="s">
        <v>659</v>
      </c>
      <c r="L1453" t="s">
        <v>669</v>
      </c>
      <c r="M1453" t="s">
        <v>1083</v>
      </c>
      <c r="N1453" s="4"/>
      <c r="O1453" s="4"/>
    </row>
    <row r="1454" spans="1:15">
      <c r="A1454" s="5">
        <v>1453</v>
      </c>
      <c r="B1454" t="str">
        <f t="shared" si="55"/>
        <v>TO</v>
      </c>
      <c r="C1454" t="str">
        <f t="shared" si="56"/>
        <v>KB</v>
      </c>
      <c r="D1454" t="s">
        <v>2764</v>
      </c>
      <c r="E1454" s="5"/>
      <c r="G1454" s="4" t="s">
        <v>2895</v>
      </c>
      <c r="H1454" s="306" t="s">
        <v>2896</v>
      </c>
      <c r="I1454" s="432" t="s">
        <v>2897</v>
      </c>
      <c r="K1454" t="s">
        <v>1434</v>
      </c>
      <c r="L1454" t="s">
        <v>669</v>
      </c>
      <c r="M1454" t="s">
        <v>1083</v>
      </c>
      <c r="N1454" t="s">
        <v>2898</v>
      </c>
      <c r="O1454" s="4"/>
    </row>
    <row r="1455" spans="1:15">
      <c r="A1455" s="5">
        <v>1454</v>
      </c>
      <c r="B1455" t="str">
        <f>MID(G1455,8,2)</f>
        <v>TO</v>
      </c>
      <c r="C1455" t="str">
        <f>MID(G1455,11,2)</f>
        <v>KB</v>
      </c>
      <c r="D1455" t="s">
        <v>2764</v>
      </c>
      <c r="E1455" s="5"/>
      <c r="G1455" s="4" t="s">
        <v>2895</v>
      </c>
      <c r="H1455" s="306" t="s">
        <v>492</v>
      </c>
      <c r="I1455" s="432" t="s">
        <v>2899</v>
      </c>
      <c r="K1455" t="s">
        <v>659</v>
      </c>
      <c r="L1455" t="s">
        <v>669</v>
      </c>
      <c r="M1455" t="s">
        <v>1083</v>
      </c>
      <c r="O1455" s="4" t="s">
        <v>2387</v>
      </c>
    </row>
    <row r="1456" spans="1:15" ht="36">
      <c r="A1456" s="5">
        <v>1455</v>
      </c>
      <c r="B1456" t="str">
        <f>MID(G1456,8,2)</f>
        <v>TO</v>
      </c>
      <c r="C1456" t="str">
        <f>MID(G1456,11,2)</f>
        <v>KB</v>
      </c>
      <c r="D1456" t="s">
        <v>2764</v>
      </c>
      <c r="E1456" s="5"/>
      <c r="G1456" s="4" t="s">
        <v>2895</v>
      </c>
      <c r="H1456" s="306" t="s">
        <v>2900</v>
      </c>
      <c r="I1456" s="438" t="s">
        <v>2379</v>
      </c>
      <c r="K1456" t="s">
        <v>659</v>
      </c>
      <c r="L1456" t="s">
        <v>669</v>
      </c>
      <c r="M1456" t="s">
        <v>1083</v>
      </c>
      <c r="O1456" s="4"/>
    </row>
    <row r="1457" spans="1:15" ht="36">
      <c r="A1457" s="5">
        <v>1456</v>
      </c>
      <c r="B1457" t="str">
        <f>MID(G1457,8,2)</f>
        <v>TO</v>
      </c>
      <c r="C1457" t="str">
        <f>MID(G1457,11,2)</f>
        <v>KB</v>
      </c>
      <c r="D1457" t="s">
        <v>2764</v>
      </c>
      <c r="E1457" s="5"/>
      <c r="G1457" s="4" t="s">
        <v>2895</v>
      </c>
      <c r="H1457" s="306" t="s">
        <v>2901</v>
      </c>
      <c r="I1457" s="438" t="s">
        <v>2381</v>
      </c>
      <c r="K1457" t="s">
        <v>659</v>
      </c>
      <c r="L1457" t="s">
        <v>669</v>
      </c>
      <c r="M1457" t="s">
        <v>1083</v>
      </c>
      <c r="O1457" s="4"/>
    </row>
    <row r="1458" spans="1:15">
      <c r="A1458" s="5">
        <v>1457</v>
      </c>
      <c r="B1458" t="str">
        <f t="shared" si="53"/>
        <v>TO</v>
      </c>
      <c r="C1458" t="str">
        <f t="shared" si="54"/>
        <v>KB</v>
      </c>
      <c r="D1458" t="s">
        <v>2758</v>
      </c>
      <c r="E1458" s="5"/>
      <c r="G1458" s="4" t="s">
        <v>2902</v>
      </c>
      <c r="H1458" s="306" t="s">
        <v>2903</v>
      </c>
      <c r="I1458" s="432" t="s">
        <v>2904</v>
      </c>
      <c r="K1458" t="s">
        <v>659</v>
      </c>
      <c r="L1458" t="s">
        <v>669</v>
      </c>
      <c r="M1458" t="s">
        <v>1083</v>
      </c>
      <c r="N1458" t="s">
        <v>2905</v>
      </c>
      <c r="O1458" s="4"/>
    </row>
    <row r="1459" spans="1:15" ht="36">
      <c r="A1459" s="5">
        <v>1458</v>
      </c>
      <c r="B1459" t="str">
        <f t="shared" si="53"/>
        <v>MH</v>
      </c>
      <c r="C1459" t="str">
        <f t="shared" si="54"/>
        <v>KB</v>
      </c>
      <c r="D1459" t="s">
        <v>2758</v>
      </c>
      <c r="E1459" s="5"/>
      <c r="G1459" s="4" t="s">
        <v>2906</v>
      </c>
      <c r="H1459" s="306" t="s">
        <v>2441</v>
      </c>
      <c r="I1459" s="432" t="s">
        <v>2442</v>
      </c>
      <c r="K1459" t="s">
        <v>659</v>
      </c>
      <c r="L1459" t="s">
        <v>669</v>
      </c>
      <c r="M1459" t="s">
        <v>2333</v>
      </c>
      <c r="O1459" s="4"/>
    </row>
    <row r="1460" spans="1:15">
      <c r="A1460" s="5">
        <v>1459</v>
      </c>
      <c r="B1460" t="str">
        <f t="shared" si="53"/>
        <v>TO</v>
      </c>
      <c r="C1460" t="str">
        <f t="shared" si="54"/>
        <v>KB</v>
      </c>
      <c r="D1460" t="s">
        <v>2758</v>
      </c>
      <c r="E1460" s="5"/>
      <c r="G1460" s="4" t="s">
        <v>2907</v>
      </c>
      <c r="H1460" s="306" t="s">
        <v>1468</v>
      </c>
      <c r="I1460" s="438" t="s">
        <v>2908</v>
      </c>
      <c r="K1460" t="s">
        <v>1434</v>
      </c>
      <c r="L1460" t="s">
        <v>669</v>
      </c>
      <c r="M1460" t="s">
        <v>2333</v>
      </c>
      <c r="O1460" s="4"/>
    </row>
    <row r="1461" spans="1:15">
      <c r="A1461" s="5">
        <v>1460</v>
      </c>
      <c r="B1461" t="str">
        <f t="shared" si="53"/>
        <v>TO</v>
      </c>
      <c r="C1461" t="str">
        <f t="shared" si="54"/>
        <v>KB</v>
      </c>
      <c r="D1461" t="s">
        <v>2758</v>
      </c>
      <c r="E1461" s="5"/>
      <c r="G1461" s="4" t="s">
        <v>2907</v>
      </c>
      <c r="H1461" s="306" t="s">
        <v>2909</v>
      </c>
      <c r="I1461" s="438" t="s">
        <v>2910</v>
      </c>
      <c r="K1461" t="s">
        <v>1434</v>
      </c>
      <c r="L1461" t="s">
        <v>669</v>
      </c>
      <c r="M1461" t="s">
        <v>2333</v>
      </c>
      <c r="O1461" s="4"/>
    </row>
    <row r="1462" spans="1:15">
      <c r="A1462" s="5">
        <v>1461</v>
      </c>
      <c r="B1462" t="str">
        <f t="shared" si="53"/>
        <v>TO</v>
      </c>
      <c r="C1462" t="str">
        <f t="shared" si="54"/>
        <v>KB</v>
      </c>
      <c r="D1462" t="s">
        <v>2758</v>
      </c>
      <c r="E1462" s="5"/>
      <c r="G1462" s="4" t="s">
        <v>2907</v>
      </c>
      <c r="H1462" s="306" t="s">
        <v>2911</v>
      </c>
      <c r="I1462" s="438" t="s">
        <v>2912</v>
      </c>
      <c r="K1462" t="s">
        <v>1434</v>
      </c>
      <c r="L1462" t="s">
        <v>669</v>
      </c>
      <c r="M1462" t="s">
        <v>2333</v>
      </c>
      <c r="O1462" s="4"/>
    </row>
    <row r="1463" spans="1:15">
      <c r="A1463" s="5">
        <v>1462</v>
      </c>
      <c r="B1463" t="str">
        <f t="shared" si="53"/>
        <v>TO</v>
      </c>
      <c r="C1463" t="str">
        <f t="shared" si="54"/>
        <v>KB</v>
      </c>
      <c r="D1463" t="s">
        <v>2758</v>
      </c>
      <c r="E1463" s="5"/>
      <c r="G1463" s="4" t="s">
        <v>2913</v>
      </c>
      <c r="H1463" s="306" t="s">
        <v>2914</v>
      </c>
      <c r="I1463" s="438" t="s">
        <v>2915</v>
      </c>
      <c r="K1463" t="s">
        <v>1434</v>
      </c>
      <c r="L1463" t="s">
        <v>669</v>
      </c>
      <c r="M1463" t="s">
        <v>2333</v>
      </c>
      <c r="O1463" s="4"/>
    </row>
    <row r="1464" spans="1:15" ht="43.2">
      <c r="A1464" s="5">
        <v>1463</v>
      </c>
      <c r="B1464" t="str">
        <f t="shared" si="53"/>
        <v>TO</v>
      </c>
      <c r="C1464" t="str">
        <f t="shared" si="54"/>
        <v>KB</v>
      </c>
      <c r="D1464" t="s">
        <v>2758</v>
      </c>
      <c r="E1464" s="5"/>
      <c r="G1464" s="4" t="s">
        <v>2913</v>
      </c>
      <c r="H1464" s="313" t="s">
        <v>2109</v>
      </c>
      <c r="I1464" s="438" t="s">
        <v>2295</v>
      </c>
      <c r="K1464" t="s">
        <v>1434</v>
      </c>
      <c r="L1464" t="s">
        <v>669</v>
      </c>
      <c r="M1464" t="s">
        <v>2333</v>
      </c>
      <c r="O1464" s="4"/>
    </row>
    <row r="1465" spans="1:15" ht="21.6">
      <c r="A1465" s="5">
        <v>1464</v>
      </c>
      <c r="B1465" t="str">
        <f t="shared" si="53"/>
        <v>TO</v>
      </c>
      <c r="C1465" t="str">
        <f t="shared" si="54"/>
        <v>KB</v>
      </c>
      <c r="D1465" t="s">
        <v>2758</v>
      </c>
      <c r="E1465" s="5"/>
      <c r="G1465" s="4" t="s">
        <v>2913</v>
      </c>
      <c r="H1465" s="313" t="s">
        <v>2916</v>
      </c>
      <c r="I1465" s="438" t="s">
        <v>2917</v>
      </c>
      <c r="K1465" t="s">
        <v>1434</v>
      </c>
      <c r="L1465" t="s">
        <v>669</v>
      </c>
      <c r="M1465" t="s">
        <v>2333</v>
      </c>
      <c r="O1465" s="4"/>
    </row>
    <row r="1466" spans="1:15" ht="21.6">
      <c r="A1466" s="5">
        <v>1465</v>
      </c>
      <c r="B1466" t="str">
        <f t="shared" si="53"/>
        <v>TO</v>
      </c>
      <c r="C1466" t="str">
        <f t="shared" si="54"/>
        <v>KB</v>
      </c>
      <c r="D1466" t="s">
        <v>2758</v>
      </c>
      <c r="E1466" s="5"/>
      <c r="G1466" s="4" t="s">
        <v>2918</v>
      </c>
      <c r="H1466" s="313" t="s">
        <v>2919</v>
      </c>
      <c r="I1466" s="438" t="s">
        <v>2920</v>
      </c>
      <c r="K1466" t="s">
        <v>1434</v>
      </c>
      <c r="L1466" t="s">
        <v>669</v>
      </c>
      <c r="M1466" t="s">
        <v>2333</v>
      </c>
      <c r="O1466" s="4"/>
    </row>
    <row r="1467" spans="1:15" ht="21.6">
      <c r="A1467" s="5">
        <v>1466</v>
      </c>
      <c r="B1467" t="str">
        <f t="shared" si="53"/>
        <v>TO</v>
      </c>
      <c r="C1467" t="str">
        <f t="shared" si="54"/>
        <v>KB</v>
      </c>
      <c r="D1467" t="s">
        <v>2758</v>
      </c>
      <c r="E1467" s="5"/>
      <c r="G1467" s="4" t="s">
        <v>2918</v>
      </c>
      <c r="H1467" s="313" t="s">
        <v>441</v>
      </c>
      <c r="I1467" s="438" t="s">
        <v>2921</v>
      </c>
      <c r="K1467" t="s">
        <v>1434</v>
      </c>
      <c r="L1467" t="s">
        <v>669</v>
      </c>
      <c r="M1467" t="s">
        <v>2333</v>
      </c>
      <c r="O1467" s="4"/>
    </row>
    <row r="1468" spans="1:15" ht="21.6">
      <c r="A1468" s="5">
        <v>1467</v>
      </c>
      <c r="B1468" t="str">
        <f t="shared" si="53"/>
        <v>TO</v>
      </c>
      <c r="C1468" t="str">
        <f t="shared" si="54"/>
        <v>KB</v>
      </c>
      <c r="D1468" t="s">
        <v>2758</v>
      </c>
      <c r="E1468" s="5"/>
      <c r="G1468" s="4" t="s">
        <v>2918</v>
      </c>
      <c r="H1468" s="313" t="s">
        <v>2922</v>
      </c>
      <c r="I1468" s="438" t="s">
        <v>2923</v>
      </c>
      <c r="K1468" t="s">
        <v>1434</v>
      </c>
      <c r="L1468" t="s">
        <v>669</v>
      </c>
      <c r="M1468" t="s">
        <v>2333</v>
      </c>
      <c r="O1468" s="4"/>
    </row>
    <row r="1469" spans="1:15">
      <c r="A1469" s="5">
        <v>1468</v>
      </c>
      <c r="B1469" t="str">
        <f t="shared" ref="B1469:B1476" si="59">MID(G1469,8,2)</f>
        <v>TO</v>
      </c>
      <c r="C1469" t="str">
        <f t="shared" ref="C1469:C1476" si="60">MID(G1469,11,2)</f>
        <v>KB</v>
      </c>
      <c r="D1469" t="s">
        <v>2558</v>
      </c>
      <c r="E1469" s="5"/>
      <c r="G1469" s="4" t="s">
        <v>2924</v>
      </c>
      <c r="H1469" s="306" t="s">
        <v>2925</v>
      </c>
      <c r="I1469" s="432" t="s">
        <v>2926</v>
      </c>
      <c r="K1469" t="s">
        <v>1434</v>
      </c>
      <c r="L1469" t="s">
        <v>669</v>
      </c>
      <c r="M1469" t="s">
        <v>2333</v>
      </c>
      <c r="N1469" t="s">
        <v>2927</v>
      </c>
    </row>
    <row r="1470" spans="1:15">
      <c r="A1470" s="5">
        <v>1469</v>
      </c>
      <c r="B1470" t="str">
        <f t="shared" si="59"/>
        <v>TO</v>
      </c>
      <c r="C1470" t="str">
        <f t="shared" si="60"/>
        <v>KB</v>
      </c>
      <c r="D1470" t="s">
        <v>2558</v>
      </c>
      <c r="E1470" s="5"/>
      <c r="G1470" s="4" t="s">
        <v>2924</v>
      </c>
      <c r="H1470" s="306" t="s">
        <v>2928</v>
      </c>
      <c r="I1470" s="438" t="s">
        <v>2929</v>
      </c>
      <c r="K1470" t="s">
        <v>659</v>
      </c>
      <c r="L1470" t="s">
        <v>669</v>
      </c>
      <c r="M1470" t="s">
        <v>2333</v>
      </c>
      <c r="O1470" s="4"/>
    </row>
    <row r="1471" spans="1:15">
      <c r="A1471" s="5">
        <v>1470</v>
      </c>
      <c r="B1471" t="str">
        <f t="shared" si="59"/>
        <v>TO</v>
      </c>
      <c r="C1471" t="str">
        <f t="shared" si="60"/>
        <v>KB</v>
      </c>
      <c r="D1471" t="s">
        <v>2558</v>
      </c>
      <c r="E1471" s="5"/>
      <c r="G1471" s="4" t="s">
        <v>2924</v>
      </c>
      <c r="H1471" s="306" t="s">
        <v>2930</v>
      </c>
      <c r="I1471" s="438" t="s">
        <v>2931</v>
      </c>
      <c r="K1471" t="s">
        <v>659</v>
      </c>
      <c r="L1471" t="s">
        <v>669</v>
      </c>
      <c r="M1471" t="s">
        <v>2333</v>
      </c>
      <c r="N1471" s="267"/>
      <c r="O1471" s="4"/>
    </row>
    <row r="1472" spans="1:15">
      <c r="A1472" s="5">
        <v>1471</v>
      </c>
      <c r="B1472" t="str">
        <f t="shared" si="59"/>
        <v>TO</v>
      </c>
      <c r="C1472" t="str">
        <f t="shared" si="60"/>
        <v>KB</v>
      </c>
      <c r="D1472" t="s">
        <v>2558</v>
      </c>
      <c r="E1472" s="5"/>
      <c r="G1472" s="4" t="s">
        <v>2924</v>
      </c>
      <c r="H1472" s="306" t="s">
        <v>2932</v>
      </c>
      <c r="I1472" s="438" t="s">
        <v>2933</v>
      </c>
      <c r="K1472" t="s">
        <v>1434</v>
      </c>
      <c r="L1472" t="s">
        <v>669</v>
      </c>
      <c r="M1472" t="s">
        <v>2333</v>
      </c>
      <c r="N1472" s="267"/>
      <c r="O1472" s="4"/>
    </row>
    <row r="1473" spans="1:15">
      <c r="A1473" s="5">
        <v>1472</v>
      </c>
      <c r="B1473" t="str">
        <f t="shared" si="59"/>
        <v>TO</v>
      </c>
      <c r="C1473" t="str">
        <f t="shared" si="60"/>
        <v>KB</v>
      </c>
      <c r="D1473" t="s">
        <v>2558</v>
      </c>
      <c r="E1473" s="5"/>
      <c r="G1473" s="4" t="s">
        <v>2924</v>
      </c>
      <c r="H1473" s="306" t="s">
        <v>2934</v>
      </c>
      <c r="I1473" s="438" t="s">
        <v>2935</v>
      </c>
      <c r="K1473" t="s">
        <v>1434</v>
      </c>
      <c r="L1473" t="s">
        <v>669</v>
      </c>
      <c r="M1473" t="s">
        <v>2333</v>
      </c>
      <c r="N1473" s="267"/>
      <c r="O1473" s="4"/>
    </row>
    <row r="1474" spans="1:15">
      <c r="A1474" s="5">
        <v>1473</v>
      </c>
      <c r="B1474" t="str">
        <f t="shared" si="59"/>
        <v>TO</v>
      </c>
      <c r="C1474" t="str">
        <f t="shared" si="60"/>
        <v>KB</v>
      </c>
      <c r="D1474" t="s">
        <v>2558</v>
      </c>
      <c r="E1474" s="5"/>
      <c r="G1474" s="4" t="s">
        <v>2924</v>
      </c>
      <c r="H1474" s="306" t="s">
        <v>2936</v>
      </c>
      <c r="I1474" s="438" t="s">
        <v>2937</v>
      </c>
      <c r="K1474" t="s">
        <v>1434</v>
      </c>
      <c r="L1474" t="s">
        <v>669</v>
      </c>
      <c r="M1474" t="s">
        <v>2333</v>
      </c>
      <c r="O1474" s="4"/>
    </row>
    <row r="1475" spans="1:15">
      <c r="A1475" s="5">
        <v>1474</v>
      </c>
      <c r="B1475" t="str">
        <f t="shared" si="59"/>
        <v>TO</v>
      </c>
      <c r="C1475" t="str">
        <f t="shared" si="60"/>
        <v>KB</v>
      </c>
      <c r="D1475" t="s">
        <v>2764</v>
      </c>
      <c r="E1475" s="5"/>
      <c r="G1475" s="4" t="s">
        <v>2938</v>
      </c>
      <c r="H1475" s="306" t="s">
        <v>2939</v>
      </c>
      <c r="I1475" s="438" t="s">
        <v>2940</v>
      </c>
      <c r="K1475" t="s">
        <v>1434</v>
      </c>
      <c r="L1475" t="s">
        <v>669</v>
      </c>
      <c r="M1475" t="s">
        <v>2333</v>
      </c>
      <c r="N1475" t="s">
        <v>2941</v>
      </c>
    </row>
    <row r="1476" spans="1:15">
      <c r="A1476" s="5">
        <v>1475</v>
      </c>
      <c r="B1476" t="str">
        <f t="shared" si="59"/>
        <v>TO</v>
      </c>
      <c r="C1476" t="str">
        <f t="shared" si="60"/>
        <v>KB</v>
      </c>
      <c r="D1476" t="s">
        <v>2764</v>
      </c>
      <c r="E1476" s="5"/>
      <c r="G1476" s="4" t="s">
        <v>2938</v>
      </c>
      <c r="H1476" s="306" t="s">
        <v>2942</v>
      </c>
      <c r="I1476" s="438" t="s">
        <v>2943</v>
      </c>
      <c r="K1476" t="s">
        <v>1434</v>
      </c>
      <c r="L1476" t="s">
        <v>669</v>
      </c>
      <c r="M1476" t="s">
        <v>2333</v>
      </c>
      <c r="N1476" t="s">
        <v>2941</v>
      </c>
    </row>
    <row r="1477" spans="1:15">
      <c r="A1477" s="5">
        <v>1476</v>
      </c>
      <c r="B1477" t="str">
        <f t="shared" ref="B1477:B1489" si="61">MID(G1477,8,2)</f>
        <v>TO</v>
      </c>
      <c r="C1477" t="str">
        <f t="shared" ref="C1477:C1489" si="62">MID(G1477,11,2)</f>
        <v>KB</v>
      </c>
      <c r="D1477" t="s">
        <v>2764</v>
      </c>
      <c r="E1477" s="5"/>
      <c r="G1477" s="4" t="s">
        <v>2938</v>
      </c>
      <c r="H1477" s="306" t="s">
        <v>67</v>
      </c>
      <c r="I1477" s="438" t="s">
        <v>2944</v>
      </c>
      <c r="K1477" t="s">
        <v>1434</v>
      </c>
      <c r="L1477" t="s">
        <v>669</v>
      </c>
      <c r="M1477" t="s">
        <v>2333</v>
      </c>
    </row>
    <row r="1478" spans="1:15" ht="36">
      <c r="A1478" s="5">
        <v>1477</v>
      </c>
      <c r="B1478" t="str">
        <f t="shared" si="61"/>
        <v>TO</v>
      </c>
      <c r="C1478" t="str">
        <f t="shared" si="62"/>
        <v>KB</v>
      </c>
      <c r="D1478" t="s">
        <v>2764</v>
      </c>
      <c r="E1478" s="5"/>
      <c r="G1478" s="4" t="s">
        <v>2945</v>
      </c>
      <c r="H1478" s="306" t="s">
        <v>1466</v>
      </c>
      <c r="I1478" s="438" t="s">
        <v>2946</v>
      </c>
      <c r="K1478" t="s">
        <v>659</v>
      </c>
      <c r="L1478" t="s">
        <v>669</v>
      </c>
      <c r="M1478" t="s">
        <v>2333</v>
      </c>
      <c r="O1478" t="s">
        <v>1934</v>
      </c>
    </row>
    <row r="1479" spans="1:15">
      <c r="A1479" s="5">
        <v>1478</v>
      </c>
      <c r="B1479" t="str">
        <f t="shared" si="61"/>
        <v>TO</v>
      </c>
      <c r="C1479" t="str">
        <f t="shared" si="62"/>
        <v>KB</v>
      </c>
      <c r="D1479" t="s">
        <v>2764</v>
      </c>
      <c r="E1479" s="5"/>
      <c r="G1479" s="4" t="s">
        <v>2947</v>
      </c>
      <c r="H1479" s="306" t="s">
        <v>1936</v>
      </c>
      <c r="I1479" s="438" t="s">
        <v>2948</v>
      </c>
      <c r="K1479" t="s">
        <v>659</v>
      </c>
      <c r="L1479" t="s">
        <v>669</v>
      </c>
      <c r="M1479" t="s">
        <v>2333</v>
      </c>
      <c r="O1479" t="s">
        <v>1934</v>
      </c>
    </row>
    <row r="1480" spans="1:15">
      <c r="A1480" s="5">
        <v>1479</v>
      </c>
      <c r="B1480" t="str">
        <f t="shared" si="61"/>
        <v>TO</v>
      </c>
      <c r="C1480" t="str">
        <f t="shared" si="62"/>
        <v>KB</v>
      </c>
      <c r="D1480" t="s">
        <v>2764</v>
      </c>
      <c r="E1480" s="5"/>
      <c r="G1480" s="4" t="s">
        <v>2947</v>
      </c>
      <c r="H1480" s="306" t="s">
        <v>625</v>
      </c>
      <c r="I1480" s="438" t="s">
        <v>2245</v>
      </c>
      <c r="K1480" t="s">
        <v>659</v>
      </c>
      <c r="L1480" t="s">
        <v>669</v>
      </c>
      <c r="M1480" t="s">
        <v>2333</v>
      </c>
      <c r="O1480" t="s">
        <v>1934</v>
      </c>
    </row>
    <row r="1481" spans="1:15">
      <c r="A1481" s="5">
        <v>1480</v>
      </c>
      <c r="B1481" t="str">
        <f t="shared" si="61"/>
        <v>TO</v>
      </c>
      <c r="C1481" t="str">
        <f t="shared" si="62"/>
        <v>KB</v>
      </c>
      <c r="D1481" t="s">
        <v>2764</v>
      </c>
      <c r="E1481" s="5"/>
      <c r="G1481" s="4" t="s">
        <v>2947</v>
      </c>
      <c r="H1481" s="306" t="s">
        <v>1704</v>
      </c>
      <c r="I1481" s="438" t="s">
        <v>2263</v>
      </c>
      <c r="K1481" t="s">
        <v>659</v>
      </c>
      <c r="L1481" t="s">
        <v>669</v>
      </c>
      <c r="M1481" t="s">
        <v>2333</v>
      </c>
      <c r="O1481" t="s">
        <v>1934</v>
      </c>
    </row>
    <row r="1482" spans="1:15">
      <c r="A1482" s="5">
        <v>1481</v>
      </c>
      <c r="B1482" t="str">
        <f t="shared" si="61"/>
        <v>TO</v>
      </c>
      <c r="C1482" t="str">
        <f t="shared" si="62"/>
        <v>KB</v>
      </c>
      <c r="D1482" t="s">
        <v>2764</v>
      </c>
      <c r="E1482" s="5"/>
      <c r="G1482" s="4" t="s">
        <v>2947</v>
      </c>
      <c r="H1482" s="306" t="s">
        <v>831</v>
      </c>
      <c r="I1482" s="438" t="s">
        <v>2949</v>
      </c>
      <c r="K1482" t="s">
        <v>659</v>
      </c>
      <c r="L1482" t="s">
        <v>669</v>
      </c>
      <c r="M1482" t="s">
        <v>2333</v>
      </c>
      <c r="O1482" t="s">
        <v>1934</v>
      </c>
    </row>
    <row r="1483" spans="1:15">
      <c r="A1483" s="5">
        <v>1482</v>
      </c>
      <c r="B1483" t="str">
        <f t="shared" si="61"/>
        <v>TO</v>
      </c>
      <c r="C1483" t="str">
        <f t="shared" si="62"/>
        <v>KB</v>
      </c>
      <c r="D1483" t="s">
        <v>2764</v>
      </c>
      <c r="E1483" s="5"/>
      <c r="G1483" s="4" t="s">
        <v>2950</v>
      </c>
      <c r="H1483" s="306" t="s">
        <v>1939</v>
      </c>
      <c r="I1483" s="438" t="s">
        <v>2646</v>
      </c>
      <c r="K1483" t="s">
        <v>659</v>
      </c>
      <c r="L1483" t="s">
        <v>669</v>
      </c>
      <c r="M1483" t="s">
        <v>2333</v>
      </c>
      <c r="O1483" t="s">
        <v>1934</v>
      </c>
    </row>
    <row r="1484" spans="1:15">
      <c r="A1484" s="5">
        <v>1483</v>
      </c>
      <c r="B1484" t="str">
        <f t="shared" si="61"/>
        <v>TO</v>
      </c>
      <c r="C1484" t="str">
        <f t="shared" si="62"/>
        <v>KB</v>
      </c>
      <c r="D1484" t="s">
        <v>2764</v>
      </c>
      <c r="E1484" s="5"/>
      <c r="G1484" s="4" t="s">
        <v>2950</v>
      </c>
      <c r="H1484" s="316" t="s">
        <v>1894</v>
      </c>
      <c r="I1484" s="438" t="s">
        <v>2951</v>
      </c>
      <c r="K1484" t="s">
        <v>659</v>
      </c>
      <c r="L1484" t="s">
        <v>669</v>
      </c>
      <c r="M1484" t="s">
        <v>2333</v>
      </c>
      <c r="O1484" s="272" t="s">
        <v>1893</v>
      </c>
    </row>
    <row r="1485" spans="1:15">
      <c r="A1485" s="5">
        <v>1484</v>
      </c>
      <c r="B1485" t="str">
        <f t="shared" si="61"/>
        <v>TO</v>
      </c>
      <c r="C1485" t="str">
        <f t="shared" si="62"/>
        <v>KB</v>
      </c>
      <c r="D1485" t="s">
        <v>2764</v>
      </c>
      <c r="E1485" s="5"/>
      <c r="G1485" s="4" t="s">
        <v>2950</v>
      </c>
      <c r="H1485" s="306" t="s">
        <v>1896</v>
      </c>
      <c r="I1485" s="438" t="s">
        <v>2952</v>
      </c>
      <c r="K1485" t="s">
        <v>659</v>
      </c>
      <c r="L1485" t="s">
        <v>669</v>
      </c>
      <c r="M1485" t="s">
        <v>2333</v>
      </c>
      <c r="O1485" s="4" t="s">
        <v>1893</v>
      </c>
    </row>
    <row r="1486" spans="1:15">
      <c r="A1486" s="5">
        <v>1485</v>
      </c>
      <c r="B1486" t="str">
        <f t="shared" si="61"/>
        <v>TO</v>
      </c>
      <c r="C1486" t="str">
        <f t="shared" si="62"/>
        <v>KB</v>
      </c>
      <c r="D1486" t="s">
        <v>2764</v>
      </c>
      <c r="E1486" s="5"/>
      <c r="G1486" s="4" t="s">
        <v>2950</v>
      </c>
      <c r="H1486" s="306" t="s">
        <v>1898</v>
      </c>
      <c r="I1486" s="438" t="s">
        <v>2953</v>
      </c>
      <c r="K1486" t="s">
        <v>659</v>
      </c>
      <c r="L1486" t="s">
        <v>669</v>
      </c>
      <c r="M1486" t="s">
        <v>2333</v>
      </c>
      <c r="O1486" s="4" t="s">
        <v>1893</v>
      </c>
    </row>
    <row r="1487" spans="1:15">
      <c r="A1487" s="5">
        <v>1486</v>
      </c>
      <c r="B1487" t="str">
        <f t="shared" si="61"/>
        <v>TO</v>
      </c>
      <c r="C1487" t="str">
        <f t="shared" si="62"/>
        <v>KB</v>
      </c>
      <c r="D1487" t="s">
        <v>2764</v>
      </c>
      <c r="E1487" s="5"/>
      <c r="G1487" s="4" t="s">
        <v>2950</v>
      </c>
      <c r="H1487" s="306" t="s">
        <v>1900</v>
      </c>
      <c r="I1487" s="438" t="s">
        <v>2954</v>
      </c>
      <c r="K1487" t="s">
        <v>659</v>
      </c>
      <c r="L1487" t="s">
        <v>669</v>
      </c>
      <c r="M1487" t="s">
        <v>2333</v>
      </c>
      <c r="O1487" s="4" t="s">
        <v>1893</v>
      </c>
    </row>
    <row r="1488" spans="1:15" ht="36">
      <c r="A1488" s="5">
        <v>1487</v>
      </c>
      <c r="B1488" t="str">
        <f t="shared" si="61"/>
        <v>TO</v>
      </c>
      <c r="C1488" t="str">
        <f t="shared" si="62"/>
        <v>Do</v>
      </c>
      <c r="D1488" t="s">
        <v>2764</v>
      </c>
      <c r="E1488" s="5"/>
      <c r="G1488" s="4" t="s">
        <v>2955</v>
      </c>
      <c r="H1488" s="306" t="s">
        <v>2956</v>
      </c>
      <c r="L1488" t="s">
        <v>669</v>
      </c>
      <c r="M1488"/>
      <c r="N1488" t="s">
        <v>2957</v>
      </c>
    </row>
    <row r="1489" spans="1:15" ht="36">
      <c r="A1489" s="5">
        <v>1488</v>
      </c>
      <c r="B1489" t="str">
        <f t="shared" si="61"/>
        <v>TO</v>
      </c>
      <c r="C1489" t="str">
        <f t="shared" si="62"/>
        <v>Do</v>
      </c>
      <c r="D1489" t="s">
        <v>2764</v>
      </c>
      <c r="E1489" s="5"/>
      <c r="G1489" s="4" t="s">
        <v>2958</v>
      </c>
      <c r="H1489" s="306" t="s">
        <v>2959</v>
      </c>
      <c r="L1489" t="s">
        <v>669</v>
      </c>
      <c r="M1489"/>
      <c r="N1489" t="s">
        <v>2957</v>
      </c>
    </row>
    <row r="1490" spans="1:15">
      <c r="A1490" s="5">
        <v>1489</v>
      </c>
      <c r="B1490" t="str">
        <f>MID(G1490,8,2)</f>
        <v>TO</v>
      </c>
      <c r="C1490" t="str">
        <f>MID(G1490,11,2)</f>
        <v>Mo</v>
      </c>
      <c r="D1490" t="s">
        <v>2764</v>
      </c>
      <c r="E1490" s="5"/>
      <c r="G1490" s="4" t="s">
        <v>2960</v>
      </c>
      <c r="H1490" s="306" t="s">
        <v>431</v>
      </c>
      <c r="L1490" t="s">
        <v>669</v>
      </c>
      <c r="M1490" t="s">
        <v>1424</v>
      </c>
    </row>
    <row r="1491" spans="1:15" ht="36">
      <c r="A1491" s="5">
        <v>1490</v>
      </c>
      <c r="B1491" t="str">
        <f t="shared" ref="B1491:B1496" si="63">MID(G1491,8,2)</f>
        <v>TO</v>
      </c>
      <c r="C1491" t="str">
        <f t="shared" ref="C1491:C1496" si="64">MID(G1491,11,2)</f>
        <v>KB</v>
      </c>
      <c r="D1491" t="s">
        <v>2764</v>
      </c>
      <c r="E1491" s="5"/>
      <c r="G1491" s="4" t="s">
        <v>2961</v>
      </c>
      <c r="H1491" s="306" t="s">
        <v>456</v>
      </c>
      <c r="I1491" s="432" t="s">
        <v>2962</v>
      </c>
      <c r="K1491" t="s">
        <v>1434</v>
      </c>
      <c r="L1491" t="s">
        <v>669</v>
      </c>
      <c r="M1491"/>
    </row>
    <row r="1492" spans="1:15" ht="36">
      <c r="A1492" s="5">
        <v>1491</v>
      </c>
      <c r="B1492" t="str">
        <f>MID(G1492,8,2)</f>
        <v>MH</v>
      </c>
      <c r="C1492" t="str">
        <f>MID(G1492,11,2)</f>
        <v>KB</v>
      </c>
      <c r="D1492" t="s">
        <v>2764</v>
      </c>
      <c r="E1492" s="5"/>
      <c r="G1492" s="4" t="s">
        <v>2963</v>
      </c>
      <c r="H1492" s="306" t="s">
        <v>456</v>
      </c>
      <c r="I1492" s="432" t="s">
        <v>2962</v>
      </c>
      <c r="K1492" t="s">
        <v>659</v>
      </c>
      <c r="L1492" t="s">
        <v>669</v>
      </c>
      <c r="M1492" t="s">
        <v>2333</v>
      </c>
    </row>
    <row r="1493" spans="1:15" ht="36">
      <c r="A1493" s="5">
        <v>1492</v>
      </c>
      <c r="B1493" t="str">
        <f>MID(G1493,8,2)</f>
        <v>TO</v>
      </c>
      <c r="C1493" t="str">
        <f>MID(G1493,11,2)</f>
        <v>KB</v>
      </c>
      <c r="D1493" t="s">
        <v>2764</v>
      </c>
      <c r="E1493" s="5"/>
      <c r="G1493" s="4" t="s">
        <v>2964</v>
      </c>
      <c r="H1493" s="306" t="s">
        <v>456</v>
      </c>
      <c r="I1493" s="432" t="s">
        <v>2962</v>
      </c>
      <c r="K1493" t="s">
        <v>659</v>
      </c>
      <c r="L1493" t="s">
        <v>669</v>
      </c>
      <c r="M1493" t="s">
        <v>2333</v>
      </c>
      <c r="N1493" t="s">
        <v>2965</v>
      </c>
    </row>
    <row r="1494" spans="1:15" ht="36">
      <c r="A1494" s="5">
        <v>1493</v>
      </c>
      <c r="B1494" t="str">
        <f t="shared" si="63"/>
        <v>MH</v>
      </c>
      <c r="C1494" t="str">
        <f t="shared" si="64"/>
        <v>KB</v>
      </c>
      <c r="D1494" t="s">
        <v>2764</v>
      </c>
      <c r="E1494" s="5"/>
      <c r="G1494" s="4" t="s">
        <v>2966</v>
      </c>
      <c r="H1494" s="306" t="s">
        <v>433</v>
      </c>
      <c r="I1494" s="438" t="s">
        <v>2967</v>
      </c>
      <c r="K1494" t="s">
        <v>659</v>
      </c>
      <c r="L1494" t="s">
        <v>669</v>
      </c>
      <c r="M1494" t="s">
        <v>2333</v>
      </c>
    </row>
    <row r="1495" spans="1:15" ht="36">
      <c r="A1495" s="5">
        <v>1494</v>
      </c>
      <c r="B1495" t="str">
        <f t="shared" si="63"/>
        <v>TO</v>
      </c>
      <c r="C1495" t="str">
        <f t="shared" si="64"/>
        <v>KB</v>
      </c>
      <c r="D1495" t="s">
        <v>2764</v>
      </c>
      <c r="E1495" s="5"/>
      <c r="G1495" s="4" t="s">
        <v>2968</v>
      </c>
      <c r="H1495" s="306" t="s">
        <v>474</v>
      </c>
      <c r="I1495" s="438" t="s">
        <v>2969</v>
      </c>
      <c r="K1495" t="s">
        <v>659</v>
      </c>
      <c r="L1495" t="s">
        <v>669</v>
      </c>
      <c r="M1495" t="s">
        <v>2333</v>
      </c>
      <c r="N1495" t="s">
        <v>2970</v>
      </c>
    </row>
    <row r="1496" spans="1:15" ht="36">
      <c r="A1496" s="5">
        <v>1495</v>
      </c>
      <c r="B1496" t="str">
        <f t="shared" si="63"/>
        <v>TO</v>
      </c>
      <c r="C1496" t="str">
        <f t="shared" si="64"/>
        <v>KB</v>
      </c>
      <c r="D1496" t="s">
        <v>2764</v>
      </c>
      <c r="E1496" s="5"/>
      <c r="G1496" s="4" t="s">
        <v>2968</v>
      </c>
      <c r="H1496" s="306" t="s">
        <v>2971</v>
      </c>
      <c r="I1496" s="438" t="s">
        <v>2972</v>
      </c>
      <c r="K1496" t="s">
        <v>659</v>
      </c>
      <c r="L1496" t="s">
        <v>669</v>
      </c>
      <c r="M1496" t="s">
        <v>2333</v>
      </c>
      <c r="N1496" t="s">
        <v>2973</v>
      </c>
    </row>
    <row r="1497" spans="1:15" ht="36">
      <c r="A1497" s="5">
        <v>1496</v>
      </c>
      <c r="B1497" t="str">
        <f>MID(G1497,8,2)</f>
        <v>TO</v>
      </c>
      <c r="C1497" t="str">
        <f>MID(G1497,11,2)</f>
        <v>KB</v>
      </c>
      <c r="D1497" t="s">
        <v>2764</v>
      </c>
      <c r="E1497" s="5"/>
      <c r="G1497" s="4" t="s">
        <v>2968</v>
      </c>
      <c r="H1497" s="306" t="s">
        <v>2974</v>
      </c>
      <c r="I1497" s="438" t="s">
        <v>2377</v>
      </c>
      <c r="K1497" t="s">
        <v>659</v>
      </c>
      <c r="L1497" t="s">
        <v>669</v>
      </c>
      <c r="M1497" s="1" t="s">
        <v>2043</v>
      </c>
      <c r="N1497" t="s">
        <v>2975</v>
      </c>
      <c r="O1497" s="4"/>
    </row>
    <row r="1498" spans="1:15">
      <c r="A1498" s="5">
        <v>1497</v>
      </c>
      <c r="B1498" t="str">
        <f t="shared" ref="B1498:B1506" si="65">MID(G1498,8,2)</f>
        <v>TO</v>
      </c>
      <c r="C1498" t="str">
        <f t="shared" ref="C1498:C1506" si="66">MID(G1498,11,2)</f>
        <v>KB</v>
      </c>
      <c r="D1498" t="s">
        <v>2558</v>
      </c>
      <c r="E1498" s="5"/>
      <c r="G1498" s="4" t="s">
        <v>2976</v>
      </c>
      <c r="H1498" s="306" t="s">
        <v>2977</v>
      </c>
      <c r="I1498" s="438" t="s">
        <v>2978</v>
      </c>
      <c r="K1498" t="s">
        <v>1434</v>
      </c>
      <c r="L1498" t="s">
        <v>669</v>
      </c>
      <c r="M1498" t="s">
        <v>2333</v>
      </c>
    </row>
    <row r="1499" spans="1:15">
      <c r="A1499" s="5">
        <v>1498</v>
      </c>
      <c r="B1499" t="str">
        <f t="shared" si="65"/>
        <v>TO</v>
      </c>
      <c r="C1499" t="str">
        <f t="shared" si="66"/>
        <v>KB</v>
      </c>
      <c r="D1499" t="s">
        <v>2558</v>
      </c>
      <c r="E1499" s="5"/>
      <c r="G1499" s="4" t="s">
        <v>2979</v>
      </c>
      <c r="H1499" s="306" t="s">
        <v>2980</v>
      </c>
      <c r="I1499" s="438" t="s">
        <v>2981</v>
      </c>
      <c r="K1499" t="s">
        <v>1434</v>
      </c>
      <c r="L1499" t="s">
        <v>669</v>
      </c>
      <c r="M1499" t="s">
        <v>2333</v>
      </c>
    </row>
    <row r="1500" spans="1:15">
      <c r="A1500" s="5">
        <v>1499</v>
      </c>
      <c r="B1500" t="str">
        <f t="shared" si="65"/>
        <v>TO</v>
      </c>
      <c r="C1500" t="str">
        <f t="shared" si="66"/>
        <v>KB</v>
      </c>
      <c r="D1500" t="s">
        <v>2558</v>
      </c>
      <c r="E1500" s="5"/>
      <c r="G1500" s="4" t="s">
        <v>2979</v>
      </c>
      <c r="H1500" s="306" t="s">
        <v>2982</v>
      </c>
      <c r="I1500" s="438" t="s">
        <v>2983</v>
      </c>
      <c r="K1500" t="s">
        <v>1434</v>
      </c>
      <c r="L1500" t="s">
        <v>669</v>
      </c>
      <c r="M1500" t="s">
        <v>2333</v>
      </c>
    </row>
    <row r="1501" spans="1:15">
      <c r="A1501" s="5">
        <v>1500</v>
      </c>
      <c r="B1501" t="str">
        <f t="shared" si="65"/>
        <v>TO</v>
      </c>
      <c r="C1501" t="str">
        <f t="shared" si="66"/>
        <v>KB</v>
      </c>
      <c r="D1501" t="s">
        <v>2558</v>
      </c>
      <c r="E1501" s="5"/>
      <c r="G1501" s="4" t="s">
        <v>2979</v>
      </c>
      <c r="H1501" s="306" t="s">
        <v>2984</v>
      </c>
      <c r="I1501" s="438" t="s">
        <v>2985</v>
      </c>
      <c r="K1501" t="s">
        <v>1434</v>
      </c>
      <c r="L1501" t="s">
        <v>669</v>
      </c>
      <c r="M1501" t="s">
        <v>2333</v>
      </c>
    </row>
    <row r="1502" spans="1:15">
      <c r="A1502" s="5">
        <v>1501</v>
      </c>
      <c r="B1502" t="str">
        <f t="shared" si="65"/>
        <v>TO</v>
      </c>
      <c r="C1502" t="str">
        <f t="shared" si="66"/>
        <v>KB</v>
      </c>
      <c r="D1502" t="s">
        <v>2558</v>
      </c>
      <c r="E1502" s="5"/>
      <c r="G1502" s="4" t="s">
        <v>2979</v>
      </c>
      <c r="H1502" s="306" t="s">
        <v>2986</v>
      </c>
      <c r="I1502" s="438" t="s">
        <v>2987</v>
      </c>
      <c r="K1502" t="s">
        <v>1434</v>
      </c>
      <c r="L1502" t="s">
        <v>669</v>
      </c>
      <c r="M1502" t="s">
        <v>2333</v>
      </c>
    </row>
    <row r="1503" spans="1:15" ht="36">
      <c r="A1503" s="5">
        <v>1502</v>
      </c>
      <c r="B1503" t="str">
        <f t="shared" si="65"/>
        <v>TO</v>
      </c>
      <c r="C1503" t="str">
        <f t="shared" si="66"/>
        <v>KB</v>
      </c>
      <c r="D1503" t="s">
        <v>2558</v>
      </c>
      <c r="E1503" s="5"/>
      <c r="G1503" s="4" t="s">
        <v>2988</v>
      </c>
      <c r="H1503" s="306" t="s">
        <v>2989</v>
      </c>
      <c r="I1503" s="438" t="s">
        <v>2990</v>
      </c>
      <c r="K1503" t="s">
        <v>1434</v>
      </c>
      <c r="L1503" t="s">
        <v>669</v>
      </c>
      <c r="M1503" t="s">
        <v>2333</v>
      </c>
    </row>
    <row r="1504" spans="1:15">
      <c r="A1504" s="5">
        <v>1503</v>
      </c>
      <c r="B1504" t="str">
        <f t="shared" si="65"/>
        <v>TO</v>
      </c>
      <c r="C1504" t="str">
        <f t="shared" si="66"/>
        <v>KB</v>
      </c>
      <c r="D1504" t="s">
        <v>2558</v>
      </c>
      <c r="E1504" s="5"/>
      <c r="G1504" s="4" t="s">
        <v>2991</v>
      </c>
      <c r="H1504" s="306" t="s">
        <v>2992</v>
      </c>
      <c r="I1504" s="438" t="s">
        <v>2993</v>
      </c>
      <c r="K1504" t="s">
        <v>1434</v>
      </c>
      <c r="L1504" t="s">
        <v>669</v>
      </c>
      <c r="M1504" t="s">
        <v>2333</v>
      </c>
    </row>
    <row r="1505" spans="1:15">
      <c r="A1505" s="5">
        <v>1504</v>
      </c>
      <c r="B1505" t="str">
        <f t="shared" si="65"/>
        <v>TO</v>
      </c>
      <c r="C1505" t="str">
        <f t="shared" si="66"/>
        <v>KB</v>
      </c>
      <c r="D1505" t="s">
        <v>2558</v>
      </c>
      <c r="E1505" s="5"/>
      <c r="G1505" s="4" t="s">
        <v>2991</v>
      </c>
      <c r="H1505" s="306" t="s">
        <v>527</v>
      </c>
      <c r="I1505" s="438" t="s">
        <v>2354</v>
      </c>
      <c r="K1505" t="s">
        <v>659</v>
      </c>
      <c r="L1505" t="s">
        <v>669</v>
      </c>
      <c r="M1505" t="s">
        <v>2333</v>
      </c>
    </row>
    <row r="1506" spans="1:15">
      <c r="A1506" s="5">
        <v>1505</v>
      </c>
      <c r="B1506" t="str">
        <f t="shared" si="65"/>
        <v>MH</v>
      </c>
      <c r="C1506" t="str">
        <f t="shared" si="66"/>
        <v>KB</v>
      </c>
      <c r="D1506" t="s">
        <v>2764</v>
      </c>
      <c r="E1506" s="5"/>
      <c r="G1506" s="4" t="s">
        <v>2994</v>
      </c>
      <c r="H1506" s="306" t="s">
        <v>2995</v>
      </c>
      <c r="I1506" s="438" t="s">
        <v>2996</v>
      </c>
      <c r="K1506" t="s">
        <v>659</v>
      </c>
      <c r="L1506" t="s">
        <v>669</v>
      </c>
      <c r="M1506" t="s">
        <v>2333</v>
      </c>
    </row>
    <row r="1507" spans="1:15" ht="36">
      <c r="A1507" s="5">
        <v>1506</v>
      </c>
      <c r="B1507" t="s">
        <v>2997</v>
      </c>
      <c r="C1507" t="str">
        <f>MID(G1507,11,2)</f>
        <v>KB</v>
      </c>
      <c r="D1507" t="s">
        <v>2764</v>
      </c>
      <c r="E1507" s="5"/>
      <c r="G1507" s="4" t="s">
        <v>2998</v>
      </c>
      <c r="H1507" s="306" t="s">
        <v>438</v>
      </c>
      <c r="I1507" s="438" t="s">
        <v>2446</v>
      </c>
      <c r="K1507" t="s">
        <v>659</v>
      </c>
      <c r="L1507" t="s">
        <v>669</v>
      </c>
      <c r="M1507" t="s">
        <v>2333</v>
      </c>
    </row>
    <row r="1508" spans="1:15">
      <c r="A1508" s="5">
        <v>1507</v>
      </c>
      <c r="B1508" t="str">
        <f>MID(G1508,8,2)</f>
        <v>TO</v>
      </c>
      <c r="C1508" t="str">
        <f>MID(G1508,11,2)</f>
        <v>KB</v>
      </c>
      <c r="D1508" t="s">
        <v>2558</v>
      </c>
      <c r="E1508" s="5"/>
      <c r="G1508" s="4" t="s">
        <v>2999</v>
      </c>
      <c r="H1508" s="306" t="s">
        <v>3000</v>
      </c>
      <c r="I1508" s="432" t="s">
        <v>3001</v>
      </c>
      <c r="K1508" t="s">
        <v>659</v>
      </c>
      <c r="L1508" t="s">
        <v>669</v>
      </c>
      <c r="M1508" t="s">
        <v>2333</v>
      </c>
      <c r="O1508" s="4"/>
    </row>
    <row r="1509" spans="1:15" ht="36">
      <c r="A1509" s="5">
        <v>1508</v>
      </c>
      <c r="B1509" t="str">
        <f>MID(N1509,8,2)</f>
        <v>of</v>
      </c>
      <c r="C1509" t="s">
        <v>112</v>
      </c>
      <c r="D1509" t="s">
        <v>2558</v>
      </c>
      <c r="E1509" s="5"/>
      <c r="G1509" s="4" t="s">
        <v>2999</v>
      </c>
      <c r="H1509" s="306" t="s">
        <v>492</v>
      </c>
      <c r="I1509" s="432" t="s">
        <v>2899</v>
      </c>
      <c r="K1509" t="s">
        <v>659</v>
      </c>
      <c r="L1509" t="s">
        <v>669</v>
      </c>
      <c r="M1509"/>
      <c r="N1509" s="4" t="s">
        <v>3002</v>
      </c>
    </row>
    <row r="1510" spans="1:15">
      <c r="A1510" s="5">
        <v>1509</v>
      </c>
      <c r="B1510" t="str">
        <f t="shared" ref="B1510:B1515" si="67">MID(G1510,8,2)</f>
        <v>TO</v>
      </c>
      <c r="C1510" t="str">
        <f t="shared" ref="C1510:C1515" si="68">MID(G1510,11,2)</f>
        <v>KB</v>
      </c>
      <c r="D1510" t="s">
        <v>2558</v>
      </c>
      <c r="E1510" s="5"/>
      <c r="G1510" s="4" t="s">
        <v>2999</v>
      </c>
      <c r="H1510" s="326" t="s">
        <v>3003</v>
      </c>
      <c r="I1510" s="438" t="s">
        <v>2665</v>
      </c>
      <c r="K1510" t="s">
        <v>659</v>
      </c>
      <c r="L1510" t="s">
        <v>669</v>
      </c>
      <c r="M1510"/>
    </row>
    <row r="1511" spans="1:15">
      <c r="A1511" s="5">
        <v>1510</v>
      </c>
      <c r="B1511" t="str">
        <f t="shared" si="67"/>
        <v>TO</v>
      </c>
      <c r="C1511" t="str">
        <f t="shared" si="68"/>
        <v>KB</v>
      </c>
      <c r="D1511" t="s">
        <v>2558</v>
      </c>
      <c r="E1511" s="5"/>
      <c r="G1511" s="4" t="s">
        <v>2999</v>
      </c>
      <c r="H1511" s="326" t="s">
        <v>3004</v>
      </c>
      <c r="I1511" s="438" t="s">
        <v>3005</v>
      </c>
      <c r="K1511" t="s">
        <v>1434</v>
      </c>
      <c r="L1511" t="s">
        <v>669</v>
      </c>
      <c r="M1511"/>
    </row>
    <row r="1512" spans="1:15">
      <c r="A1512" s="5">
        <v>1511</v>
      </c>
      <c r="B1512" t="str">
        <f t="shared" si="67"/>
        <v>TO</v>
      </c>
      <c r="C1512" t="str">
        <f t="shared" si="68"/>
        <v>KB</v>
      </c>
      <c r="D1512" t="s">
        <v>2558</v>
      </c>
      <c r="E1512" s="5"/>
      <c r="G1512" s="4" t="s">
        <v>2999</v>
      </c>
      <c r="H1512" s="326" t="s">
        <v>3006</v>
      </c>
      <c r="I1512" s="438" t="s">
        <v>3007</v>
      </c>
      <c r="K1512" t="s">
        <v>1434</v>
      </c>
      <c r="L1512" t="s">
        <v>669</v>
      </c>
      <c r="M1512"/>
    </row>
    <row r="1513" spans="1:15" ht="54">
      <c r="A1513" s="5">
        <v>1512</v>
      </c>
      <c r="B1513" t="str">
        <f t="shared" si="67"/>
        <v>TO</v>
      </c>
      <c r="C1513" t="str">
        <f t="shared" si="68"/>
        <v>KB</v>
      </c>
      <c r="D1513" t="s">
        <v>2558</v>
      </c>
      <c r="E1513" s="5"/>
      <c r="G1513" s="4" t="s">
        <v>2999</v>
      </c>
      <c r="H1513" s="326" t="s">
        <v>2826</v>
      </c>
      <c r="I1513" s="438" t="s">
        <v>3008</v>
      </c>
      <c r="K1513" t="s">
        <v>659</v>
      </c>
      <c r="L1513" t="s">
        <v>669</v>
      </c>
      <c r="M1513"/>
      <c r="N1513" s="4" t="s">
        <v>3009</v>
      </c>
    </row>
    <row r="1514" spans="1:15">
      <c r="A1514" s="5">
        <v>1513</v>
      </c>
      <c r="B1514" t="str">
        <f t="shared" si="67"/>
        <v>TO</v>
      </c>
      <c r="C1514" t="str">
        <f t="shared" si="68"/>
        <v>KB</v>
      </c>
      <c r="D1514" t="s">
        <v>2558</v>
      </c>
      <c r="E1514" s="5"/>
      <c r="G1514" s="4" t="s">
        <v>2999</v>
      </c>
      <c r="H1514" s="326" t="s">
        <v>3010</v>
      </c>
      <c r="I1514" s="438" t="s">
        <v>3011</v>
      </c>
      <c r="K1514" t="s">
        <v>1434</v>
      </c>
      <c r="L1514" t="s">
        <v>669</v>
      </c>
      <c r="M1514"/>
    </row>
    <row r="1515" spans="1:15" ht="36">
      <c r="A1515" s="5">
        <v>1514</v>
      </c>
      <c r="B1515" t="str">
        <f t="shared" si="67"/>
        <v>TO</v>
      </c>
      <c r="C1515" t="str">
        <f t="shared" si="68"/>
        <v>KB</v>
      </c>
      <c r="D1515" t="s">
        <v>2558</v>
      </c>
      <c r="E1515" s="5"/>
      <c r="G1515" s="4" t="s">
        <v>3012</v>
      </c>
      <c r="H1515" s="326" t="s">
        <v>3013</v>
      </c>
      <c r="I1515" s="438" t="s">
        <v>2921</v>
      </c>
      <c r="K1515" t="s">
        <v>659</v>
      </c>
      <c r="L1515" t="s">
        <v>669</v>
      </c>
      <c r="M1515"/>
      <c r="N1515" s="4" t="s">
        <v>3014</v>
      </c>
    </row>
    <row r="1516" spans="1:15" ht="36">
      <c r="A1516" s="5">
        <v>1515</v>
      </c>
      <c r="B1516" t="str">
        <f t="shared" ref="B1516:B1538" si="69">MID(G1516,8,2)</f>
        <v>TO</v>
      </c>
      <c r="C1516" t="str">
        <f t="shared" ref="C1516:C1538" si="70">MID(G1516,11,2)</f>
        <v>KB</v>
      </c>
      <c r="D1516" t="s">
        <v>2558</v>
      </c>
      <c r="E1516" s="5"/>
      <c r="G1516" s="4" t="s">
        <v>3015</v>
      </c>
      <c r="H1516" s="306" t="s">
        <v>3016</v>
      </c>
      <c r="I1516" s="438" t="s">
        <v>3017</v>
      </c>
      <c r="K1516" t="s">
        <v>1434</v>
      </c>
      <c r="L1516" t="s">
        <v>669</v>
      </c>
      <c r="M1516" t="s">
        <v>2333</v>
      </c>
    </row>
    <row r="1517" spans="1:15" ht="36">
      <c r="A1517" s="5">
        <v>1516</v>
      </c>
      <c r="B1517" t="str">
        <f t="shared" si="69"/>
        <v>TO</v>
      </c>
      <c r="C1517" t="str">
        <f t="shared" si="70"/>
        <v>KB</v>
      </c>
      <c r="D1517" t="s">
        <v>2558</v>
      </c>
      <c r="E1517" s="5"/>
      <c r="G1517" s="4" t="s">
        <v>3018</v>
      </c>
      <c r="H1517" s="306" t="s">
        <v>3019</v>
      </c>
      <c r="I1517" s="438" t="s">
        <v>3020</v>
      </c>
      <c r="K1517" t="s">
        <v>659</v>
      </c>
      <c r="L1517" t="s">
        <v>669</v>
      </c>
      <c r="M1517" t="s">
        <v>2333</v>
      </c>
    </row>
    <row r="1518" spans="1:15" ht="36">
      <c r="A1518" s="5">
        <v>1517</v>
      </c>
      <c r="B1518" t="str">
        <f t="shared" si="69"/>
        <v>TO</v>
      </c>
      <c r="C1518" t="str">
        <f t="shared" si="70"/>
        <v>KB</v>
      </c>
      <c r="D1518" t="s">
        <v>2558</v>
      </c>
      <c r="E1518" s="5"/>
      <c r="G1518" s="4" t="s">
        <v>3018</v>
      </c>
      <c r="H1518" s="306" t="s">
        <v>3021</v>
      </c>
      <c r="I1518" s="438" t="s">
        <v>3022</v>
      </c>
      <c r="K1518" t="s">
        <v>659</v>
      </c>
      <c r="L1518" t="s">
        <v>669</v>
      </c>
      <c r="M1518" t="s">
        <v>2333</v>
      </c>
    </row>
    <row r="1519" spans="1:15" ht="36">
      <c r="A1519" s="5">
        <v>1518</v>
      </c>
      <c r="B1519" t="str">
        <f t="shared" si="69"/>
        <v>TO</v>
      </c>
      <c r="C1519" t="str">
        <f t="shared" si="70"/>
        <v>KB</v>
      </c>
      <c r="D1519" t="s">
        <v>2558</v>
      </c>
      <c r="E1519" s="5"/>
      <c r="G1519" s="4" t="s">
        <v>3018</v>
      </c>
      <c r="H1519" s="306" t="s">
        <v>3023</v>
      </c>
      <c r="I1519" s="438" t="s">
        <v>3024</v>
      </c>
      <c r="K1519" t="s">
        <v>659</v>
      </c>
      <c r="L1519" t="s">
        <v>669</v>
      </c>
      <c r="M1519" t="s">
        <v>2333</v>
      </c>
    </row>
    <row r="1520" spans="1:15" ht="36">
      <c r="A1520" s="5">
        <v>1519</v>
      </c>
      <c r="B1520" t="str">
        <f t="shared" si="69"/>
        <v>TO</v>
      </c>
      <c r="C1520" t="str">
        <f t="shared" si="70"/>
        <v>KB</v>
      </c>
      <c r="D1520" t="s">
        <v>2558</v>
      </c>
      <c r="E1520" s="5"/>
      <c r="G1520" s="4" t="s">
        <v>3015</v>
      </c>
      <c r="H1520" s="306" t="s">
        <v>3025</v>
      </c>
      <c r="I1520" s="438" t="s">
        <v>3026</v>
      </c>
      <c r="K1520" t="s">
        <v>1434</v>
      </c>
      <c r="L1520" t="s">
        <v>669</v>
      </c>
      <c r="M1520" t="s">
        <v>2333</v>
      </c>
    </row>
    <row r="1521" spans="1:14">
      <c r="A1521" s="5">
        <v>1520</v>
      </c>
      <c r="B1521" t="str">
        <f>MID(G1521,8,2)</f>
        <v>TO</v>
      </c>
      <c r="C1521" t="str">
        <f>MID(G1521,11,2)</f>
        <v>KB</v>
      </c>
      <c r="D1521" t="s">
        <v>2558</v>
      </c>
      <c r="E1521" s="5"/>
      <c r="G1521" s="4" t="s">
        <v>3027</v>
      </c>
      <c r="H1521" s="306" t="s">
        <v>443</v>
      </c>
      <c r="I1521" s="438" t="s">
        <v>2948</v>
      </c>
      <c r="K1521" t="s">
        <v>659</v>
      </c>
      <c r="L1521" t="s">
        <v>669</v>
      </c>
      <c r="M1521" s="1" t="s">
        <v>2043</v>
      </c>
      <c r="N1521" t="s">
        <v>3028</v>
      </c>
    </row>
    <row r="1522" spans="1:14">
      <c r="A1522" s="5">
        <v>1521</v>
      </c>
      <c r="B1522" t="str">
        <f>MID(G1522,8,2)</f>
        <v>TO</v>
      </c>
      <c r="C1522" t="str">
        <f>MID(G1522,11,2)</f>
        <v>KB</v>
      </c>
      <c r="D1522" t="s">
        <v>2558</v>
      </c>
      <c r="E1522" s="5"/>
      <c r="G1522" s="4" t="s">
        <v>3027</v>
      </c>
      <c r="H1522" s="306" t="s">
        <v>3029</v>
      </c>
      <c r="I1522" s="438" t="s">
        <v>3030</v>
      </c>
      <c r="K1522" t="s">
        <v>659</v>
      </c>
      <c r="L1522" t="s">
        <v>669</v>
      </c>
      <c r="M1522" s="1" t="s">
        <v>2043</v>
      </c>
    </row>
    <row r="1523" spans="1:14">
      <c r="A1523" s="5">
        <v>1522</v>
      </c>
      <c r="B1523" t="s">
        <v>114</v>
      </c>
      <c r="C1523" t="s">
        <v>17</v>
      </c>
      <c r="D1523" t="s">
        <v>2558</v>
      </c>
      <c r="E1523" s="5"/>
      <c r="G1523" s="4" t="s">
        <v>444</v>
      </c>
      <c r="H1523" s="306" t="s">
        <v>1775</v>
      </c>
      <c r="I1523" s="438" t="s">
        <v>3031</v>
      </c>
      <c r="K1523" t="s">
        <v>1434</v>
      </c>
      <c r="L1523" t="s">
        <v>669</v>
      </c>
      <c r="M1523"/>
    </row>
    <row r="1524" spans="1:14">
      <c r="A1524" s="5">
        <v>1523</v>
      </c>
      <c r="B1524" t="str">
        <f t="shared" ref="B1524" si="71">MID(G1524,8,2)</f>
        <v>TO</v>
      </c>
      <c r="C1524" t="str">
        <f t="shared" ref="C1524" si="72">MID(G1524,11,2)</f>
        <v>KB</v>
      </c>
      <c r="D1524" t="s">
        <v>2558</v>
      </c>
      <c r="E1524" s="5"/>
      <c r="G1524" s="4" t="s">
        <v>3032</v>
      </c>
      <c r="H1524" s="306" t="s">
        <v>1775</v>
      </c>
      <c r="I1524" s="438" t="s">
        <v>3031</v>
      </c>
      <c r="K1524" t="s">
        <v>659</v>
      </c>
      <c r="L1524" t="s">
        <v>669</v>
      </c>
      <c r="M1524"/>
    </row>
    <row r="1525" spans="1:14" ht="36">
      <c r="A1525" s="5">
        <v>1524</v>
      </c>
      <c r="B1525" t="str">
        <f t="shared" ref="B1525:B1528" si="73">MID(G1525,8,2)</f>
        <v>TO</v>
      </c>
      <c r="C1525" t="str">
        <f t="shared" ref="C1525:C1528" si="74">MID(G1525,11,2)</f>
        <v>KB</v>
      </c>
      <c r="D1525" t="s">
        <v>2558</v>
      </c>
      <c r="E1525" s="5"/>
      <c r="G1525" s="4" t="s">
        <v>3033</v>
      </c>
      <c r="H1525" s="306" t="s">
        <v>3034</v>
      </c>
      <c r="I1525" s="438" t="s">
        <v>2865</v>
      </c>
      <c r="K1525" t="s">
        <v>659</v>
      </c>
      <c r="L1525" t="s">
        <v>669</v>
      </c>
      <c r="M1525" t="s">
        <v>2333</v>
      </c>
      <c r="N1525" t="s">
        <v>3035</v>
      </c>
    </row>
    <row r="1526" spans="1:14" ht="36">
      <c r="A1526" s="5">
        <v>1525</v>
      </c>
      <c r="B1526" t="str">
        <f>MID(G1529,8,2)</f>
        <v>TO</v>
      </c>
      <c r="C1526" t="str">
        <f>MID(G1529,11,2)</f>
        <v>KB</v>
      </c>
      <c r="D1526" t="s">
        <v>2558</v>
      </c>
      <c r="E1526" s="5"/>
      <c r="G1526" s="4" t="s">
        <v>3033</v>
      </c>
      <c r="H1526" s="306" t="s">
        <v>464</v>
      </c>
      <c r="I1526" s="438" t="s">
        <v>3036</v>
      </c>
      <c r="K1526" t="s">
        <v>1434</v>
      </c>
      <c r="L1526" t="s">
        <v>669</v>
      </c>
      <c r="M1526" t="s">
        <v>2392</v>
      </c>
      <c r="N1526" t="s">
        <v>3037</v>
      </c>
    </row>
    <row r="1527" spans="1:14" ht="36">
      <c r="A1527" s="5">
        <v>1526</v>
      </c>
      <c r="B1527" t="str">
        <f t="shared" si="73"/>
        <v>TO</v>
      </c>
      <c r="C1527" t="str">
        <f t="shared" si="74"/>
        <v>KB</v>
      </c>
      <c r="D1527" t="s">
        <v>2558</v>
      </c>
      <c r="E1527" s="5"/>
      <c r="G1527" s="4" t="s">
        <v>3033</v>
      </c>
      <c r="H1527" s="306" t="s">
        <v>3038</v>
      </c>
      <c r="I1527" s="438" t="s">
        <v>3039</v>
      </c>
      <c r="K1527" t="s">
        <v>1434</v>
      </c>
      <c r="L1527" t="s">
        <v>669</v>
      </c>
      <c r="M1527" t="s">
        <v>2333</v>
      </c>
      <c r="N1527" t="s">
        <v>3035</v>
      </c>
    </row>
    <row r="1528" spans="1:14" ht="36">
      <c r="A1528" s="5">
        <v>1527</v>
      </c>
      <c r="B1528" t="str">
        <f t="shared" si="73"/>
        <v>TO</v>
      </c>
      <c r="C1528" t="str">
        <f t="shared" si="74"/>
        <v>KB</v>
      </c>
      <c r="D1528" t="s">
        <v>2558</v>
      </c>
      <c r="E1528" s="5"/>
      <c r="G1528" s="4" t="s">
        <v>3033</v>
      </c>
      <c r="H1528" s="306" t="s">
        <v>3040</v>
      </c>
      <c r="I1528" s="438" t="s">
        <v>3041</v>
      </c>
      <c r="K1528" t="s">
        <v>1434</v>
      </c>
      <c r="L1528" t="s">
        <v>669</v>
      </c>
      <c r="M1528" t="s">
        <v>2333</v>
      </c>
      <c r="N1528" t="s">
        <v>3035</v>
      </c>
    </row>
    <row r="1529" spans="1:14" ht="36">
      <c r="A1529" s="5">
        <v>1528</v>
      </c>
      <c r="B1529" t="str">
        <f t="shared" ref="B1529" si="75">MID(G1529,8,2)</f>
        <v>TO</v>
      </c>
      <c r="C1529" t="str">
        <f t="shared" ref="C1529" si="76">MID(G1529,11,2)</f>
        <v>KB</v>
      </c>
      <c r="D1529" t="s">
        <v>2558</v>
      </c>
      <c r="E1529" s="5"/>
      <c r="G1529" s="4" t="s">
        <v>3042</v>
      </c>
      <c r="H1529" s="306" t="s">
        <v>2395</v>
      </c>
      <c r="I1529" s="438" t="s">
        <v>3043</v>
      </c>
      <c r="K1529" t="s">
        <v>659</v>
      </c>
      <c r="L1529" t="s">
        <v>669</v>
      </c>
      <c r="M1529" t="s">
        <v>2333</v>
      </c>
    </row>
    <row r="1530" spans="1:14" ht="36">
      <c r="A1530" s="5">
        <v>1529</v>
      </c>
      <c r="B1530" t="str">
        <f t="shared" ref="B1530:B1534" si="77">MID(G1530,8,2)</f>
        <v>TO</v>
      </c>
      <c r="C1530" t="str">
        <f t="shared" ref="C1530:C1534" si="78">MID(G1530,11,2)</f>
        <v>KB</v>
      </c>
      <c r="D1530" t="s">
        <v>2558</v>
      </c>
      <c r="E1530" s="5"/>
      <c r="G1530" s="4" t="s">
        <v>3042</v>
      </c>
      <c r="H1530" s="306" t="s">
        <v>3044</v>
      </c>
      <c r="I1530" s="438" t="s">
        <v>3045</v>
      </c>
      <c r="K1530" t="s">
        <v>1434</v>
      </c>
      <c r="L1530" t="s">
        <v>669</v>
      </c>
      <c r="M1530" t="s">
        <v>2333</v>
      </c>
    </row>
    <row r="1531" spans="1:14" ht="36">
      <c r="A1531" s="5">
        <v>1530</v>
      </c>
      <c r="B1531" t="str">
        <f t="shared" si="77"/>
        <v>TO</v>
      </c>
      <c r="C1531" t="str">
        <f t="shared" si="78"/>
        <v>KB</v>
      </c>
      <c r="D1531" t="s">
        <v>2558</v>
      </c>
      <c r="E1531" s="5"/>
      <c r="G1531" s="4" t="s">
        <v>3042</v>
      </c>
      <c r="H1531" s="306" t="s">
        <v>537</v>
      </c>
      <c r="I1531" s="438" t="s">
        <v>3046</v>
      </c>
      <c r="K1531" t="s">
        <v>659</v>
      </c>
      <c r="L1531" t="s">
        <v>669</v>
      </c>
      <c r="M1531" t="s">
        <v>2333</v>
      </c>
    </row>
    <row r="1532" spans="1:14" ht="36">
      <c r="A1532" s="5">
        <v>1531</v>
      </c>
      <c r="B1532" t="str">
        <f t="shared" si="77"/>
        <v>TO</v>
      </c>
      <c r="C1532" t="str">
        <f t="shared" si="78"/>
        <v>KB</v>
      </c>
      <c r="D1532" t="s">
        <v>2558</v>
      </c>
      <c r="E1532" s="5"/>
      <c r="G1532" s="4" t="s">
        <v>3042</v>
      </c>
      <c r="H1532" s="306" t="s">
        <v>3047</v>
      </c>
      <c r="I1532" s="438" t="s">
        <v>3048</v>
      </c>
      <c r="K1532" t="s">
        <v>659</v>
      </c>
      <c r="L1532" t="s">
        <v>669</v>
      </c>
      <c r="M1532" t="s">
        <v>2333</v>
      </c>
    </row>
    <row r="1533" spans="1:14" ht="36">
      <c r="A1533" s="5">
        <v>1532</v>
      </c>
      <c r="B1533" t="str">
        <f t="shared" si="77"/>
        <v>TO</v>
      </c>
      <c r="C1533" t="str">
        <f t="shared" si="78"/>
        <v>KB</v>
      </c>
      <c r="D1533" t="s">
        <v>2558</v>
      </c>
      <c r="E1533" s="5"/>
      <c r="G1533" s="4" t="s">
        <v>3042</v>
      </c>
      <c r="H1533" s="306" t="s">
        <v>3049</v>
      </c>
      <c r="I1533" s="438" t="s">
        <v>3050</v>
      </c>
      <c r="K1533" t="s">
        <v>1434</v>
      </c>
      <c r="L1533" t="s">
        <v>669</v>
      </c>
      <c r="M1533" t="s">
        <v>2333</v>
      </c>
    </row>
    <row r="1534" spans="1:14" ht="36">
      <c r="A1534" s="5">
        <v>1533</v>
      </c>
      <c r="B1534" t="str">
        <f t="shared" si="77"/>
        <v>TO</v>
      </c>
      <c r="C1534" t="str">
        <f t="shared" si="78"/>
        <v>KB</v>
      </c>
      <c r="D1534" t="s">
        <v>2558</v>
      </c>
      <c r="E1534" s="5"/>
      <c r="G1534" s="4" t="s">
        <v>3051</v>
      </c>
      <c r="H1534" s="306" t="s">
        <v>3052</v>
      </c>
      <c r="I1534" s="438" t="s">
        <v>2107</v>
      </c>
      <c r="K1534" t="s">
        <v>659</v>
      </c>
      <c r="L1534" t="s">
        <v>669</v>
      </c>
      <c r="M1534" t="s">
        <v>2333</v>
      </c>
    </row>
    <row r="1535" spans="1:14" ht="36">
      <c r="A1535" s="5">
        <v>1534</v>
      </c>
      <c r="B1535" t="str">
        <f t="shared" ref="B1535:B1537" si="79">MID(G1535,8,2)</f>
        <v>TO</v>
      </c>
      <c r="C1535" t="str">
        <f t="shared" ref="C1535:C1537" si="80">MID(G1535,11,2)</f>
        <v>KB</v>
      </c>
      <c r="D1535" t="s">
        <v>2558</v>
      </c>
      <c r="E1535" s="5"/>
      <c r="G1535" s="4" t="s">
        <v>3051</v>
      </c>
      <c r="H1535" s="306" t="s">
        <v>3053</v>
      </c>
      <c r="I1535" s="438" t="s">
        <v>3054</v>
      </c>
      <c r="K1535" t="s">
        <v>659</v>
      </c>
      <c r="L1535" t="s">
        <v>669</v>
      </c>
      <c r="M1535" t="s">
        <v>2333</v>
      </c>
    </row>
    <row r="1536" spans="1:14" ht="36">
      <c r="A1536" s="5">
        <v>1535</v>
      </c>
      <c r="B1536" t="str">
        <f t="shared" si="79"/>
        <v>TO</v>
      </c>
      <c r="C1536" t="str">
        <f t="shared" si="80"/>
        <v>KB</v>
      </c>
      <c r="D1536" t="s">
        <v>2558</v>
      </c>
      <c r="E1536" s="5"/>
      <c r="G1536" s="4" t="s">
        <v>3051</v>
      </c>
      <c r="H1536" s="306" t="s">
        <v>1336</v>
      </c>
      <c r="I1536" s="438" t="s">
        <v>3055</v>
      </c>
      <c r="K1536" t="s">
        <v>659</v>
      </c>
      <c r="L1536" t="s">
        <v>669</v>
      </c>
      <c r="M1536" t="s">
        <v>2333</v>
      </c>
    </row>
    <row r="1537" spans="1:14" ht="36">
      <c r="A1537" s="5">
        <v>1536</v>
      </c>
      <c r="B1537" t="str">
        <f t="shared" si="79"/>
        <v>TO</v>
      </c>
      <c r="C1537" t="str">
        <f t="shared" si="80"/>
        <v>KB</v>
      </c>
      <c r="D1537" t="s">
        <v>2558</v>
      </c>
      <c r="E1537" s="5"/>
      <c r="G1537" s="4" t="s">
        <v>3056</v>
      </c>
      <c r="H1537" s="306" t="s">
        <v>3057</v>
      </c>
      <c r="I1537" s="438" t="s">
        <v>3058</v>
      </c>
      <c r="K1537" t="s">
        <v>659</v>
      </c>
      <c r="L1537" t="s">
        <v>669</v>
      </c>
      <c r="M1537" t="s">
        <v>2333</v>
      </c>
    </row>
    <row r="1538" spans="1:14">
      <c r="A1538" s="5">
        <v>1537</v>
      </c>
      <c r="B1538" t="str">
        <f t="shared" si="69"/>
        <v>TO</v>
      </c>
      <c r="C1538" t="str">
        <f t="shared" si="70"/>
        <v>Mo</v>
      </c>
      <c r="D1538" t="s">
        <v>2558</v>
      </c>
      <c r="E1538" s="5"/>
      <c r="G1538" s="4" t="s">
        <v>3059</v>
      </c>
      <c r="H1538" s="306" t="s">
        <v>446</v>
      </c>
      <c r="I1538" s="438"/>
      <c r="K1538" t="s">
        <v>2841</v>
      </c>
      <c r="L1538" t="s">
        <v>669</v>
      </c>
      <c r="M1538" t="s">
        <v>1424</v>
      </c>
    </row>
    <row r="1539" spans="1:14">
      <c r="A1539" s="5">
        <v>1538</v>
      </c>
      <c r="B1539" t="str">
        <f t="shared" ref="B1539" si="81">MID(G1539,8,2)</f>
        <v>TO</v>
      </c>
      <c r="C1539" t="str">
        <f t="shared" ref="C1539" si="82">MID(G1539,11,2)</f>
        <v>Mo</v>
      </c>
      <c r="D1539" t="s">
        <v>2558</v>
      </c>
      <c r="E1539" s="5"/>
      <c r="G1539" s="4" t="s">
        <v>3059</v>
      </c>
      <c r="H1539" s="306" t="s">
        <v>3060</v>
      </c>
      <c r="I1539" s="438"/>
      <c r="K1539" t="s">
        <v>2841</v>
      </c>
      <c r="L1539" t="s">
        <v>669</v>
      </c>
      <c r="M1539" t="s">
        <v>1424</v>
      </c>
    </row>
    <row r="1540" spans="1:14" ht="36">
      <c r="A1540" s="5">
        <v>1539</v>
      </c>
      <c r="B1540" t="str">
        <f t="shared" ref="B1540:B1541" si="83">MID(G1540,8,2)</f>
        <v>TO</v>
      </c>
      <c r="C1540" t="str">
        <f t="shared" ref="C1540:C1541" si="84">MID(G1540,11,2)</f>
        <v>Ap</v>
      </c>
      <c r="D1540" t="s">
        <v>2558</v>
      </c>
      <c r="E1540" s="5"/>
      <c r="G1540" s="4" t="s">
        <v>3061</v>
      </c>
      <c r="H1540" s="306" t="s">
        <v>3062</v>
      </c>
      <c r="I1540" s="438"/>
      <c r="K1540" t="s">
        <v>2841</v>
      </c>
      <c r="L1540" t="s">
        <v>669</v>
      </c>
      <c r="M1540" t="s">
        <v>1424</v>
      </c>
    </row>
    <row r="1541" spans="1:14" ht="36">
      <c r="A1541" s="5">
        <v>1540</v>
      </c>
      <c r="B1541" t="str">
        <f t="shared" si="83"/>
        <v>TO</v>
      </c>
      <c r="C1541" t="str">
        <f t="shared" si="84"/>
        <v>Ap</v>
      </c>
      <c r="D1541" t="s">
        <v>2558</v>
      </c>
      <c r="E1541" s="5"/>
      <c r="G1541" s="4" t="s">
        <v>3061</v>
      </c>
      <c r="H1541" s="306" t="s">
        <v>3063</v>
      </c>
      <c r="I1541" s="438"/>
      <c r="K1541" t="s">
        <v>2841</v>
      </c>
      <c r="L1541" t="s">
        <v>669</v>
      </c>
      <c r="M1541" t="s">
        <v>1424</v>
      </c>
    </row>
    <row r="1542" spans="1:14">
      <c r="A1542" s="5">
        <v>1541</v>
      </c>
      <c r="B1542" t="str">
        <f t="shared" ref="B1542:B1549" si="85">MID(G1542,8,2)</f>
        <v>TO</v>
      </c>
      <c r="C1542" t="str">
        <f t="shared" ref="C1542:C1549" si="86">MID(G1542,11,2)</f>
        <v>KB</v>
      </c>
      <c r="D1542" t="s">
        <v>2558</v>
      </c>
      <c r="E1542" s="5"/>
      <c r="G1542" s="4" t="s">
        <v>3064</v>
      </c>
      <c r="H1542" s="306" t="s">
        <v>1757</v>
      </c>
      <c r="I1542" s="438" t="s">
        <v>2446</v>
      </c>
      <c r="K1542" t="s">
        <v>659</v>
      </c>
      <c r="L1542" t="s">
        <v>669</v>
      </c>
      <c r="M1542" t="s">
        <v>3065</v>
      </c>
      <c r="N1542" t="s">
        <v>3066</v>
      </c>
    </row>
    <row r="1543" spans="1:14">
      <c r="A1543" s="5">
        <v>1542</v>
      </c>
      <c r="B1543" t="str">
        <f t="shared" si="85"/>
        <v>TO</v>
      </c>
      <c r="C1543" t="str">
        <f t="shared" si="86"/>
        <v>KB</v>
      </c>
      <c r="D1543" t="s">
        <v>2558</v>
      </c>
      <c r="E1543" s="5"/>
      <c r="G1543" s="4" t="s">
        <v>3064</v>
      </c>
      <c r="H1543" s="306" t="s">
        <v>1525</v>
      </c>
      <c r="I1543" s="438" t="s">
        <v>3067</v>
      </c>
      <c r="K1543" t="s">
        <v>1434</v>
      </c>
      <c r="L1543" t="s">
        <v>669</v>
      </c>
      <c r="M1543" t="s">
        <v>2333</v>
      </c>
      <c r="N1543" t="s">
        <v>3068</v>
      </c>
    </row>
    <row r="1544" spans="1:14">
      <c r="A1544" s="5">
        <v>1543</v>
      </c>
      <c r="B1544" t="str">
        <f t="shared" si="85"/>
        <v>TO</v>
      </c>
      <c r="C1544" t="str">
        <f t="shared" si="86"/>
        <v>KB</v>
      </c>
      <c r="D1544" t="s">
        <v>2558</v>
      </c>
      <c r="E1544" s="5"/>
      <c r="G1544" s="4" t="s">
        <v>3069</v>
      </c>
      <c r="H1544" s="306" t="s">
        <v>87</v>
      </c>
      <c r="I1544" s="438" t="s">
        <v>2188</v>
      </c>
      <c r="K1544" t="s">
        <v>659</v>
      </c>
      <c r="L1544" t="s">
        <v>669</v>
      </c>
      <c r="M1544" t="s">
        <v>2333</v>
      </c>
      <c r="N1544" t="s">
        <v>3070</v>
      </c>
    </row>
    <row r="1545" spans="1:14">
      <c r="A1545" s="5">
        <v>1544</v>
      </c>
      <c r="B1545" t="str">
        <f t="shared" si="85"/>
        <v>TO</v>
      </c>
      <c r="C1545" t="str">
        <f t="shared" si="86"/>
        <v>KB</v>
      </c>
      <c r="D1545" t="s">
        <v>2558</v>
      </c>
      <c r="E1545" s="5"/>
      <c r="G1545" s="4" t="s">
        <v>3069</v>
      </c>
      <c r="H1545" s="306" t="s">
        <v>443</v>
      </c>
      <c r="I1545" s="438" t="s">
        <v>2948</v>
      </c>
      <c r="K1545" t="s">
        <v>659</v>
      </c>
      <c r="L1545" t="s">
        <v>669</v>
      </c>
      <c r="M1545" t="s">
        <v>2333</v>
      </c>
      <c r="N1545" t="s">
        <v>3071</v>
      </c>
    </row>
    <row r="1546" spans="1:14">
      <c r="A1546" s="5">
        <v>1545</v>
      </c>
      <c r="B1546" t="str">
        <f t="shared" ref="B1546" si="87">MID(G1546,8,2)</f>
        <v>TO</v>
      </c>
      <c r="C1546" t="str">
        <f t="shared" ref="C1546" si="88">MID(G1546,11,2)</f>
        <v>KB</v>
      </c>
      <c r="D1546" t="s">
        <v>2558</v>
      </c>
      <c r="E1546" s="5"/>
      <c r="G1546" s="4" t="s">
        <v>3069</v>
      </c>
      <c r="H1546" s="306" t="s">
        <v>3072</v>
      </c>
      <c r="I1546" s="438" t="s">
        <v>3030</v>
      </c>
      <c r="K1546" t="s">
        <v>659</v>
      </c>
      <c r="L1546" t="s">
        <v>669</v>
      </c>
      <c r="M1546" t="s">
        <v>2333</v>
      </c>
    </row>
    <row r="1547" spans="1:14">
      <c r="A1547" s="5">
        <v>1546</v>
      </c>
      <c r="B1547" t="str">
        <f t="shared" si="85"/>
        <v>TO</v>
      </c>
      <c r="C1547" t="str">
        <f t="shared" si="86"/>
        <v>KB</v>
      </c>
      <c r="D1547" t="s">
        <v>2558</v>
      </c>
      <c r="E1547" s="5"/>
      <c r="G1547" s="4" t="s">
        <v>3073</v>
      </c>
      <c r="H1547" s="306" t="s">
        <v>3074</v>
      </c>
      <c r="I1547" s="438" t="s">
        <v>3075</v>
      </c>
      <c r="K1547" t="s">
        <v>1434</v>
      </c>
      <c r="L1547" t="s">
        <v>669</v>
      </c>
      <c r="M1547" t="s">
        <v>2333</v>
      </c>
      <c r="N1547" t="s">
        <v>3076</v>
      </c>
    </row>
    <row r="1548" spans="1:14">
      <c r="A1548" s="5">
        <v>1547</v>
      </c>
      <c r="B1548" t="str">
        <f t="shared" si="85"/>
        <v>TO</v>
      </c>
      <c r="C1548" t="str">
        <f t="shared" si="86"/>
        <v>KB</v>
      </c>
      <c r="D1548" t="s">
        <v>2558</v>
      </c>
      <c r="E1548" s="5"/>
      <c r="G1548" s="4" t="s">
        <v>3077</v>
      </c>
      <c r="H1548" s="306" t="s">
        <v>2971</v>
      </c>
      <c r="I1548" s="438" t="s">
        <v>2972</v>
      </c>
      <c r="K1548" t="s">
        <v>659</v>
      </c>
      <c r="L1548" t="s">
        <v>669</v>
      </c>
      <c r="M1548" t="s">
        <v>2333</v>
      </c>
      <c r="N1548" t="s">
        <v>3078</v>
      </c>
    </row>
    <row r="1549" spans="1:14">
      <c r="A1549" s="5">
        <v>1548</v>
      </c>
      <c r="B1549" t="str">
        <f t="shared" si="85"/>
        <v>TO</v>
      </c>
      <c r="C1549" t="str">
        <f t="shared" si="86"/>
        <v>KB</v>
      </c>
      <c r="D1549" t="s">
        <v>2558</v>
      </c>
      <c r="E1549" s="5"/>
      <c r="G1549" s="4" t="s">
        <v>3077</v>
      </c>
      <c r="H1549" s="306" t="s">
        <v>254</v>
      </c>
      <c r="I1549" s="438" t="s">
        <v>2373</v>
      </c>
      <c r="K1549" t="s">
        <v>659</v>
      </c>
      <c r="L1549" t="s">
        <v>669</v>
      </c>
      <c r="M1549" t="s">
        <v>3079</v>
      </c>
      <c r="N1549" t="s">
        <v>3080</v>
      </c>
    </row>
    <row r="1550" spans="1:14">
      <c r="A1550" s="5">
        <v>1549</v>
      </c>
      <c r="B1550" t="str">
        <f t="shared" ref="B1550:B1551" si="89">MID(G1550,8,2)</f>
        <v>TO</v>
      </c>
      <c r="C1550" t="str">
        <f t="shared" ref="C1550:C1551" si="90">MID(G1550,11,2)</f>
        <v>KB</v>
      </c>
      <c r="D1550" t="s">
        <v>3081</v>
      </c>
      <c r="E1550" s="5">
        <v>1</v>
      </c>
      <c r="G1550" s="4" t="s">
        <v>3082</v>
      </c>
      <c r="H1550" s="306" t="s">
        <v>450</v>
      </c>
      <c r="I1550" s="438" t="s">
        <v>3083</v>
      </c>
      <c r="K1550" t="s">
        <v>1434</v>
      </c>
      <c r="L1550" t="s">
        <v>2392</v>
      </c>
      <c r="M1550" s="1" t="s">
        <v>2777</v>
      </c>
      <c r="N1550" t="s">
        <v>3084</v>
      </c>
    </row>
    <row r="1551" spans="1:14" ht="36">
      <c r="A1551" s="5">
        <v>1550</v>
      </c>
      <c r="B1551" t="str">
        <f t="shared" si="89"/>
        <v>TO</v>
      </c>
      <c r="C1551" t="str">
        <f t="shared" si="90"/>
        <v>Mo</v>
      </c>
      <c r="D1551" t="s">
        <v>3081</v>
      </c>
      <c r="E1551" s="5">
        <v>2</v>
      </c>
      <c r="G1551" s="4" t="s">
        <v>3085</v>
      </c>
      <c r="H1551" s="306" t="s">
        <v>3086</v>
      </c>
      <c r="I1551" s="438"/>
      <c r="K1551" t="s">
        <v>2841</v>
      </c>
      <c r="L1551" t="s">
        <v>669</v>
      </c>
      <c r="M1551" t="s">
        <v>1424</v>
      </c>
    </row>
    <row r="1552" spans="1:14">
      <c r="A1552" s="5">
        <v>1551</v>
      </c>
      <c r="B1552" t="str">
        <f t="shared" ref="B1552" si="91">MID(G1552,8,2)</f>
        <v>TO</v>
      </c>
      <c r="C1552" t="str">
        <f t="shared" ref="C1552" si="92">MID(G1552,11,2)</f>
        <v>Do</v>
      </c>
      <c r="D1552" t="s">
        <v>3081</v>
      </c>
      <c r="E1552" s="5">
        <v>1</v>
      </c>
      <c r="G1552" s="4" t="s">
        <v>3087</v>
      </c>
      <c r="H1552" s="306" t="s">
        <v>3088</v>
      </c>
      <c r="I1552" s="438"/>
      <c r="K1552" t="s">
        <v>2841</v>
      </c>
      <c r="L1552" t="s">
        <v>669</v>
      </c>
      <c r="M1552" t="s">
        <v>1424</v>
      </c>
      <c r="N1552" t="s">
        <v>3089</v>
      </c>
    </row>
    <row r="1553" spans="1:15" ht="54">
      <c r="A1553" s="5">
        <v>1552</v>
      </c>
      <c r="B1553" t="str">
        <f t="shared" ref="B1553" si="93">MID(G1553,8,2)</f>
        <v>TO</v>
      </c>
      <c r="C1553" t="str">
        <f t="shared" ref="C1553" si="94">MID(G1553,11,2)</f>
        <v>Do</v>
      </c>
      <c r="D1553" t="s">
        <v>3081</v>
      </c>
      <c r="E1553" s="5">
        <v>1</v>
      </c>
      <c r="G1553" s="4" t="s">
        <v>3087</v>
      </c>
      <c r="H1553" s="306" t="s">
        <v>3090</v>
      </c>
      <c r="I1553" s="438"/>
      <c r="K1553" t="s">
        <v>2841</v>
      </c>
      <c r="L1553" t="s">
        <v>669</v>
      </c>
      <c r="M1553" t="s">
        <v>1424</v>
      </c>
      <c r="N1553" t="s">
        <v>3089</v>
      </c>
    </row>
    <row r="1554" spans="1:15">
      <c r="A1554" s="5">
        <v>1553</v>
      </c>
      <c r="B1554" t="s">
        <v>96</v>
      </c>
      <c r="C1554" t="str">
        <f t="shared" ref="C1554:C1561" si="95">MID(G1554,11,2)</f>
        <v>KB</v>
      </c>
      <c r="D1554" t="s">
        <v>3081</v>
      </c>
      <c r="E1554" s="5">
        <v>1</v>
      </c>
      <c r="G1554" s="4" t="s">
        <v>3091</v>
      </c>
      <c r="H1554" s="306" t="s">
        <v>450</v>
      </c>
      <c r="I1554" s="438" t="s">
        <v>3083</v>
      </c>
      <c r="K1554" t="s">
        <v>659</v>
      </c>
      <c r="L1554" t="s">
        <v>669</v>
      </c>
      <c r="M1554" t="s">
        <v>2333</v>
      </c>
      <c r="O1554" s="4" t="s">
        <v>3082</v>
      </c>
    </row>
    <row r="1555" spans="1:15">
      <c r="A1555" s="5">
        <v>1554</v>
      </c>
      <c r="B1555" t="str">
        <f t="shared" ref="B1555" si="96">MID(G1555,8,2)</f>
        <v>TO</v>
      </c>
      <c r="C1555" t="str">
        <f t="shared" ref="C1555" si="97">MID(G1555,11,2)</f>
        <v>KB</v>
      </c>
      <c r="D1555" t="s">
        <v>3081</v>
      </c>
      <c r="E1555" s="5">
        <v>1</v>
      </c>
      <c r="F1555" t="s">
        <v>3092</v>
      </c>
      <c r="G1555" s="4" t="s">
        <v>3093</v>
      </c>
      <c r="H1555" s="306" t="s">
        <v>443</v>
      </c>
      <c r="I1555" s="438" t="s">
        <v>2948</v>
      </c>
      <c r="K1555" t="s">
        <v>659</v>
      </c>
      <c r="L1555" t="s">
        <v>669</v>
      </c>
      <c r="M1555" t="s">
        <v>2333</v>
      </c>
    </row>
    <row r="1556" spans="1:15">
      <c r="A1556" s="5">
        <v>1555</v>
      </c>
      <c r="B1556" t="str">
        <f t="shared" ref="B1556:B1561" si="98">MID(G1556,8,2)</f>
        <v>TO</v>
      </c>
      <c r="C1556" t="str">
        <f t="shared" si="95"/>
        <v>KB</v>
      </c>
      <c r="D1556" t="s">
        <v>3081</v>
      </c>
      <c r="E1556" s="5">
        <v>1</v>
      </c>
      <c r="F1556" t="s">
        <v>3092</v>
      </c>
      <c r="G1556" s="4" t="s">
        <v>3093</v>
      </c>
      <c r="H1556" s="306" t="s">
        <v>1855</v>
      </c>
      <c r="I1556" s="450" t="s">
        <v>2776</v>
      </c>
      <c r="K1556" t="s">
        <v>659</v>
      </c>
      <c r="L1556" t="s">
        <v>669</v>
      </c>
      <c r="M1556" t="s">
        <v>2333</v>
      </c>
    </row>
    <row r="1557" spans="1:15">
      <c r="A1557" s="5">
        <v>1556</v>
      </c>
      <c r="B1557" t="str">
        <f t="shared" si="98"/>
        <v>TO</v>
      </c>
      <c r="C1557" t="str">
        <f t="shared" si="95"/>
        <v>KB</v>
      </c>
      <c r="D1557" t="s">
        <v>3081</v>
      </c>
      <c r="E1557" s="5">
        <v>2</v>
      </c>
      <c r="G1557" s="4" t="s">
        <v>3094</v>
      </c>
      <c r="H1557" s="305" t="s">
        <v>3095</v>
      </c>
      <c r="I1557" s="438" t="s">
        <v>2969</v>
      </c>
      <c r="K1557" t="s">
        <v>659</v>
      </c>
      <c r="L1557" t="s">
        <v>669</v>
      </c>
      <c r="M1557" t="s">
        <v>2333</v>
      </c>
    </row>
    <row r="1558" spans="1:15">
      <c r="A1558" s="5">
        <v>1557</v>
      </c>
      <c r="B1558" t="str">
        <f t="shared" si="98"/>
        <v>TO</v>
      </c>
      <c r="C1558" t="str">
        <f t="shared" si="95"/>
        <v>KB</v>
      </c>
      <c r="D1558" t="s">
        <v>3081</v>
      </c>
      <c r="E1558" s="5">
        <v>2</v>
      </c>
      <c r="G1558" s="4" t="s">
        <v>3094</v>
      </c>
      <c r="H1558" s="306" t="s">
        <v>3096</v>
      </c>
      <c r="I1558" s="438" t="s">
        <v>3097</v>
      </c>
      <c r="K1558" t="s">
        <v>1434</v>
      </c>
      <c r="L1558" t="s">
        <v>669</v>
      </c>
      <c r="M1558" t="s">
        <v>2333</v>
      </c>
    </row>
    <row r="1559" spans="1:15">
      <c r="A1559" s="5">
        <v>1558</v>
      </c>
      <c r="B1559" t="s">
        <v>96</v>
      </c>
      <c r="C1559" t="str">
        <f t="shared" si="95"/>
        <v>KB</v>
      </c>
      <c r="D1559" t="s">
        <v>3081</v>
      </c>
      <c r="E1559" s="5"/>
      <c r="G1559" s="4" t="s">
        <v>3098</v>
      </c>
      <c r="H1559" s="306" t="s">
        <v>254</v>
      </c>
      <c r="I1559" s="438" t="s">
        <v>2373</v>
      </c>
      <c r="K1559" t="s">
        <v>659</v>
      </c>
      <c r="L1559" t="s">
        <v>669</v>
      </c>
      <c r="M1559" t="s">
        <v>2333</v>
      </c>
      <c r="N1559" t="s">
        <v>3080</v>
      </c>
    </row>
    <row r="1560" spans="1:15">
      <c r="A1560" s="5">
        <v>1559</v>
      </c>
      <c r="B1560" t="s">
        <v>96</v>
      </c>
      <c r="C1560" t="str">
        <f t="shared" si="95"/>
        <v>KB</v>
      </c>
      <c r="D1560" t="s">
        <v>3081</v>
      </c>
      <c r="E1560" s="5"/>
      <c r="G1560" s="4" t="s">
        <v>3098</v>
      </c>
      <c r="H1560" s="306" t="s">
        <v>3099</v>
      </c>
      <c r="I1560" s="438" t="s">
        <v>3075</v>
      </c>
      <c r="K1560" t="s">
        <v>1434</v>
      </c>
      <c r="L1560" t="s">
        <v>669</v>
      </c>
      <c r="M1560" t="s">
        <v>2333</v>
      </c>
      <c r="N1560" t="s">
        <v>3076</v>
      </c>
    </row>
    <row r="1561" spans="1:15">
      <c r="A1561" s="5">
        <v>1560</v>
      </c>
      <c r="B1561" t="str">
        <f t="shared" si="98"/>
        <v>TO</v>
      </c>
      <c r="C1561" t="str">
        <f t="shared" si="95"/>
        <v>KB</v>
      </c>
      <c r="D1561" t="s">
        <v>3081</v>
      </c>
      <c r="E1561" s="5"/>
      <c r="G1561" s="4" t="s">
        <v>3100</v>
      </c>
      <c r="H1561" s="306" t="s">
        <v>3034</v>
      </c>
      <c r="I1561" s="438" t="s">
        <v>2865</v>
      </c>
      <c r="K1561" t="s">
        <v>1434</v>
      </c>
      <c r="L1561" t="s">
        <v>669</v>
      </c>
      <c r="M1561" s="1" t="s">
        <v>2043</v>
      </c>
    </row>
    <row r="1562" spans="1:15">
      <c r="A1562" s="5">
        <v>1561</v>
      </c>
      <c r="B1562" t="s">
        <v>96</v>
      </c>
      <c r="C1562" t="str">
        <f t="shared" ref="C1562:C1566" si="99">MID(G1562,11,2)</f>
        <v>KB</v>
      </c>
      <c r="D1562" t="s">
        <v>3081</v>
      </c>
      <c r="E1562" s="5"/>
      <c r="G1562" s="4" t="s">
        <v>3101</v>
      </c>
      <c r="H1562" s="306" t="s">
        <v>2782</v>
      </c>
      <c r="I1562" s="450" t="s">
        <v>2783</v>
      </c>
      <c r="K1562" t="s">
        <v>659</v>
      </c>
      <c r="L1562" t="s">
        <v>669</v>
      </c>
      <c r="M1562" t="s">
        <v>2333</v>
      </c>
    </row>
    <row r="1563" spans="1:15">
      <c r="A1563" s="5">
        <v>1562</v>
      </c>
      <c r="B1563" t="s">
        <v>96</v>
      </c>
      <c r="C1563" t="str">
        <f t="shared" si="99"/>
        <v>KB</v>
      </c>
      <c r="D1563" t="s">
        <v>3081</v>
      </c>
      <c r="E1563" s="5"/>
      <c r="G1563" s="4" t="s">
        <v>3101</v>
      </c>
      <c r="H1563" s="306" t="s">
        <v>3102</v>
      </c>
      <c r="I1563" s="438" t="s">
        <v>2872</v>
      </c>
      <c r="K1563" t="s">
        <v>1434</v>
      </c>
      <c r="L1563" t="s">
        <v>669</v>
      </c>
      <c r="M1563" t="s">
        <v>2333</v>
      </c>
    </row>
    <row r="1564" spans="1:15">
      <c r="A1564" s="5">
        <v>1563</v>
      </c>
      <c r="B1564" t="str">
        <f t="shared" ref="B1564:B1566" si="100">MID(G1564,8,2)</f>
        <v>TO</v>
      </c>
      <c r="C1564" t="str">
        <f t="shared" si="99"/>
        <v>KB</v>
      </c>
      <c r="D1564" t="s">
        <v>3081</v>
      </c>
      <c r="E1564" s="5"/>
      <c r="G1564" s="4" t="s">
        <v>3103</v>
      </c>
      <c r="H1564" s="306" t="s">
        <v>3104</v>
      </c>
      <c r="I1564" s="438" t="s">
        <v>2121</v>
      </c>
      <c r="K1564" t="s">
        <v>659</v>
      </c>
      <c r="L1564" t="s">
        <v>669</v>
      </c>
      <c r="M1564" t="s">
        <v>2333</v>
      </c>
    </row>
    <row r="1565" spans="1:15">
      <c r="A1565" s="5">
        <v>1564</v>
      </c>
      <c r="B1565" t="str">
        <f t="shared" si="100"/>
        <v>TO</v>
      </c>
      <c r="C1565" t="str">
        <f t="shared" si="99"/>
        <v>KB</v>
      </c>
      <c r="D1565" t="s">
        <v>3081</v>
      </c>
      <c r="E1565" s="5"/>
      <c r="G1565" s="4" t="s">
        <v>3103</v>
      </c>
      <c r="H1565" s="306" t="s">
        <v>3105</v>
      </c>
      <c r="I1565" s="438" t="s">
        <v>3106</v>
      </c>
      <c r="K1565" t="s">
        <v>1434</v>
      </c>
      <c r="L1565" t="s">
        <v>669</v>
      </c>
      <c r="M1565" t="s">
        <v>2333</v>
      </c>
      <c r="N1565" t="s">
        <v>3107</v>
      </c>
    </row>
    <row r="1566" spans="1:15">
      <c r="A1566" s="5">
        <v>1565</v>
      </c>
      <c r="B1566" t="str">
        <f t="shared" si="100"/>
        <v>TO</v>
      </c>
      <c r="C1566" t="str">
        <f t="shared" si="99"/>
        <v>KB</v>
      </c>
      <c r="D1566" t="s">
        <v>3081</v>
      </c>
      <c r="E1566" s="5"/>
      <c r="G1566" s="4" t="s">
        <v>3103</v>
      </c>
      <c r="H1566" s="306" t="s">
        <v>3108</v>
      </c>
      <c r="I1566" s="438" t="s">
        <v>3109</v>
      </c>
      <c r="K1566" t="s">
        <v>659</v>
      </c>
      <c r="L1566" t="s">
        <v>669</v>
      </c>
      <c r="M1566" t="s">
        <v>2333</v>
      </c>
    </row>
    <row r="1567" spans="1:15">
      <c r="A1567" s="5">
        <v>1566</v>
      </c>
      <c r="B1567" t="str">
        <f t="shared" ref="B1567" si="101">MID(G1567,8,2)</f>
        <v>TO</v>
      </c>
      <c r="C1567" t="str">
        <f t="shared" ref="C1567" si="102">MID(G1567,11,2)</f>
        <v>KB</v>
      </c>
      <c r="D1567" t="s">
        <v>3081</v>
      </c>
      <c r="E1567" s="5"/>
      <c r="G1567" s="4" t="s">
        <v>3110</v>
      </c>
      <c r="H1567" s="306" t="s">
        <v>348</v>
      </c>
      <c r="I1567" s="438" t="s">
        <v>3111</v>
      </c>
      <c r="K1567" t="s">
        <v>659</v>
      </c>
      <c r="L1567" t="s">
        <v>669</v>
      </c>
      <c r="M1567" t="s">
        <v>2333</v>
      </c>
    </row>
    <row r="1568" spans="1:15" ht="36">
      <c r="A1568" s="5">
        <v>1567</v>
      </c>
      <c r="B1568" t="str">
        <f t="shared" ref="B1568" si="103">MID(G1568,8,2)</f>
        <v>TO</v>
      </c>
      <c r="C1568" t="str">
        <f t="shared" ref="C1568" si="104">MID(G1568,11,2)</f>
        <v>KB</v>
      </c>
      <c r="D1568" t="s">
        <v>3081</v>
      </c>
      <c r="E1568" s="5"/>
      <c r="G1568" s="4" t="s">
        <v>3112</v>
      </c>
      <c r="H1568" s="306" t="s">
        <v>460</v>
      </c>
      <c r="I1568" s="438" t="s">
        <v>3113</v>
      </c>
      <c r="K1568" t="s">
        <v>659</v>
      </c>
      <c r="L1568" t="s">
        <v>669</v>
      </c>
      <c r="M1568" s="1" t="s">
        <v>2043</v>
      </c>
    </row>
    <row r="1569" spans="1:14">
      <c r="A1569" s="5">
        <v>1568</v>
      </c>
      <c r="B1569" t="str">
        <f t="shared" ref="B1569:B1571" si="105">MID(G1569,8,2)</f>
        <v>MH</v>
      </c>
      <c r="C1569" t="str">
        <f t="shared" ref="C1569:C1571" si="106">MID(G1569,11,2)</f>
        <v>KB</v>
      </c>
      <c r="D1569" t="s">
        <v>3081</v>
      </c>
      <c r="E1569" s="5"/>
      <c r="G1569" s="4" t="s">
        <v>3114</v>
      </c>
      <c r="H1569" s="306" t="s">
        <v>3034</v>
      </c>
      <c r="I1569" s="438" t="s">
        <v>2865</v>
      </c>
      <c r="K1569" t="s">
        <v>659</v>
      </c>
      <c r="L1569" t="s">
        <v>669</v>
      </c>
      <c r="M1569" t="s">
        <v>2333</v>
      </c>
      <c r="N1569" t="s">
        <v>3115</v>
      </c>
    </row>
    <row r="1570" spans="1:14" ht="36">
      <c r="A1570" s="5">
        <v>1569</v>
      </c>
      <c r="B1570" t="str">
        <f t="shared" si="105"/>
        <v>MH</v>
      </c>
      <c r="C1570" t="str">
        <f t="shared" si="106"/>
        <v>KB</v>
      </c>
      <c r="D1570" t="s">
        <v>3081</v>
      </c>
      <c r="E1570" s="5"/>
      <c r="G1570" s="4" t="s">
        <v>3114</v>
      </c>
      <c r="H1570" s="306" t="s">
        <v>3038</v>
      </c>
      <c r="I1570" s="438" t="s">
        <v>3039</v>
      </c>
      <c r="K1570" t="s">
        <v>659</v>
      </c>
      <c r="L1570" t="s">
        <v>669</v>
      </c>
      <c r="M1570" t="s">
        <v>2333</v>
      </c>
      <c r="N1570" t="s">
        <v>3115</v>
      </c>
    </row>
    <row r="1571" spans="1:14">
      <c r="A1571" s="5">
        <v>1570</v>
      </c>
      <c r="B1571" t="str">
        <f t="shared" si="105"/>
        <v>MH</v>
      </c>
      <c r="C1571" t="str">
        <f t="shared" si="106"/>
        <v>KB</v>
      </c>
      <c r="D1571" t="s">
        <v>3081</v>
      </c>
      <c r="E1571" s="5"/>
      <c r="G1571" s="4" t="s">
        <v>3114</v>
      </c>
      <c r="H1571" s="306" t="s">
        <v>3040</v>
      </c>
      <c r="I1571" s="438" t="s">
        <v>3041</v>
      </c>
      <c r="K1571" t="s">
        <v>659</v>
      </c>
      <c r="L1571" t="s">
        <v>669</v>
      </c>
      <c r="M1571" t="s">
        <v>2333</v>
      </c>
      <c r="N1571" t="s">
        <v>3115</v>
      </c>
    </row>
    <row r="1572" spans="1:14">
      <c r="A1572" s="5">
        <v>1571</v>
      </c>
      <c r="B1572" t="str">
        <f t="shared" ref="B1572:B1577" si="107">MID(G1572,8,2)</f>
        <v>TO</v>
      </c>
      <c r="C1572" t="str">
        <f t="shared" ref="C1572:C1577" si="108">MID(G1572,11,2)</f>
        <v>KB</v>
      </c>
      <c r="D1572" t="s">
        <v>3081</v>
      </c>
      <c r="E1572" s="5"/>
      <c r="G1572" s="4" t="s">
        <v>3116</v>
      </c>
      <c r="H1572" s="306" t="s">
        <v>464</v>
      </c>
      <c r="I1572" s="438" t="s">
        <v>3036</v>
      </c>
      <c r="K1572" t="s">
        <v>659</v>
      </c>
      <c r="L1572" t="s">
        <v>669</v>
      </c>
      <c r="M1572" t="s">
        <v>2333</v>
      </c>
      <c r="N1572" t="s">
        <v>3117</v>
      </c>
    </row>
    <row r="1573" spans="1:14">
      <c r="A1573" s="5">
        <v>1572</v>
      </c>
      <c r="B1573" t="str">
        <f t="shared" si="107"/>
        <v>TO</v>
      </c>
      <c r="C1573" t="str">
        <f t="shared" si="108"/>
        <v>KB</v>
      </c>
      <c r="D1573" t="s">
        <v>3081</v>
      </c>
      <c r="E1573" s="5"/>
      <c r="G1573" s="4" t="s">
        <v>3118</v>
      </c>
      <c r="H1573" s="306" t="s">
        <v>3119</v>
      </c>
      <c r="I1573" s="438" t="s">
        <v>3120</v>
      </c>
      <c r="K1573" t="s">
        <v>659</v>
      </c>
      <c r="L1573" t="s">
        <v>669</v>
      </c>
      <c r="M1573"/>
    </row>
    <row r="1574" spans="1:14">
      <c r="A1574" s="5">
        <v>1573</v>
      </c>
      <c r="B1574" t="str">
        <f t="shared" si="107"/>
        <v>TO</v>
      </c>
      <c r="C1574" t="str">
        <f t="shared" si="108"/>
        <v>KB</v>
      </c>
      <c r="D1574" t="s">
        <v>3081</v>
      </c>
      <c r="E1574" s="5"/>
      <c r="F1574" t="s">
        <v>3121</v>
      </c>
      <c r="G1574" s="4" t="s">
        <v>3122</v>
      </c>
      <c r="H1574" s="306" t="s">
        <v>463</v>
      </c>
      <c r="I1574" s="438" t="s">
        <v>3120</v>
      </c>
      <c r="K1574" t="s">
        <v>1434</v>
      </c>
      <c r="L1574" t="s">
        <v>669</v>
      </c>
      <c r="M1574"/>
    </row>
    <row r="1575" spans="1:14">
      <c r="A1575" s="5">
        <v>1574</v>
      </c>
      <c r="B1575" t="str">
        <f t="shared" si="107"/>
        <v>TO</v>
      </c>
      <c r="C1575" t="str">
        <f t="shared" si="108"/>
        <v>KB</v>
      </c>
      <c r="D1575" t="s">
        <v>3081</v>
      </c>
      <c r="E1575" s="5"/>
      <c r="G1575" s="4" t="s">
        <v>3123</v>
      </c>
      <c r="H1575" s="306" t="s">
        <v>462</v>
      </c>
      <c r="I1575" s="438" t="s">
        <v>3120</v>
      </c>
      <c r="K1575" t="s">
        <v>659</v>
      </c>
      <c r="L1575" t="s">
        <v>669</v>
      </c>
      <c r="M1575"/>
    </row>
    <row r="1576" spans="1:14">
      <c r="A1576" s="5">
        <v>1575</v>
      </c>
      <c r="B1576" t="str">
        <f t="shared" si="107"/>
        <v>MH</v>
      </c>
      <c r="C1576" t="str">
        <f t="shared" si="108"/>
        <v>KB</v>
      </c>
      <c r="D1576" t="s">
        <v>3081</v>
      </c>
      <c r="E1576" s="5"/>
      <c r="F1576" t="s">
        <v>3121</v>
      </c>
      <c r="G1576" s="4" t="s">
        <v>3124</v>
      </c>
      <c r="H1576" s="306" t="s">
        <v>3125</v>
      </c>
      <c r="I1576" s="438" t="s">
        <v>3126</v>
      </c>
      <c r="K1576" t="s">
        <v>659</v>
      </c>
      <c r="L1576" t="s">
        <v>669</v>
      </c>
      <c r="M1576"/>
      <c r="N1576" t="s">
        <v>3127</v>
      </c>
    </row>
    <row r="1577" spans="1:14">
      <c r="A1577" s="5">
        <v>1576</v>
      </c>
      <c r="B1577" t="str">
        <f t="shared" si="107"/>
        <v>TO</v>
      </c>
      <c r="C1577" t="str">
        <f t="shared" si="108"/>
        <v>KB</v>
      </c>
      <c r="D1577" t="s">
        <v>3081</v>
      </c>
      <c r="E1577" s="5"/>
      <c r="G1577" s="4" t="s">
        <v>3128</v>
      </c>
      <c r="H1577" s="306" t="s">
        <v>463</v>
      </c>
      <c r="I1577" s="438" t="s">
        <v>3126</v>
      </c>
      <c r="K1577" t="s">
        <v>1434</v>
      </c>
      <c r="L1577" t="s">
        <v>669</v>
      </c>
      <c r="M1577" t="s">
        <v>2333</v>
      </c>
    </row>
    <row r="1578" spans="1:14">
      <c r="A1578" s="5">
        <v>1577</v>
      </c>
      <c r="B1578" t="str">
        <f t="shared" ref="B1578" si="109">MID(G1578,8,2)</f>
        <v>TO</v>
      </c>
      <c r="C1578" t="str">
        <f t="shared" ref="C1578" si="110">MID(G1578,11,2)</f>
        <v>KB</v>
      </c>
      <c r="D1578" t="s">
        <v>3129</v>
      </c>
      <c r="E1578" s="5"/>
      <c r="G1578" s="4" t="s">
        <v>3130</v>
      </c>
      <c r="H1578" s="306" t="s">
        <v>403</v>
      </c>
      <c r="I1578" s="438" t="s">
        <v>3131</v>
      </c>
      <c r="K1578" t="s">
        <v>659</v>
      </c>
      <c r="L1578" t="s">
        <v>669</v>
      </c>
      <c r="M1578" s="1" t="s">
        <v>2043</v>
      </c>
    </row>
    <row r="1579" spans="1:14">
      <c r="A1579" s="5">
        <v>1578</v>
      </c>
      <c r="B1579" t="str">
        <f t="shared" ref="B1579:B1584" si="111">MID(G1579,8,2)</f>
        <v>TO</v>
      </c>
      <c r="C1579" t="str">
        <f t="shared" ref="C1579:C1584" si="112">MID(G1579,11,2)</f>
        <v>KB</v>
      </c>
      <c r="D1579" t="s">
        <v>3081</v>
      </c>
      <c r="E1579" s="5"/>
      <c r="G1579" s="4" t="s">
        <v>3132</v>
      </c>
      <c r="H1579" s="306" t="s">
        <v>2974</v>
      </c>
      <c r="I1579" s="438" t="s">
        <v>2377</v>
      </c>
      <c r="K1579" t="s">
        <v>659</v>
      </c>
      <c r="L1579" s="293" t="s">
        <v>669</v>
      </c>
      <c r="M1579" t="s">
        <v>2333</v>
      </c>
    </row>
    <row r="1580" spans="1:14" ht="36">
      <c r="A1580" s="5">
        <v>1579</v>
      </c>
      <c r="B1580" t="str">
        <f t="shared" si="111"/>
        <v>TO</v>
      </c>
      <c r="C1580" t="str">
        <f t="shared" si="112"/>
        <v>KB</v>
      </c>
      <c r="D1580" t="s">
        <v>3081</v>
      </c>
      <c r="E1580" s="5"/>
      <c r="G1580" s="4" t="s">
        <v>3132</v>
      </c>
      <c r="H1580" s="306" t="s">
        <v>3133</v>
      </c>
      <c r="I1580" s="438" t="s">
        <v>3134</v>
      </c>
      <c r="K1580" t="s">
        <v>659</v>
      </c>
      <c r="L1580" s="293" t="s">
        <v>669</v>
      </c>
      <c r="M1580" t="s">
        <v>2333</v>
      </c>
      <c r="N1580" t="s">
        <v>2900</v>
      </c>
    </row>
    <row r="1581" spans="1:14">
      <c r="A1581" s="5">
        <v>1580</v>
      </c>
      <c r="B1581" t="str">
        <f t="shared" ref="B1581:B1582" si="113">MID(G1581,8,2)</f>
        <v>TO</v>
      </c>
      <c r="C1581" t="str">
        <f t="shared" ref="C1581:C1582" si="114">MID(G1581,11,2)</f>
        <v>KB</v>
      </c>
      <c r="D1581" t="s">
        <v>3081</v>
      </c>
      <c r="E1581" s="5"/>
      <c r="G1581" s="4" t="s">
        <v>3132</v>
      </c>
      <c r="H1581" s="306" t="s">
        <v>3135</v>
      </c>
      <c r="I1581" s="438" t="s">
        <v>3136</v>
      </c>
      <c r="K1581" t="s">
        <v>1434</v>
      </c>
      <c r="L1581" s="293" t="s">
        <v>669</v>
      </c>
      <c r="M1581" t="s">
        <v>2333</v>
      </c>
    </row>
    <row r="1582" spans="1:14">
      <c r="A1582" s="5">
        <v>1581</v>
      </c>
      <c r="B1582" t="str">
        <f t="shared" si="113"/>
        <v>TO</v>
      </c>
      <c r="C1582" t="str">
        <f t="shared" si="114"/>
        <v>KB</v>
      </c>
      <c r="D1582" t="s">
        <v>3081</v>
      </c>
      <c r="E1582" s="5"/>
      <c r="G1582" s="4" t="s">
        <v>3132</v>
      </c>
      <c r="H1582" s="305" t="s">
        <v>3137</v>
      </c>
      <c r="I1582" s="438" t="s">
        <v>3138</v>
      </c>
      <c r="K1582" t="s">
        <v>1434</v>
      </c>
      <c r="L1582" s="293" t="s">
        <v>669</v>
      </c>
      <c r="M1582" t="s">
        <v>2333</v>
      </c>
    </row>
    <row r="1583" spans="1:14" ht="54">
      <c r="A1583" s="5">
        <v>1582</v>
      </c>
      <c r="B1583" t="str">
        <f t="shared" si="111"/>
        <v>TO</v>
      </c>
      <c r="C1583" t="str">
        <f t="shared" si="112"/>
        <v>KB</v>
      </c>
      <c r="D1583" t="s">
        <v>3081</v>
      </c>
      <c r="E1583" s="5"/>
      <c r="G1583" s="4" t="s">
        <v>3132</v>
      </c>
      <c r="H1583" s="305" t="s">
        <v>3139</v>
      </c>
      <c r="I1583" s="438" t="s">
        <v>3140</v>
      </c>
      <c r="K1583" t="s">
        <v>1434</v>
      </c>
      <c r="L1583" s="293" t="s">
        <v>669</v>
      </c>
      <c r="M1583" t="s">
        <v>2333</v>
      </c>
    </row>
    <row r="1584" spans="1:14" ht="55.2">
      <c r="A1584" s="5">
        <v>1583</v>
      </c>
      <c r="B1584" t="str">
        <f t="shared" si="111"/>
        <v>TO</v>
      </c>
      <c r="C1584" t="str">
        <f t="shared" si="112"/>
        <v>KB</v>
      </c>
      <c r="D1584" t="s">
        <v>3081</v>
      </c>
      <c r="E1584" s="5"/>
      <c r="G1584" s="4" t="s">
        <v>3132</v>
      </c>
      <c r="H1584" s="313" t="s">
        <v>3141</v>
      </c>
      <c r="I1584" s="438" t="s">
        <v>2688</v>
      </c>
      <c r="K1584" t="s">
        <v>659</v>
      </c>
      <c r="L1584" s="293" t="s">
        <v>669</v>
      </c>
      <c r="M1584" t="s">
        <v>2333</v>
      </c>
      <c r="N1584" s="4" t="s">
        <v>3142</v>
      </c>
    </row>
    <row r="1585" spans="1:14" ht="36">
      <c r="A1585" s="5">
        <v>1584</v>
      </c>
      <c r="B1585" t="str">
        <f>MID(G1585,8,2)</f>
        <v>TO</v>
      </c>
      <c r="C1585" t="str">
        <f>MID(G1585,11,2)</f>
        <v>KB</v>
      </c>
      <c r="D1585" t="s">
        <v>3081</v>
      </c>
      <c r="E1585" s="5"/>
      <c r="G1585" s="4" t="s">
        <v>3143</v>
      </c>
      <c r="H1585" s="306" t="s">
        <v>3144</v>
      </c>
      <c r="I1585" s="438" t="s">
        <v>3145</v>
      </c>
      <c r="K1585" t="s">
        <v>659</v>
      </c>
      <c r="L1585" t="s">
        <v>669</v>
      </c>
      <c r="M1585" t="s">
        <v>2333</v>
      </c>
      <c r="N1585" s="4" t="s">
        <v>3146</v>
      </c>
    </row>
    <row r="1586" spans="1:14" ht="36">
      <c r="A1586" s="5">
        <v>1585</v>
      </c>
      <c r="B1586" t="str">
        <f t="shared" ref="B1586" si="115">MID(G1586,8,2)</f>
        <v>TO</v>
      </c>
      <c r="C1586" t="str">
        <f t="shared" ref="C1586" si="116">MID(G1586,11,2)</f>
        <v>KB</v>
      </c>
      <c r="D1586" t="s">
        <v>3081</v>
      </c>
      <c r="E1586" s="5"/>
      <c r="G1586" s="4" t="s">
        <v>3143</v>
      </c>
      <c r="H1586" s="306" t="s">
        <v>279</v>
      </c>
      <c r="I1586" s="438" t="s">
        <v>3147</v>
      </c>
      <c r="K1586" t="s">
        <v>659</v>
      </c>
      <c r="L1586" t="s">
        <v>669</v>
      </c>
      <c r="M1586" t="s">
        <v>2333</v>
      </c>
      <c r="N1586" s="4" t="s">
        <v>3148</v>
      </c>
    </row>
    <row r="1587" spans="1:14" ht="36">
      <c r="A1587" s="5">
        <v>1586</v>
      </c>
      <c r="B1587" t="str">
        <f t="shared" ref="B1587:B1589" si="117">MID(G1587,8,2)</f>
        <v>TO</v>
      </c>
      <c r="C1587" t="str">
        <f t="shared" ref="C1587:C1589" si="118">MID(G1587,11,2)</f>
        <v>KB</v>
      </c>
      <c r="D1587" t="s">
        <v>3081</v>
      </c>
      <c r="E1587" s="5"/>
      <c r="G1587" s="4" t="s">
        <v>3143</v>
      </c>
      <c r="H1587" s="306" t="s">
        <v>3149</v>
      </c>
      <c r="I1587" s="438" t="s">
        <v>2217</v>
      </c>
      <c r="K1587" t="s">
        <v>659</v>
      </c>
      <c r="L1587" t="s">
        <v>669</v>
      </c>
      <c r="M1587" t="s">
        <v>2333</v>
      </c>
      <c r="N1587" s="4" t="s">
        <v>3150</v>
      </c>
    </row>
    <row r="1588" spans="1:14" ht="36">
      <c r="A1588" s="5">
        <v>1587</v>
      </c>
      <c r="B1588" t="str">
        <f t="shared" si="117"/>
        <v>TO</v>
      </c>
      <c r="C1588" t="str">
        <f t="shared" si="118"/>
        <v>KB</v>
      </c>
      <c r="D1588" t="s">
        <v>3081</v>
      </c>
      <c r="E1588" s="5"/>
      <c r="G1588" s="4" t="s">
        <v>3143</v>
      </c>
      <c r="H1588" s="305" t="s">
        <v>450</v>
      </c>
      <c r="I1588" s="438" t="s">
        <v>3083</v>
      </c>
      <c r="K1588" t="s">
        <v>659</v>
      </c>
      <c r="L1588" t="s">
        <v>669</v>
      </c>
      <c r="M1588" t="s">
        <v>2333</v>
      </c>
      <c r="N1588" s="4" t="s">
        <v>3151</v>
      </c>
    </row>
    <row r="1589" spans="1:14">
      <c r="A1589" s="5">
        <v>1588</v>
      </c>
      <c r="B1589" t="str">
        <f t="shared" si="117"/>
        <v>TO</v>
      </c>
      <c r="C1589" t="str">
        <f t="shared" si="118"/>
        <v>KB</v>
      </c>
      <c r="D1589" t="s">
        <v>3081</v>
      </c>
      <c r="E1589" s="5"/>
      <c r="G1589" s="4" t="s">
        <v>3152</v>
      </c>
      <c r="H1589" s="306" t="s">
        <v>3006</v>
      </c>
      <c r="I1589" s="438" t="s">
        <v>3007</v>
      </c>
      <c r="K1589" t="s">
        <v>659</v>
      </c>
      <c r="L1589" t="s">
        <v>669</v>
      </c>
      <c r="M1589" t="s">
        <v>2333</v>
      </c>
    </row>
    <row r="1590" spans="1:14">
      <c r="A1590" s="5">
        <v>1589</v>
      </c>
      <c r="B1590" t="str">
        <f t="shared" ref="B1590:B1592" si="119">MID(G1590,8,2)</f>
        <v>TO</v>
      </c>
      <c r="C1590" t="str">
        <f t="shared" ref="C1590:C1592" si="120">MID(G1590,11,2)</f>
        <v>KB</v>
      </c>
      <c r="D1590" t="s">
        <v>3081</v>
      </c>
      <c r="E1590" s="5"/>
      <c r="G1590" s="4" t="s">
        <v>3152</v>
      </c>
      <c r="H1590" s="306" t="s">
        <v>460</v>
      </c>
      <c r="I1590" s="438" t="s">
        <v>3113</v>
      </c>
      <c r="K1590" t="s">
        <v>659</v>
      </c>
      <c r="L1590" t="s">
        <v>669</v>
      </c>
      <c r="M1590" t="s">
        <v>2333</v>
      </c>
    </row>
    <row r="1591" spans="1:14" ht="36">
      <c r="A1591" s="5">
        <v>1590</v>
      </c>
      <c r="B1591" t="str">
        <f t="shared" ref="B1591" si="121">MID(G1591,8,2)</f>
        <v>TO</v>
      </c>
      <c r="C1591" t="str">
        <f t="shared" ref="C1591" si="122">MID(G1591,11,2)</f>
        <v>KB</v>
      </c>
      <c r="D1591" t="s">
        <v>3129</v>
      </c>
      <c r="E1591" s="5"/>
      <c r="G1591" s="4" t="s">
        <v>3153</v>
      </c>
      <c r="H1591" s="306" t="s">
        <v>466</v>
      </c>
      <c r="I1591" s="438" t="s">
        <v>3154</v>
      </c>
      <c r="K1591" t="s">
        <v>1434</v>
      </c>
      <c r="L1591" t="s">
        <v>669</v>
      </c>
      <c r="M1591" t="s">
        <v>2333</v>
      </c>
      <c r="N1591" s="222" t="s">
        <v>3155</v>
      </c>
    </row>
    <row r="1592" spans="1:14">
      <c r="A1592" s="5">
        <v>1591</v>
      </c>
      <c r="B1592" t="str">
        <f t="shared" si="119"/>
        <v>TO</v>
      </c>
      <c r="C1592" t="str">
        <f t="shared" si="120"/>
        <v>KB</v>
      </c>
      <c r="D1592" t="s">
        <v>3129</v>
      </c>
      <c r="E1592" s="5"/>
      <c r="G1592" s="4" t="s">
        <v>3156</v>
      </c>
      <c r="H1592" s="305" t="s">
        <v>3157</v>
      </c>
      <c r="I1592" s="438" t="s">
        <v>3113</v>
      </c>
      <c r="K1592" t="s">
        <v>659</v>
      </c>
      <c r="L1592" t="s">
        <v>669</v>
      </c>
      <c r="M1592"/>
    </row>
    <row r="1593" spans="1:14" ht="21.6">
      <c r="A1593" s="5">
        <v>1592</v>
      </c>
      <c r="B1593" t="str">
        <f t="shared" ref="B1593:B1623" si="123">MID(G1593,8,2)</f>
        <v>TO</v>
      </c>
      <c r="C1593" t="str">
        <f t="shared" ref="C1593:C1623" si="124">MID(G1593,11,2)</f>
        <v>KB</v>
      </c>
      <c r="D1593" t="s">
        <v>3129</v>
      </c>
      <c r="E1593" s="5"/>
      <c r="G1593" s="4" t="s">
        <v>3158</v>
      </c>
      <c r="H1593" s="313" t="s">
        <v>468</v>
      </c>
      <c r="I1593" s="438" t="s">
        <v>3159</v>
      </c>
      <c r="K1593" t="s">
        <v>1434</v>
      </c>
      <c r="L1593" t="s">
        <v>669</v>
      </c>
      <c r="M1593" t="s">
        <v>2492</v>
      </c>
      <c r="N1593" t="s">
        <v>5431</v>
      </c>
    </row>
    <row r="1594" spans="1:14" ht="21.6">
      <c r="A1594" s="5">
        <v>1593</v>
      </c>
      <c r="B1594" t="str">
        <f>MID(G1594,8,2)</f>
        <v>TO</v>
      </c>
      <c r="C1594" t="str">
        <f>MID(G1594,11,2)</f>
        <v>KB</v>
      </c>
      <c r="D1594" t="s">
        <v>3129</v>
      </c>
      <c r="E1594" s="5"/>
      <c r="G1594" s="4" t="s">
        <v>3158</v>
      </c>
      <c r="H1594" s="313" t="s">
        <v>3161</v>
      </c>
      <c r="I1594" s="438" t="s">
        <v>3162</v>
      </c>
      <c r="K1594" t="s">
        <v>1434</v>
      </c>
      <c r="L1594" t="s">
        <v>669</v>
      </c>
      <c r="M1594" t="s">
        <v>2333</v>
      </c>
    </row>
    <row r="1595" spans="1:14" ht="21.6">
      <c r="A1595" s="5">
        <v>1594</v>
      </c>
      <c r="B1595" t="str">
        <f>MID(G1595,8,2)</f>
        <v>TO</v>
      </c>
      <c r="C1595" t="str">
        <f>MID(G1595,11,2)</f>
        <v>KB</v>
      </c>
      <c r="D1595" t="s">
        <v>3129</v>
      </c>
      <c r="E1595" s="5"/>
      <c r="G1595" s="4" t="s">
        <v>3158</v>
      </c>
      <c r="H1595" s="313" t="s">
        <v>3163</v>
      </c>
      <c r="I1595" s="438" t="s">
        <v>3164</v>
      </c>
      <c r="K1595" t="s">
        <v>1434</v>
      </c>
      <c r="L1595" t="s">
        <v>669</v>
      </c>
      <c r="M1595" t="s">
        <v>2333</v>
      </c>
    </row>
    <row r="1596" spans="1:14" ht="21.6">
      <c r="A1596" s="5">
        <v>1595</v>
      </c>
      <c r="B1596" t="str">
        <f t="shared" ref="B1596:B1603" si="125">MID(G1596,8,2)</f>
        <v>TO</v>
      </c>
      <c r="C1596" t="str">
        <f t="shared" ref="C1596:C1603" si="126">MID(G1596,11,2)</f>
        <v>KB</v>
      </c>
      <c r="D1596" t="s">
        <v>3129</v>
      </c>
      <c r="E1596" s="5"/>
      <c r="G1596" s="4" t="s">
        <v>3158</v>
      </c>
      <c r="H1596" s="313" t="s">
        <v>3165</v>
      </c>
      <c r="I1596" s="438" t="s">
        <v>3166</v>
      </c>
      <c r="K1596" t="s">
        <v>1434</v>
      </c>
      <c r="L1596" t="s">
        <v>669</v>
      </c>
      <c r="M1596" t="s">
        <v>2333</v>
      </c>
    </row>
    <row r="1597" spans="1:14" ht="21.6">
      <c r="A1597" s="5">
        <v>1596</v>
      </c>
      <c r="B1597" t="str">
        <f>MID(G1597,8,2)</f>
        <v>TO</v>
      </c>
      <c r="C1597" t="str">
        <f>MID(G1597,11,2)</f>
        <v>KB</v>
      </c>
      <c r="D1597" t="s">
        <v>3129</v>
      </c>
      <c r="E1597" s="5"/>
      <c r="G1597" s="4" t="s">
        <v>3167</v>
      </c>
      <c r="H1597" s="313" t="s">
        <v>1967</v>
      </c>
      <c r="I1597" s="438" t="s">
        <v>3168</v>
      </c>
      <c r="K1597" t="s">
        <v>659</v>
      </c>
      <c r="L1597" t="s">
        <v>669</v>
      </c>
      <c r="M1597" t="s">
        <v>2333</v>
      </c>
    </row>
    <row r="1598" spans="1:14" ht="43.2">
      <c r="A1598" s="5">
        <v>1597</v>
      </c>
      <c r="B1598" t="str">
        <f t="shared" ref="B1598:B1599" si="127">MID(G1598,8,2)</f>
        <v>TO</v>
      </c>
      <c r="C1598" t="str">
        <f t="shared" ref="C1598:C1599" si="128">MID(G1598,11,2)</f>
        <v>KB</v>
      </c>
      <c r="D1598" t="s">
        <v>3129</v>
      </c>
      <c r="E1598" s="5"/>
      <c r="G1598" s="4" t="s">
        <v>3167</v>
      </c>
      <c r="H1598" s="313" t="s">
        <v>1796</v>
      </c>
      <c r="I1598" s="438" t="s">
        <v>3169</v>
      </c>
      <c r="K1598" t="s">
        <v>1434</v>
      </c>
      <c r="L1598" t="s">
        <v>669</v>
      </c>
      <c r="M1598" t="s">
        <v>2333</v>
      </c>
    </row>
    <row r="1599" spans="1:14" ht="21.6">
      <c r="A1599" s="5">
        <v>1598</v>
      </c>
      <c r="B1599" t="str">
        <f t="shared" si="127"/>
        <v>TO</v>
      </c>
      <c r="C1599" t="str">
        <f t="shared" si="128"/>
        <v>KB</v>
      </c>
      <c r="D1599" t="s">
        <v>3129</v>
      </c>
      <c r="E1599" s="5"/>
      <c r="G1599" s="4" t="s">
        <v>3167</v>
      </c>
      <c r="H1599" s="313" t="s">
        <v>1823</v>
      </c>
      <c r="I1599" s="438" t="s">
        <v>3170</v>
      </c>
      <c r="K1599" t="s">
        <v>659</v>
      </c>
      <c r="L1599" t="s">
        <v>669</v>
      </c>
      <c r="M1599" t="s">
        <v>2333</v>
      </c>
    </row>
    <row r="1600" spans="1:14" ht="21.6">
      <c r="A1600" s="5">
        <v>1599</v>
      </c>
      <c r="B1600" t="str">
        <f t="shared" si="125"/>
        <v>TO</v>
      </c>
      <c r="C1600" t="str">
        <f t="shared" si="126"/>
        <v>KB</v>
      </c>
      <c r="D1600" t="s">
        <v>3129</v>
      </c>
      <c r="E1600" s="5"/>
      <c r="G1600" s="4" t="s">
        <v>3171</v>
      </c>
      <c r="H1600" s="313" t="s">
        <v>1851</v>
      </c>
      <c r="I1600" s="438" t="s">
        <v>3172</v>
      </c>
      <c r="K1600" t="s">
        <v>1434</v>
      </c>
      <c r="L1600" t="s">
        <v>669</v>
      </c>
      <c r="M1600" t="s">
        <v>2333</v>
      </c>
    </row>
    <row r="1601" spans="1:14" ht="21.6">
      <c r="A1601" s="5">
        <v>1600</v>
      </c>
      <c r="B1601" t="str">
        <f t="shared" si="125"/>
        <v>TO</v>
      </c>
      <c r="C1601" t="str">
        <f t="shared" si="126"/>
        <v>KB</v>
      </c>
      <c r="D1601" t="s">
        <v>3129</v>
      </c>
      <c r="E1601" s="5"/>
      <c r="G1601" s="4" t="s">
        <v>3171</v>
      </c>
      <c r="H1601" s="313" t="s">
        <v>1843</v>
      </c>
      <c r="I1601" s="438" t="s">
        <v>3173</v>
      </c>
      <c r="K1601" t="s">
        <v>1434</v>
      </c>
      <c r="L1601" t="s">
        <v>669</v>
      </c>
      <c r="M1601" t="s">
        <v>2333</v>
      </c>
    </row>
    <row r="1602" spans="1:14" ht="21.6">
      <c r="A1602" s="5">
        <v>1601</v>
      </c>
      <c r="B1602" t="str">
        <f t="shared" si="125"/>
        <v>TO</v>
      </c>
      <c r="C1602" t="str">
        <f t="shared" si="126"/>
        <v>KB</v>
      </c>
      <c r="D1602" t="s">
        <v>3129</v>
      </c>
      <c r="E1602" s="5"/>
      <c r="G1602" s="4" t="s">
        <v>3171</v>
      </c>
      <c r="H1602" s="313" t="s">
        <v>1845</v>
      </c>
      <c r="I1602" s="438" t="s">
        <v>3174</v>
      </c>
      <c r="K1602" t="s">
        <v>1434</v>
      </c>
      <c r="L1602" t="s">
        <v>669</v>
      </c>
      <c r="M1602" t="s">
        <v>2333</v>
      </c>
    </row>
    <row r="1603" spans="1:14" ht="43.2">
      <c r="A1603" s="5">
        <v>1602</v>
      </c>
      <c r="B1603" t="str">
        <f t="shared" si="125"/>
        <v>TO</v>
      </c>
      <c r="C1603" t="str">
        <f t="shared" si="126"/>
        <v>KB</v>
      </c>
      <c r="D1603" t="s">
        <v>3129</v>
      </c>
      <c r="E1603" s="5"/>
      <c r="G1603" s="4" t="s">
        <v>3171</v>
      </c>
      <c r="H1603" s="313" t="s">
        <v>1849</v>
      </c>
      <c r="I1603" s="438" t="s">
        <v>3175</v>
      </c>
      <c r="K1603" t="s">
        <v>1434</v>
      </c>
      <c r="L1603" t="s">
        <v>669</v>
      </c>
      <c r="M1603" t="s">
        <v>2333</v>
      </c>
    </row>
    <row r="1604" spans="1:14" ht="21.6">
      <c r="A1604" s="5">
        <v>1603</v>
      </c>
      <c r="B1604" t="str">
        <f t="shared" si="123"/>
        <v>TO</v>
      </c>
      <c r="C1604" t="str">
        <f t="shared" si="124"/>
        <v>KB</v>
      </c>
      <c r="D1604" t="s">
        <v>3129</v>
      </c>
      <c r="E1604" s="5"/>
      <c r="G1604" s="4" t="s">
        <v>3171</v>
      </c>
      <c r="H1604" s="313" t="s">
        <v>3176</v>
      </c>
      <c r="I1604" s="438" t="s">
        <v>3177</v>
      </c>
      <c r="K1604" t="s">
        <v>1434</v>
      </c>
      <c r="L1604" t="s">
        <v>669</v>
      </c>
      <c r="M1604" t="s">
        <v>2333</v>
      </c>
    </row>
    <row r="1605" spans="1:14" ht="21.6">
      <c r="A1605" s="5">
        <v>1604</v>
      </c>
      <c r="B1605" t="str">
        <f t="shared" si="123"/>
        <v>TO</v>
      </c>
      <c r="C1605" t="str">
        <f t="shared" si="124"/>
        <v>KB</v>
      </c>
      <c r="D1605" t="s">
        <v>3129</v>
      </c>
      <c r="E1605" s="5"/>
      <c r="G1605" s="4" t="s">
        <v>3178</v>
      </c>
      <c r="H1605" s="313" t="s">
        <v>988</v>
      </c>
      <c r="I1605" s="438" t="s">
        <v>3179</v>
      </c>
      <c r="K1605" t="s">
        <v>1434</v>
      </c>
      <c r="L1605" t="s">
        <v>669</v>
      </c>
      <c r="M1605" t="s">
        <v>2333</v>
      </c>
    </row>
    <row r="1606" spans="1:14" ht="21.6">
      <c r="A1606" s="5">
        <v>1605</v>
      </c>
      <c r="B1606" t="str">
        <f t="shared" si="123"/>
        <v>TO</v>
      </c>
      <c r="C1606" t="str">
        <f t="shared" si="124"/>
        <v>KB</v>
      </c>
      <c r="D1606" t="s">
        <v>3129</v>
      </c>
      <c r="E1606" s="5"/>
      <c r="G1606" s="4" t="s">
        <v>3178</v>
      </c>
      <c r="H1606" s="313" t="s">
        <v>991</v>
      </c>
      <c r="I1606" s="438" t="s">
        <v>3180</v>
      </c>
      <c r="K1606" t="s">
        <v>1434</v>
      </c>
      <c r="L1606" t="s">
        <v>669</v>
      </c>
      <c r="M1606" t="s">
        <v>2333</v>
      </c>
    </row>
    <row r="1607" spans="1:14" ht="21.6">
      <c r="A1607" s="5">
        <v>1606</v>
      </c>
      <c r="B1607" t="str">
        <f t="shared" si="123"/>
        <v>TO</v>
      </c>
      <c r="C1607" t="str">
        <f t="shared" si="124"/>
        <v>KB</v>
      </c>
      <c r="D1607" t="s">
        <v>3129</v>
      </c>
      <c r="E1607" s="5"/>
      <c r="G1607" s="4" t="s">
        <v>3178</v>
      </c>
      <c r="H1607" s="313" t="s">
        <v>1798</v>
      </c>
      <c r="I1607" s="438" t="s">
        <v>3181</v>
      </c>
      <c r="K1607" t="s">
        <v>1434</v>
      </c>
      <c r="L1607" t="s">
        <v>669</v>
      </c>
      <c r="M1607" t="s">
        <v>2333</v>
      </c>
    </row>
    <row r="1608" spans="1:14" ht="43.2">
      <c r="A1608" s="5">
        <v>1607</v>
      </c>
      <c r="B1608" t="str">
        <f t="shared" ref="B1608:B1611" si="129">MID(G1608,8,2)</f>
        <v>TO</v>
      </c>
      <c r="C1608" t="str">
        <f t="shared" ref="C1608:C1611" si="130">MID(G1608,11,2)</f>
        <v>KB</v>
      </c>
      <c r="D1608" t="s">
        <v>3129</v>
      </c>
      <c r="E1608" s="5"/>
      <c r="G1608" s="4" t="s">
        <v>3178</v>
      </c>
      <c r="H1608" s="313" t="s">
        <v>1590</v>
      </c>
      <c r="I1608" s="438" t="s">
        <v>3182</v>
      </c>
      <c r="K1608" t="s">
        <v>659</v>
      </c>
      <c r="L1608" t="s">
        <v>669</v>
      </c>
      <c r="M1608" t="s">
        <v>2333</v>
      </c>
    </row>
    <row r="1609" spans="1:14" ht="21.6">
      <c r="A1609" s="5">
        <v>1608</v>
      </c>
      <c r="B1609" t="str">
        <f t="shared" si="129"/>
        <v>TO</v>
      </c>
      <c r="C1609" t="str">
        <f t="shared" si="130"/>
        <v>KB</v>
      </c>
      <c r="D1609" t="s">
        <v>3129</v>
      </c>
      <c r="E1609" s="5"/>
      <c r="G1609" s="4" t="s">
        <v>3178</v>
      </c>
      <c r="H1609" s="313" t="s">
        <v>257</v>
      </c>
      <c r="I1609" s="438" t="s">
        <v>2430</v>
      </c>
      <c r="K1609" t="s">
        <v>659</v>
      </c>
      <c r="L1609" t="s">
        <v>669</v>
      </c>
      <c r="M1609" t="s">
        <v>2333</v>
      </c>
    </row>
    <row r="1610" spans="1:14" ht="21.6">
      <c r="A1610" s="5">
        <v>1609</v>
      </c>
      <c r="B1610" t="str">
        <f t="shared" si="129"/>
        <v>TO</v>
      </c>
      <c r="C1610" t="str">
        <f t="shared" si="130"/>
        <v>KB</v>
      </c>
      <c r="D1610" t="s">
        <v>3129</v>
      </c>
      <c r="E1610" s="5"/>
      <c r="G1610" s="451" t="s">
        <v>3183</v>
      </c>
      <c r="H1610" s="313" t="s">
        <v>1592</v>
      </c>
      <c r="I1610" s="438" t="s">
        <v>3184</v>
      </c>
      <c r="K1610" t="s">
        <v>659</v>
      </c>
      <c r="L1610" t="s">
        <v>669</v>
      </c>
      <c r="M1610" t="s">
        <v>2333</v>
      </c>
    </row>
    <row r="1611" spans="1:14" ht="21.6">
      <c r="A1611" s="5">
        <v>1610</v>
      </c>
      <c r="B1611" t="str">
        <f t="shared" si="129"/>
        <v>TO</v>
      </c>
      <c r="C1611" t="str">
        <f t="shared" si="130"/>
        <v>KB</v>
      </c>
      <c r="D1611" t="s">
        <v>3129</v>
      </c>
      <c r="E1611" s="5"/>
      <c r="G1611" s="451" t="s">
        <v>3183</v>
      </c>
      <c r="H1611" s="313" t="s">
        <v>3185</v>
      </c>
      <c r="I1611" s="438" t="s">
        <v>3186</v>
      </c>
      <c r="K1611" t="s">
        <v>659</v>
      </c>
      <c r="L1611" t="s">
        <v>669</v>
      </c>
      <c r="M1611" t="s">
        <v>2333</v>
      </c>
    </row>
    <row r="1612" spans="1:14" ht="43.2">
      <c r="A1612" s="5">
        <v>1611</v>
      </c>
      <c r="B1612" t="str">
        <f t="shared" ref="B1612:B1616" si="131">MID(G1612,8,2)</f>
        <v>TO</v>
      </c>
      <c r="C1612" t="str">
        <f t="shared" ref="C1612:C1616" si="132">MID(G1612,11,2)</f>
        <v>KB</v>
      </c>
      <c r="D1612" t="s">
        <v>3129</v>
      </c>
      <c r="E1612" s="5"/>
      <c r="G1612" s="451" t="s">
        <v>3183</v>
      </c>
      <c r="H1612" s="313" t="s">
        <v>1164</v>
      </c>
      <c r="I1612" s="438" t="s">
        <v>3187</v>
      </c>
      <c r="K1612" t="s">
        <v>659</v>
      </c>
      <c r="L1612" t="s">
        <v>669</v>
      </c>
      <c r="M1612" t="s">
        <v>2333</v>
      </c>
    </row>
    <row r="1613" spans="1:14" ht="21.6">
      <c r="A1613" s="5">
        <v>1612</v>
      </c>
      <c r="B1613" t="str">
        <f t="shared" si="131"/>
        <v>TO</v>
      </c>
      <c r="C1613" t="str">
        <f t="shared" si="132"/>
        <v>KB</v>
      </c>
      <c r="D1613" t="s">
        <v>3129</v>
      </c>
      <c r="E1613" s="5"/>
      <c r="G1613" s="451" t="s">
        <v>3183</v>
      </c>
      <c r="H1613" s="313" t="s">
        <v>1162</v>
      </c>
      <c r="I1613" s="438" t="s">
        <v>3188</v>
      </c>
      <c r="K1613" t="s">
        <v>659</v>
      </c>
      <c r="L1613" t="s">
        <v>669</v>
      </c>
      <c r="M1613" t="s">
        <v>2333</v>
      </c>
    </row>
    <row r="1614" spans="1:14" ht="21.6">
      <c r="A1614" s="5">
        <v>1613</v>
      </c>
      <c r="B1614" t="str">
        <f t="shared" si="131"/>
        <v>TO</v>
      </c>
      <c r="C1614" t="str">
        <f t="shared" si="132"/>
        <v>KB</v>
      </c>
      <c r="D1614" t="s">
        <v>3129</v>
      </c>
      <c r="E1614" s="5"/>
      <c r="G1614" s="451" t="s">
        <v>3183</v>
      </c>
      <c r="H1614" s="313" t="s">
        <v>3189</v>
      </c>
      <c r="I1614" s="438" t="s">
        <v>3190</v>
      </c>
      <c r="K1614" t="s">
        <v>659</v>
      </c>
      <c r="L1614" t="s">
        <v>669</v>
      </c>
      <c r="M1614" t="s">
        <v>2333</v>
      </c>
    </row>
    <row r="1615" spans="1:14" ht="21.6">
      <c r="A1615" s="5">
        <v>1614</v>
      </c>
      <c r="B1615" t="str">
        <f t="shared" si="131"/>
        <v>TO</v>
      </c>
      <c r="C1615" t="str">
        <f t="shared" si="132"/>
        <v>KB</v>
      </c>
      <c r="D1615" t="s">
        <v>3129</v>
      </c>
      <c r="E1615" s="5"/>
      <c r="G1615" s="451" t="s">
        <v>3191</v>
      </c>
      <c r="H1615" s="313" t="s">
        <v>3192</v>
      </c>
      <c r="I1615" s="438" t="s">
        <v>3193</v>
      </c>
      <c r="K1615" t="s">
        <v>659</v>
      </c>
      <c r="L1615" t="s">
        <v>669</v>
      </c>
      <c r="M1615" t="s">
        <v>2492</v>
      </c>
      <c r="N1615" t="s">
        <v>5431</v>
      </c>
    </row>
    <row r="1616" spans="1:14" ht="21.6">
      <c r="A1616" s="5">
        <v>1615</v>
      </c>
      <c r="B1616" t="str">
        <f t="shared" si="131"/>
        <v>TO</v>
      </c>
      <c r="C1616" t="str">
        <f t="shared" si="132"/>
        <v>KB</v>
      </c>
      <c r="D1616" t="s">
        <v>3129</v>
      </c>
      <c r="E1616" s="5"/>
      <c r="G1616" s="451" t="s">
        <v>3191</v>
      </c>
      <c r="H1616" s="313" t="s">
        <v>3194</v>
      </c>
      <c r="I1616" s="438" t="s">
        <v>3195</v>
      </c>
      <c r="K1616" t="s">
        <v>659</v>
      </c>
      <c r="L1616" t="s">
        <v>669</v>
      </c>
      <c r="M1616" t="s">
        <v>2333</v>
      </c>
    </row>
    <row r="1617" spans="1:14" ht="37.200000000000003">
      <c r="A1617" s="5">
        <v>1616</v>
      </c>
      <c r="B1617" t="str">
        <f t="shared" ref="B1617" si="133">MID(G1617,8,2)</f>
        <v>TO</v>
      </c>
      <c r="C1617" t="str">
        <f t="shared" ref="C1617" si="134">MID(G1617,11,2)</f>
        <v>KB</v>
      </c>
      <c r="D1617" t="s">
        <v>3129</v>
      </c>
      <c r="E1617" s="5"/>
      <c r="G1617" s="4" t="s">
        <v>3196</v>
      </c>
      <c r="H1617" s="313" t="s">
        <v>471</v>
      </c>
      <c r="I1617" s="438" t="s">
        <v>2458</v>
      </c>
      <c r="K1617" t="s">
        <v>659</v>
      </c>
      <c r="L1617" t="s">
        <v>669</v>
      </c>
      <c r="M1617" t="s">
        <v>2333</v>
      </c>
    </row>
    <row r="1618" spans="1:14">
      <c r="A1618" s="5">
        <v>1617</v>
      </c>
      <c r="B1618" t="str">
        <f t="shared" si="123"/>
        <v>TO</v>
      </c>
      <c r="C1618" t="str">
        <f t="shared" si="124"/>
        <v>KB</v>
      </c>
      <c r="D1618" t="s">
        <v>3129</v>
      </c>
      <c r="E1618" s="5"/>
      <c r="G1618" s="4" t="s">
        <v>3197</v>
      </c>
      <c r="H1618" s="306" t="s">
        <v>1904</v>
      </c>
      <c r="I1618" s="438" t="s">
        <v>3198</v>
      </c>
      <c r="K1618" t="s">
        <v>1434</v>
      </c>
      <c r="L1618" t="s">
        <v>669</v>
      </c>
      <c r="M1618" t="s">
        <v>2392</v>
      </c>
    </row>
    <row r="1619" spans="1:14">
      <c r="A1619" s="5">
        <v>1618</v>
      </c>
      <c r="B1619" t="str">
        <f t="shared" si="123"/>
        <v>TO</v>
      </c>
      <c r="C1619" t="str">
        <f t="shared" si="124"/>
        <v>KB</v>
      </c>
      <c r="D1619" t="s">
        <v>3129</v>
      </c>
      <c r="E1619" s="5"/>
      <c r="G1619" s="4" t="s">
        <v>3197</v>
      </c>
      <c r="H1619" s="305" t="s">
        <v>3199</v>
      </c>
      <c r="I1619" s="438" t="s">
        <v>3200</v>
      </c>
      <c r="K1619" t="s">
        <v>1434</v>
      </c>
      <c r="L1619" t="s">
        <v>669</v>
      </c>
      <c r="M1619" t="s">
        <v>2333</v>
      </c>
    </row>
    <row r="1620" spans="1:14">
      <c r="A1620" s="5">
        <v>1619</v>
      </c>
      <c r="B1620" t="str">
        <f t="shared" si="123"/>
        <v>TO</v>
      </c>
      <c r="C1620" t="str">
        <f t="shared" si="124"/>
        <v>KB</v>
      </c>
      <c r="D1620" t="s">
        <v>3129</v>
      </c>
      <c r="E1620" s="5"/>
      <c r="G1620" s="4" t="s">
        <v>3197</v>
      </c>
      <c r="H1620" s="305" t="s">
        <v>2460</v>
      </c>
      <c r="I1620" s="432" t="s">
        <v>3201</v>
      </c>
      <c r="K1620" t="s">
        <v>659</v>
      </c>
      <c r="L1620" t="s">
        <v>669</v>
      </c>
      <c r="M1620" t="s">
        <v>2333</v>
      </c>
    </row>
    <row r="1621" spans="1:14">
      <c r="A1621" s="5">
        <v>1620</v>
      </c>
      <c r="B1621" t="str">
        <f t="shared" si="123"/>
        <v>TO</v>
      </c>
      <c r="C1621" t="str">
        <f t="shared" si="124"/>
        <v>KB</v>
      </c>
      <c r="D1621" t="s">
        <v>3129</v>
      </c>
      <c r="E1621" s="5"/>
      <c r="G1621" s="4" t="s">
        <v>3197</v>
      </c>
      <c r="H1621" s="305" t="s">
        <v>3202</v>
      </c>
      <c r="I1621" s="438" t="s">
        <v>3203</v>
      </c>
      <c r="K1621" t="s">
        <v>1434</v>
      </c>
      <c r="L1621" t="s">
        <v>669</v>
      </c>
      <c r="M1621" t="s">
        <v>2333</v>
      </c>
    </row>
    <row r="1622" spans="1:14">
      <c r="A1622" s="5">
        <v>1621</v>
      </c>
      <c r="B1622" t="str">
        <f t="shared" si="123"/>
        <v>TO</v>
      </c>
      <c r="C1622" t="str">
        <f t="shared" si="124"/>
        <v>KB</v>
      </c>
      <c r="D1622" t="s">
        <v>3129</v>
      </c>
      <c r="E1622" s="5"/>
      <c r="G1622" s="4" t="s">
        <v>3197</v>
      </c>
      <c r="H1622" s="305" t="s">
        <v>3204</v>
      </c>
      <c r="I1622" s="438" t="s">
        <v>2110</v>
      </c>
      <c r="K1622" t="s">
        <v>659</v>
      </c>
      <c r="L1622" t="s">
        <v>669</v>
      </c>
      <c r="M1622" t="s">
        <v>2333</v>
      </c>
      <c r="N1622" t="s">
        <v>3205</v>
      </c>
    </row>
    <row r="1623" spans="1:14">
      <c r="A1623" s="5">
        <v>1622</v>
      </c>
      <c r="B1623" t="str">
        <f t="shared" si="123"/>
        <v>TO</v>
      </c>
      <c r="C1623" t="str">
        <f t="shared" si="124"/>
        <v>KB</v>
      </c>
      <c r="D1623" t="s">
        <v>3129</v>
      </c>
      <c r="E1623" s="5"/>
      <c r="G1623" s="4" t="s">
        <v>3197</v>
      </c>
      <c r="H1623" s="305" t="s">
        <v>3206</v>
      </c>
      <c r="I1623" s="438" t="s">
        <v>3198</v>
      </c>
      <c r="K1623" t="s">
        <v>1434</v>
      </c>
      <c r="L1623" t="s">
        <v>669</v>
      </c>
      <c r="M1623" t="s">
        <v>2333</v>
      </c>
    </row>
    <row r="1624" spans="1:14">
      <c r="A1624" s="5">
        <v>1623</v>
      </c>
      <c r="B1624" t="str">
        <f t="shared" ref="B1624:B1631" si="135">MID(G1624,8,2)</f>
        <v>TO</v>
      </c>
      <c r="C1624" t="str">
        <f t="shared" ref="C1624:C1631" si="136">MID(G1624,11,2)</f>
        <v>KB</v>
      </c>
      <c r="D1624" t="s">
        <v>3129</v>
      </c>
      <c r="E1624" s="5"/>
      <c r="G1624" s="4" t="s">
        <v>3197</v>
      </c>
      <c r="H1624" s="305" t="s">
        <v>2780</v>
      </c>
      <c r="I1624" s="438" t="s">
        <v>3207</v>
      </c>
      <c r="K1624" t="s">
        <v>659</v>
      </c>
      <c r="L1624" t="s">
        <v>669</v>
      </c>
      <c r="M1624" t="s">
        <v>2333</v>
      </c>
    </row>
    <row r="1625" spans="1:14">
      <c r="A1625" s="5">
        <v>1624</v>
      </c>
      <c r="B1625" t="str">
        <f t="shared" si="135"/>
        <v>TO</v>
      </c>
      <c r="C1625" t="str">
        <f t="shared" si="136"/>
        <v>KB</v>
      </c>
      <c r="D1625" t="s">
        <v>3129</v>
      </c>
      <c r="E1625" s="5"/>
      <c r="G1625" s="4" t="s">
        <v>3197</v>
      </c>
      <c r="H1625" s="305" t="s">
        <v>3208</v>
      </c>
      <c r="I1625" s="438" t="s">
        <v>3209</v>
      </c>
      <c r="K1625" t="s">
        <v>659</v>
      </c>
      <c r="L1625" t="s">
        <v>669</v>
      </c>
      <c r="M1625" t="s">
        <v>2333</v>
      </c>
    </row>
    <row r="1626" spans="1:14" ht="21.6">
      <c r="A1626" s="5">
        <v>1625</v>
      </c>
      <c r="B1626" t="str">
        <f t="shared" si="135"/>
        <v>TO</v>
      </c>
      <c r="C1626" t="str">
        <f t="shared" si="136"/>
        <v>KB</v>
      </c>
      <c r="D1626" t="s">
        <v>3129</v>
      </c>
      <c r="E1626" s="5"/>
      <c r="G1626" s="4" t="s">
        <v>3210</v>
      </c>
      <c r="H1626" s="313" t="s">
        <v>3211</v>
      </c>
      <c r="I1626" s="438" t="s">
        <v>3212</v>
      </c>
      <c r="K1626" t="s">
        <v>659</v>
      </c>
      <c r="L1626" t="s">
        <v>669</v>
      </c>
      <c r="M1626" t="s">
        <v>2102</v>
      </c>
      <c r="N1626" t="s">
        <v>1479</v>
      </c>
    </row>
    <row r="1627" spans="1:14" ht="21.6">
      <c r="A1627" s="5">
        <v>1626</v>
      </c>
      <c r="B1627" t="str">
        <f t="shared" si="135"/>
        <v>TO</v>
      </c>
      <c r="C1627" t="str">
        <f t="shared" si="136"/>
        <v>KB</v>
      </c>
      <c r="D1627" t="s">
        <v>3129</v>
      </c>
      <c r="E1627" s="5"/>
      <c r="G1627" s="4" t="s">
        <v>3210</v>
      </c>
      <c r="H1627" s="313" t="s">
        <v>1046</v>
      </c>
      <c r="I1627" s="438" t="s">
        <v>3213</v>
      </c>
      <c r="K1627" t="s">
        <v>659</v>
      </c>
      <c r="L1627" t="s">
        <v>669</v>
      </c>
      <c r="M1627" t="s">
        <v>2102</v>
      </c>
      <c r="N1627" t="s">
        <v>1479</v>
      </c>
    </row>
    <row r="1628" spans="1:14" ht="43.2">
      <c r="A1628" s="5">
        <v>1627</v>
      </c>
      <c r="B1628" t="str">
        <f t="shared" ref="B1628" si="137">MID(G1628,8,2)</f>
        <v>TO</v>
      </c>
      <c r="C1628" t="str">
        <f t="shared" ref="C1628" si="138">MID(G1628,11,2)</f>
        <v>KB</v>
      </c>
      <c r="D1628" t="s">
        <v>3129</v>
      </c>
      <c r="E1628" s="5"/>
      <c r="G1628" s="4" t="s">
        <v>3210</v>
      </c>
      <c r="H1628" s="313" t="s">
        <v>2527</v>
      </c>
      <c r="I1628" s="438" t="s">
        <v>2528</v>
      </c>
      <c r="K1628" t="s">
        <v>659</v>
      </c>
      <c r="L1628" t="s">
        <v>669</v>
      </c>
      <c r="M1628" t="s">
        <v>2102</v>
      </c>
      <c r="N1628" t="s">
        <v>1479</v>
      </c>
    </row>
    <row r="1629" spans="1:14" ht="36" customHeight="1">
      <c r="A1629" s="5">
        <v>1628</v>
      </c>
      <c r="B1629" t="str">
        <f t="shared" si="135"/>
        <v>TO</v>
      </c>
      <c r="C1629" t="str">
        <f t="shared" si="136"/>
        <v>KB</v>
      </c>
      <c r="D1629" t="s">
        <v>3129</v>
      </c>
      <c r="E1629" s="5"/>
      <c r="G1629" s="4" t="s">
        <v>3210</v>
      </c>
      <c r="H1629" s="306" t="s">
        <v>511</v>
      </c>
      <c r="I1629" s="438" t="s">
        <v>2415</v>
      </c>
      <c r="K1629" t="s">
        <v>659</v>
      </c>
      <c r="L1629" t="s">
        <v>669</v>
      </c>
      <c r="M1629" t="s">
        <v>2102</v>
      </c>
      <c r="N1629" t="s">
        <v>1479</v>
      </c>
    </row>
    <row r="1630" spans="1:14">
      <c r="A1630" s="5">
        <v>1629</v>
      </c>
      <c r="B1630" t="str">
        <f t="shared" si="135"/>
        <v>TO</v>
      </c>
      <c r="C1630" t="str">
        <f t="shared" si="136"/>
        <v>KB</v>
      </c>
      <c r="D1630" t="s">
        <v>3129</v>
      </c>
      <c r="E1630" s="5"/>
      <c r="G1630" s="4" t="s">
        <v>3210</v>
      </c>
      <c r="H1630" s="306" t="s">
        <v>3214</v>
      </c>
      <c r="I1630" s="438" t="s">
        <v>3215</v>
      </c>
      <c r="K1630" t="s">
        <v>659</v>
      </c>
      <c r="L1630" t="s">
        <v>669</v>
      </c>
      <c r="M1630" t="s">
        <v>2102</v>
      </c>
      <c r="N1630" t="s">
        <v>1479</v>
      </c>
    </row>
    <row r="1631" spans="1:14">
      <c r="A1631" s="5">
        <v>1630</v>
      </c>
      <c r="B1631" t="str">
        <f t="shared" si="135"/>
        <v>TO</v>
      </c>
      <c r="C1631" t="str">
        <f t="shared" si="136"/>
        <v>KB</v>
      </c>
      <c r="D1631" t="s">
        <v>3129</v>
      </c>
      <c r="E1631" s="5"/>
      <c r="G1631" s="4" t="s">
        <v>3210</v>
      </c>
      <c r="H1631" s="306" t="s">
        <v>3216</v>
      </c>
      <c r="I1631" s="438" t="s">
        <v>3217</v>
      </c>
      <c r="K1631" t="s">
        <v>659</v>
      </c>
      <c r="L1631" t="s">
        <v>669</v>
      </c>
      <c r="M1631" t="s">
        <v>2102</v>
      </c>
      <c r="N1631" t="s">
        <v>1479</v>
      </c>
    </row>
    <row r="1632" spans="1:14" ht="21.6">
      <c r="A1632" s="5">
        <v>1631</v>
      </c>
      <c r="B1632" t="str">
        <f>MID(G1632,8,2)</f>
        <v>TO</v>
      </c>
      <c r="C1632" t="str">
        <f>MID(G1632,11,2)</f>
        <v>KB</v>
      </c>
      <c r="D1632" t="s">
        <v>3129</v>
      </c>
      <c r="E1632" s="5"/>
      <c r="G1632" s="4" t="s">
        <v>3218</v>
      </c>
      <c r="H1632" s="313" t="s">
        <v>3219</v>
      </c>
      <c r="I1632" s="438" t="s">
        <v>3220</v>
      </c>
      <c r="K1632" t="s">
        <v>659</v>
      </c>
      <c r="L1632" t="s">
        <v>669</v>
      </c>
      <c r="M1632" t="s">
        <v>2333</v>
      </c>
    </row>
    <row r="1633" spans="1:14" ht="21.6">
      <c r="A1633" s="5">
        <v>1632</v>
      </c>
      <c r="B1633" t="str">
        <f t="shared" ref="B1633:B1637" si="139">MID(G1633,8,2)</f>
        <v>TO</v>
      </c>
      <c r="C1633" t="str">
        <f t="shared" ref="C1633:C1637" si="140">MID(G1633,11,2)</f>
        <v>KB</v>
      </c>
      <c r="D1633" t="s">
        <v>3129</v>
      </c>
      <c r="E1633" s="5"/>
      <c r="G1633" s="4" t="s">
        <v>3218</v>
      </c>
      <c r="H1633" s="313" t="s">
        <v>1702</v>
      </c>
      <c r="I1633" s="438" t="s">
        <v>2748</v>
      </c>
      <c r="K1633" t="s">
        <v>659</v>
      </c>
      <c r="L1633" t="s">
        <v>669</v>
      </c>
      <c r="M1633" t="s">
        <v>2333</v>
      </c>
    </row>
    <row r="1634" spans="1:14">
      <c r="A1634" s="5">
        <v>1633</v>
      </c>
      <c r="B1634" t="str">
        <f t="shared" si="139"/>
        <v>TO</v>
      </c>
      <c r="C1634" t="str">
        <f t="shared" si="140"/>
        <v>KB</v>
      </c>
      <c r="D1634" t="s">
        <v>3129</v>
      </c>
      <c r="E1634" s="5"/>
      <c r="G1634" s="4" t="s">
        <v>3218</v>
      </c>
      <c r="H1634" s="306" t="s">
        <v>77</v>
      </c>
      <c r="I1634" s="438" t="s">
        <v>3221</v>
      </c>
      <c r="K1634" t="s">
        <v>659</v>
      </c>
      <c r="L1634" t="s">
        <v>669</v>
      </c>
      <c r="M1634" s="1" t="s">
        <v>2043</v>
      </c>
      <c r="N1634" t="s">
        <v>3222</v>
      </c>
    </row>
    <row r="1635" spans="1:14" ht="36">
      <c r="A1635" s="5">
        <v>1634</v>
      </c>
      <c r="B1635" t="str">
        <f t="shared" si="139"/>
        <v>TO</v>
      </c>
      <c r="C1635" t="str">
        <f t="shared" si="140"/>
        <v>KB</v>
      </c>
      <c r="D1635" t="s">
        <v>3129</v>
      </c>
      <c r="E1635" s="5"/>
      <c r="G1635" s="4" t="s">
        <v>3218</v>
      </c>
      <c r="H1635" s="306" t="s">
        <v>255</v>
      </c>
      <c r="I1635" s="438" t="s">
        <v>3223</v>
      </c>
      <c r="K1635" t="s">
        <v>659</v>
      </c>
      <c r="L1635" t="s">
        <v>669</v>
      </c>
      <c r="M1635" t="s">
        <v>2333</v>
      </c>
      <c r="N1635" t="s">
        <v>3225</v>
      </c>
    </row>
    <row r="1636" spans="1:14">
      <c r="A1636" s="5">
        <v>1635</v>
      </c>
      <c r="B1636" t="str">
        <f t="shared" si="139"/>
        <v>TO</v>
      </c>
      <c r="C1636" t="str">
        <f t="shared" si="140"/>
        <v>KB</v>
      </c>
      <c r="D1636" t="s">
        <v>3129</v>
      </c>
      <c r="E1636" s="5"/>
      <c r="G1636" s="4" t="s">
        <v>3218</v>
      </c>
      <c r="H1636" s="306" t="s">
        <v>3226</v>
      </c>
      <c r="I1636" s="438" t="s">
        <v>3227</v>
      </c>
      <c r="K1636" t="s">
        <v>659</v>
      </c>
      <c r="L1636" t="s">
        <v>669</v>
      </c>
      <c r="M1636" t="s">
        <v>2333</v>
      </c>
    </row>
    <row r="1637" spans="1:14" ht="36">
      <c r="A1637" s="5">
        <v>1636</v>
      </c>
      <c r="B1637" t="str">
        <f t="shared" si="139"/>
        <v>TO</v>
      </c>
      <c r="C1637" t="str">
        <f t="shared" si="140"/>
        <v>KB</v>
      </c>
      <c r="D1637" t="s">
        <v>3129</v>
      </c>
      <c r="E1637" s="5"/>
      <c r="G1637" s="4" t="s">
        <v>3218</v>
      </c>
      <c r="H1637" s="306" t="s">
        <v>3228</v>
      </c>
      <c r="I1637" s="438" t="s">
        <v>3229</v>
      </c>
      <c r="K1637" t="s">
        <v>659</v>
      </c>
      <c r="L1637" t="s">
        <v>669</v>
      </c>
      <c r="M1637" t="s">
        <v>2333</v>
      </c>
    </row>
    <row r="1638" spans="1:14" ht="36">
      <c r="A1638" s="5">
        <v>1637</v>
      </c>
      <c r="B1638" t="str">
        <f>MID(G1638,8,2)</f>
        <v>TO</v>
      </c>
      <c r="C1638" t="str">
        <f>MID(G1638,11,2)</f>
        <v>KB</v>
      </c>
      <c r="D1638" t="s">
        <v>3129</v>
      </c>
      <c r="E1638" s="5"/>
      <c r="G1638" s="4" t="s">
        <v>3230</v>
      </c>
      <c r="H1638" s="306" t="s">
        <v>3231</v>
      </c>
      <c r="I1638" s="438" t="s">
        <v>3232</v>
      </c>
      <c r="K1638" t="s">
        <v>659</v>
      </c>
      <c r="L1638" t="s">
        <v>669</v>
      </c>
      <c r="M1638" t="s">
        <v>2333</v>
      </c>
    </row>
    <row r="1639" spans="1:14" ht="36">
      <c r="A1639" s="5">
        <v>1638</v>
      </c>
      <c r="B1639" t="str">
        <f t="shared" ref="B1639:B1647" si="141">MID(G1639,8,2)</f>
        <v>TO</v>
      </c>
      <c r="C1639" t="str">
        <f t="shared" ref="C1639:C1647" si="142">MID(G1639,11,2)</f>
        <v>KB</v>
      </c>
      <c r="D1639" t="s">
        <v>3129</v>
      </c>
      <c r="E1639" s="5"/>
      <c r="G1639" s="4" t="s">
        <v>3230</v>
      </c>
      <c r="H1639" s="306" t="s">
        <v>3233</v>
      </c>
      <c r="I1639" s="438" t="s">
        <v>3234</v>
      </c>
      <c r="K1639" t="s">
        <v>659</v>
      </c>
      <c r="L1639" t="s">
        <v>669</v>
      </c>
      <c r="M1639" t="s">
        <v>2333</v>
      </c>
    </row>
    <row r="1640" spans="1:14" ht="36">
      <c r="A1640" s="5">
        <v>1639</v>
      </c>
      <c r="B1640" t="str">
        <f t="shared" si="141"/>
        <v>TO</v>
      </c>
      <c r="C1640" t="str">
        <f t="shared" si="142"/>
        <v>KB</v>
      </c>
      <c r="D1640" t="s">
        <v>3129</v>
      </c>
      <c r="E1640" s="5"/>
      <c r="G1640" s="4" t="s">
        <v>3230</v>
      </c>
      <c r="H1640" s="306" t="s">
        <v>1814</v>
      </c>
      <c r="I1640" s="438" t="s">
        <v>3235</v>
      </c>
      <c r="K1640" t="s">
        <v>1434</v>
      </c>
      <c r="L1640" t="s">
        <v>669</v>
      </c>
      <c r="M1640" t="s">
        <v>2333</v>
      </c>
    </row>
    <row r="1641" spans="1:14" ht="36">
      <c r="A1641" s="5">
        <v>1640</v>
      </c>
      <c r="B1641" t="str">
        <f t="shared" si="141"/>
        <v>TO</v>
      </c>
      <c r="C1641" t="str">
        <f t="shared" si="142"/>
        <v>KB</v>
      </c>
      <c r="D1641" t="s">
        <v>3129</v>
      </c>
      <c r="E1641" s="5"/>
      <c r="G1641" s="4" t="s">
        <v>3230</v>
      </c>
      <c r="H1641" s="306" t="s">
        <v>3236</v>
      </c>
      <c r="I1641" s="438" t="s">
        <v>3237</v>
      </c>
      <c r="K1641" t="s">
        <v>659</v>
      </c>
      <c r="L1641" t="s">
        <v>669</v>
      </c>
      <c r="M1641" t="s">
        <v>2333</v>
      </c>
    </row>
    <row r="1642" spans="1:14">
      <c r="A1642" s="5">
        <v>1641</v>
      </c>
      <c r="B1642" t="str">
        <f t="shared" si="141"/>
        <v>TO</v>
      </c>
      <c r="C1642" t="str">
        <f t="shared" si="142"/>
        <v>KB</v>
      </c>
      <c r="D1642" t="s">
        <v>3129</v>
      </c>
      <c r="E1642" s="5"/>
      <c r="G1642" s="4" t="s">
        <v>3230</v>
      </c>
      <c r="H1642" s="306" t="s">
        <v>1902</v>
      </c>
      <c r="I1642" s="438" t="s">
        <v>3238</v>
      </c>
      <c r="K1642" t="s">
        <v>659</v>
      </c>
      <c r="L1642" t="s">
        <v>669</v>
      </c>
      <c r="M1642" t="s">
        <v>2333</v>
      </c>
    </row>
    <row r="1643" spans="1:14">
      <c r="A1643" s="5">
        <v>1642</v>
      </c>
      <c r="B1643" t="str">
        <f t="shared" si="141"/>
        <v>TO</v>
      </c>
      <c r="C1643" t="str">
        <f t="shared" si="142"/>
        <v>KB</v>
      </c>
      <c r="D1643" t="s">
        <v>3129</v>
      </c>
      <c r="E1643" s="5"/>
      <c r="G1643" s="4" t="s">
        <v>3239</v>
      </c>
      <c r="H1643" s="306" t="s">
        <v>1932</v>
      </c>
      <c r="I1643" s="438" t="s">
        <v>3240</v>
      </c>
      <c r="K1643" t="s">
        <v>659</v>
      </c>
      <c r="L1643" t="s">
        <v>669</v>
      </c>
      <c r="M1643" t="s">
        <v>2333</v>
      </c>
    </row>
    <row r="1644" spans="1:14">
      <c r="A1644" s="5">
        <v>1643</v>
      </c>
      <c r="B1644" t="str">
        <f t="shared" si="141"/>
        <v>TO</v>
      </c>
      <c r="C1644" t="str">
        <f t="shared" si="142"/>
        <v>KB</v>
      </c>
      <c r="D1644" t="s">
        <v>3129</v>
      </c>
      <c r="E1644" s="5"/>
      <c r="G1644" s="4" t="s">
        <v>3239</v>
      </c>
      <c r="H1644" s="306" t="s">
        <v>1941</v>
      </c>
      <c r="I1644" s="438" t="s">
        <v>3241</v>
      </c>
      <c r="K1644" t="s">
        <v>1434</v>
      </c>
      <c r="L1644" t="s">
        <v>669</v>
      </c>
      <c r="M1644" t="s">
        <v>2333</v>
      </c>
    </row>
    <row r="1645" spans="1:14">
      <c r="A1645" s="5">
        <v>1644</v>
      </c>
      <c r="B1645" t="str">
        <f t="shared" si="141"/>
        <v>TO</v>
      </c>
      <c r="C1645" t="str">
        <f t="shared" si="142"/>
        <v>KB</v>
      </c>
      <c r="D1645" t="s">
        <v>3129</v>
      </c>
      <c r="E1645" s="5"/>
      <c r="G1645" s="4" t="s">
        <v>3239</v>
      </c>
      <c r="H1645" s="306" t="s">
        <v>1942</v>
      </c>
      <c r="I1645" s="438" t="s">
        <v>3242</v>
      </c>
      <c r="K1645" t="s">
        <v>1434</v>
      </c>
      <c r="L1645" t="s">
        <v>669</v>
      </c>
      <c r="M1645" t="s">
        <v>2333</v>
      </c>
    </row>
    <row r="1646" spans="1:14">
      <c r="A1646" s="5">
        <v>1645</v>
      </c>
      <c r="B1646" t="str">
        <f t="shared" si="141"/>
        <v>TO</v>
      </c>
      <c r="C1646" t="str">
        <f t="shared" si="142"/>
        <v>KB</v>
      </c>
      <c r="D1646" t="s">
        <v>3129</v>
      </c>
      <c r="E1646" s="5"/>
      <c r="G1646" s="4" t="s">
        <v>3239</v>
      </c>
      <c r="H1646" s="306" t="s">
        <v>1944</v>
      </c>
      <c r="I1646" s="432" t="s">
        <v>3243</v>
      </c>
      <c r="K1646" t="s">
        <v>1434</v>
      </c>
      <c r="L1646" t="s">
        <v>669</v>
      </c>
      <c r="M1646" t="s">
        <v>2333</v>
      </c>
    </row>
    <row r="1647" spans="1:14">
      <c r="A1647" s="5">
        <v>1646</v>
      </c>
      <c r="B1647" t="str">
        <f t="shared" si="141"/>
        <v>TO</v>
      </c>
      <c r="C1647" t="str">
        <f t="shared" si="142"/>
        <v>KB</v>
      </c>
      <c r="D1647" t="s">
        <v>3129</v>
      </c>
      <c r="E1647" s="5"/>
      <c r="G1647" s="4" t="s">
        <v>3239</v>
      </c>
      <c r="H1647" s="306" t="s">
        <v>1945</v>
      </c>
      <c r="I1647" s="438" t="s">
        <v>3244</v>
      </c>
      <c r="K1647" t="s">
        <v>1434</v>
      </c>
      <c r="L1647" t="s">
        <v>669</v>
      </c>
      <c r="M1647" t="s">
        <v>2333</v>
      </c>
    </row>
    <row r="1648" spans="1:14">
      <c r="A1648" s="5">
        <v>1647</v>
      </c>
      <c r="B1648" t="str">
        <f t="shared" ref="B1648:B1653" si="143">MID(G1648,8,2)</f>
        <v>TO</v>
      </c>
      <c r="C1648" t="str">
        <f t="shared" ref="C1648:C1653" si="144">MID(G1648,11,2)</f>
        <v>KB</v>
      </c>
      <c r="D1648" t="s">
        <v>3129</v>
      </c>
      <c r="E1648" s="5"/>
      <c r="G1648" s="4" t="s">
        <v>3245</v>
      </c>
      <c r="H1648" s="306" t="s">
        <v>1820</v>
      </c>
      <c r="I1648" s="432" t="s">
        <v>3246</v>
      </c>
      <c r="K1648" t="s">
        <v>659</v>
      </c>
      <c r="L1648" t="s">
        <v>669</v>
      </c>
      <c r="M1648" t="s">
        <v>3247</v>
      </c>
    </row>
    <row r="1649" spans="1:15">
      <c r="A1649" s="5">
        <v>1648</v>
      </c>
      <c r="B1649" t="str">
        <f t="shared" si="143"/>
        <v>TO</v>
      </c>
      <c r="C1649" t="str">
        <f t="shared" si="144"/>
        <v>KB</v>
      </c>
      <c r="D1649" t="s">
        <v>3129</v>
      </c>
      <c r="E1649" s="5"/>
      <c r="G1649" s="4" t="s">
        <v>3245</v>
      </c>
      <c r="H1649" s="306" t="s">
        <v>2525</v>
      </c>
      <c r="I1649" s="432" t="s">
        <v>2526</v>
      </c>
      <c r="K1649" t="s">
        <v>659</v>
      </c>
      <c r="L1649" t="s">
        <v>669</v>
      </c>
      <c r="M1649" t="s">
        <v>2392</v>
      </c>
    </row>
    <row r="1650" spans="1:15">
      <c r="A1650" s="5">
        <v>1649</v>
      </c>
      <c r="B1650" t="str">
        <f t="shared" si="143"/>
        <v>TO</v>
      </c>
      <c r="C1650" t="str">
        <f t="shared" si="144"/>
        <v>KB</v>
      </c>
      <c r="D1650" t="s">
        <v>3129</v>
      </c>
      <c r="E1650" s="5"/>
      <c r="G1650" s="4" t="s">
        <v>3245</v>
      </c>
      <c r="H1650" s="306" t="s">
        <v>2529</v>
      </c>
      <c r="I1650" s="432" t="s">
        <v>2530</v>
      </c>
      <c r="K1650" t="s">
        <v>659</v>
      </c>
      <c r="L1650" t="s">
        <v>669</v>
      </c>
      <c r="M1650" t="s">
        <v>2333</v>
      </c>
    </row>
    <row r="1651" spans="1:15">
      <c r="A1651" s="5">
        <v>1650</v>
      </c>
      <c r="B1651" t="str">
        <f t="shared" si="143"/>
        <v>TO</v>
      </c>
      <c r="C1651" t="str">
        <f t="shared" si="144"/>
        <v>KB</v>
      </c>
      <c r="D1651" t="s">
        <v>3129</v>
      </c>
      <c r="E1651" s="5"/>
      <c r="G1651" s="4" t="s">
        <v>3245</v>
      </c>
      <c r="H1651" s="306" t="s">
        <v>3248</v>
      </c>
      <c r="I1651" s="432" t="s">
        <v>3249</v>
      </c>
      <c r="K1651" t="s">
        <v>1434</v>
      </c>
      <c r="L1651" t="s">
        <v>669</v>
      </c>
      <c r="M1651" t="s">
        <v>2333</v>
      </c>
    </row>
    <row r="1652" spans="1:15">
      <c r="A1652" s="5">
        <v>1651</v>
      </c>
      <c r="B1652" t="str">
        <f t="shared" si="143"/>
        <v>TO</v>
      </c>
      <c r="C1652" t="str">
        <f t="shared" si="144"/>
        <v>KB</v>
      </c>
      <c r="D1652" t="s">
        <v>3129</v>
      </c>
      <c r="E1652" s="5"/>
      <c r="G1652" s="4" t="s">
        <v>3245</v>
      </c>
      <c r="H1652" s="305" t="s">
        <v>3250</v>
      </c>
      <c r="I1652" s="432" t="s">
        <v>2468</v>
      </c>
      <c r="K1652" t="s">
        <v>659</v>
      </c>
      <c r="L1652" t="s">
        <v>669</v>
      </c>
      <c r="M1652" t="s">
        <v>2333</v>
      </c>
    </row>
    <row r="1653" spans="1:15">
      <c r="A1653" s="5">
        <v>1652</v>
      </c>
      <c r="B1653" t="str">
        <f t="shared" si="143"/>
        <v>TO</v>
      </c>
      <c r="C1653" t="str">
        <f t="shared" si="144"/>
        <v>Ed</v>
      </c>
      <c r="D1653" t="s">
        <v>2562</v>
      </c>
      <c r="E1653" s="5"/>
      <c r="G1653" s="4" t="s">
        <v>3251</v>
      </c>
      <c r="H1653" s="305" t="s">
        <v>3252</v>
      </c>
      <c r="I1653" s="438"/>
      <c r="K1653" t="s">
        <v>2841</v>
      </c>
      <c r="L1653" t="s">
        <v>669</v>
      </c>
      <c r="M1653" t="s">
        <v>1424</v>
      </c>
    </row>
    <row r="1654" spans="1:15">
      <c r="A1654" s="5">
        <v>1653</v>
      </c>
      <c r="B1654" t="str">
        <f t="shared" ref="B1654" si="145">MID(G1654,8,2)</f>
        <v>TO</v>
      </c>
      <c r="C1654" t="str">
        <f t="shared" ref="C1654" si="146">MID(G1654,11,2)</f>
        <v>Ed</v>
      </c>
      <c r="D1654" t="s">
        <v>2562</v>
      </c>
      <c r="E1654" s="5"/>
      <c r="G1654" s="4" t="s">
        <v>3251</v>
      </c>
      <c r="H1654" s="305" t="s">
        <v>3253</v>
      </c>
      <c r="I1654" s="438"/>
      <c r="K1654" t="s">
        <v>2841</v>
      </c>
      <c r="L1654" t="s">
        <v>669</v>
      </c>
      <c r="M1654" t="s">
        <v>1424</v>
      </c>
    </row>
    <row r="1655" spans="1:15">
      <c r="A1655" s="5">
        <v>1654</v>
      </c>
      <c r="B1655" t="str">
        <f t="shared" ref="B1655:B1659" si="147">MID(G1655,8,2)</f>
        <v>TO</v>
      </c>
      <c r="C1655" t="str">
        <f t="shared" ref="C1655:C1659" si="148">MID(G1655,11,2)</f>
        <v>Ed</v>
      </c>
      <c r="D1655" t="s">
        <v>2562</v>
      </c>
      <c r="E1655" s="5"/>
      <c r="G1655" s="4" t="s">
        <v>3251</v>
      </c>
      <c r="H1655" s="305" t="s">
        <v>3254</v>
      </c>
      <c r="I1655" s="438"/>
      <c r="K1655" t="s">
        <v>2841</v>
      </c>
      <c r="L1655" t="s">
        <v>669</v>
      </c>
      <c r="M1655" t="s">
        <v>1424</v>
      </c>
    </row>
    <row r="1656" spans="1:15" ht="36">
      <c r="A1656" s="5">
        <v>1655</v>
      </c>
      <c r="B1656" t="str">
        <f t="shared" si="147"/>
        <v>TO</v>
      </c>
      <c r="C1656" t="str">
        <f t="shared" si="148"/>
        <v>KB</v>
      </c>
      <c r="D1656" t="s">
        <v>2562</v>
      </c>
      <c r="E1656" s="5"/>
      <c r="G1656" s="4" t="s">
        <v>3255</v>
      </c>
      <c r="H1656" s="305" t="s">
        <v>474</v>
      </c>
      <c r="I1656" s="432" t="s">
        <v>2969</v>
      </c>
      <c r="K1656" t="s">
        <v>659</v>
      </c>
      <c r="L1656" t="s">
        <v>669</v>
      </c>
      <c r="M1656" t="s">
        <v>2333</v>
      </c>
      <c r="N1656" t="s">
        <v>3256</v>
      </c>
      <c r="O1656" t="s">
        <v>3257</v>
      </c>
    </row>
    <row r="1657" spans="1:15">
      <c r="A1657" s="5">
        <v>1656</v>
      </c>
      <c r="B1657" t="str">
        <f t="shared" si="147"/>
        <v>MH</v>
      </c>
      <c r="C1657" t="str">
        <f t="shared" si="148"/>
        <v>KB</v>
      </c>
      <c r="D1657" t="s">
        <v>2562</v>
      </c>
      <c r="E1657" s="5"/>
      <c r="G1657" s="4" t="s">
        <v>3258</v>
      </c>
      <c r="H1657" s="306" t="s">
        <v>475</v>
      </c>
      <c r="I1657" s="432" t="s">
        <v>3259</v>
      </c>
      <c r="K1657" t="s">
        <v>659</v>
      </c>
      <c r="L1657" t="s">
        <v>669</v>
      </c>
      <c r="M1657" t="s">
        <v>1424</v>
      </c>
    </row>
    <row r="1658" spans="1:15" ht="36">
      <c r="A1658" s="5">
        <v>1657</v>
      </c>
      <c r="B1658" t="str">
        <f t="shared" si="147"/>
        <v>TO</v>
      </c>
      <c r="C1658" t="str">
        <f t="shared" si="148"/>
        <v>Do</v>
      </c>
      <c r="D1658" t="s">
        <v>2562</v>
      </c>
      <c r="E1658" s="5"/>
      <c r="G1658" s="4" t="s">
        <v>3260</v>
      </c>
      <c r="H1658" s="305" t="s">
        <v>3261</v>
      </c>
      <c r="K1658" t="s">
        <v>2841</v>
      </c>
      <c r="L1658" t="s">
        <v>669</v>
      </c>
      <c r="M1658" t="s">
        <v>1424</v>
      </c>
    </row>
    <row r="1659" spans="1:15">
      <c r="A1659" s="5">
        <v>1658</v>
      </c>
      <c r="B1659" t="str">
        <f t="shared" si="147"/>
        <v>TO</v>
      </c>
      <c r="C1659" t="str">
        <f t="shared" si="148"/>
        <v>Ap</v>
      </c>
      <c r="D1659" t="s">
        <v>2562</v>
      </c>
      <c r="E1659" s="5">
        <v>1</v>
      </c>
      <c r="G1659" s="4" t="s">
        <v>3262</v>
      </c>
      <c r="H1659" s="305" t="s">
        <v>3263</v>
      </c>
      <c r="K1659" t="s">
        <v>2841</v>
      </c>
      <c r="L1659" t="s">
        <v>669</v>
      </c>
      <c r="M1659" t="s">
        <v>1424</v>
      </c>
      <c r="N1659" t="s">
        <v>3264</v>
      </c>
    </row>
    <row r="1660" spans="1:15">
      <c r="A1660" s="5">
        <v>1659</v>
      </c>
      <c r="B1660" t="str">
        <f t="shared" ref="B1660:B1668" si="149">MID(G1660,8,2)</f>
        <v>TO</v>
      </c>
      <c r="C1660" t="str">
        <f t="shared" ref="C1660:C1668" si="150">MID(G1660,11,2)</f>
        <v>Ap</v>
      </c>
      <c r="D1660" t="s">
        <v>2562</v>
      </c>
      <c r="E1660" s="5">
        <v>1</v>
      </c>
      <c r="G1660" s="4" t="s">
        <v>3265</v>
      </c>
      <c r="H1660" s="305" t="s">
        <v>3266</v>
      </c>
      <c r="K1660" t="s">
        <v>2841</v>
      </c>
      <c r="L1660" t="s">
        <v>669</v>
      </c>
      <c r="M1660" t="s">
        <v>1424</v>
      </c>
    </row>
    <row r="1661" spans="1:15">
      <c r="A1661" s="5">
        <v>1660</v>
      </c>
      <c r="B1661" t="str">
        <f t="shared" si="149"/>
        <v>TO</v>
      </c>
      <c r="C1661" t="str">
        <f t="shared" si="150"/>
        <v>Ap</v>
      </c>
      <c r="D1661" t="s">
        <v>2562</v>
      </c>
      <c r="E1661" s="5">
        <v>1</v>
      </c>
      <c r="G1661" s="4" t="s">
        <v>3265</v>
      </c>
      <c r="H1661" s="305" t="s">
        <v>3267</v>
      </c>
      <c r="K1661" t="s">
        <v>2841</v>
      </c>
      <c r="L1661" t="s">
        <v>669</v>
      </c>
      <c r="M1661" t="s">
        <v>1424</v>
      </c>
    </row>
    <row r="1662" spans="1:15">
      <c r="A1662" s="5">
        <v>1661</v>
      </c>
      <c r="B1662" t="str">
        <f t="shared" si="149"/>
        <v>TO</v>
      </c>
      <c r="C1662" t="str">
        <f t="shared" si="150"/>
        <v>KB</v>
      </c>
      <c r="D1662" t="s">
        <v>2562</v>
      </c>
      <c r="E1662" s="5">
        <v>1</v>
      </c>
      <c r="G1662" s="4" t="s">
        <v>3268</v>
      </c>
      <c r="H1662" s="305" t="s">
        <v>3269</v>
      </c>
      <c r="I1662" s="432" t="s">
        <v>3270</v>
      </c>
      <c r="K1662" t="s">
        <v>1434</v>
      </c>
      <c r="L1662" t="s">
        <v>669</v>
      </c>
      <c r="M1662" t="s">
        <v>2333</v>
      </c>
      <c r="N1662" t="s">
        <v>3271</v>
      </c>
    </row>
    <row r="1663" spans="1:15">
      <c r="A1663" s="5">
        <v>1662</v>
      </c>
      <c r="B1663" t="str">
        <f t="shared" si="149"/>
        <v>TO</v>
      </c>
      <c r="C1663" t="str">
        <f t="shared" si="150"/>
        <v>KB</v>
      </c>
      <c r="D1663" t="s">
        <v>2562</v>
      </c>
      <c r="E1663" s="5">
        <v>1</v>
      </c>
      <c r="G1663" s="4" t="s">
        <v>3268</v>
      </c>
      <c r="H1663" s="305" t="s">
        <v>3272</v>
      </c>
      <c r="I1663" s="432" t="s">
        <v>3083</v>
      </c>
      <c r="K1663" t="s">
        <v>659</v>
      </c>
      <c r="L1663" t="s">
        <v>669</v>
      </c>
      <c r="M1663" t="s">
        <v>2392</v>
      </c>
    </row>
    <row r="1664" spans="1:15">
      <c r="A1664" s="5">
        <v>1663</v>
      </c>
      <c r="B1664" t="str">
        <f t="shared" si="149"/>
        <v>TO</v>
      </c>
      <c r="C1664" t="str">
        <f t="shared" si="150"/>
        <v>KB</v>
      </c>
      <c r="D1664" t="s">
        <v>2562</v>
      </c>
      <c r="E1664" s="5">
        <v>1</v>
      </c>
      <c r="G1664" s="4" t="s">
        <v>3268</v>
      </c>
      <c r="H1664" s="305" t="s">
        <v>3273</v>
      </c>
      <c r="I1664" s="432" t="s">
        <v>3274</v>
      </c>
      <c r="K1664" t="s">
        <v>1434</v>
      </c>
      <c r="L1664" t="s">
        <v>669</v>
      </c>
      <c r="M1664" t="s">
        <v>2333</v>
      </c>
    </row>
    <row r="1665" spans="1:18" ht="36">
      <c r="A1665" s="5">
        <v>1664</v>
      </c>
      <c r="B1665" t="str">
        <f t="shared" si="149"/>
        <v>TO</v>
      </c>
      <c r="C1665" t="str">
        <f t="shared" si="150"/>
        <v>KB</v>
      </c>
      <c r="D1665" t="s">
        <v>2562</v>
      </c>
      <c r="E1665" s="5">
        <v>1</v>
      </c>
      <c r="G1665" s="4" t="s">
        <v>3268</v>
      </c>
      <c r="H1665" s="305" t="s">
        <v>3275</v>
      </c>
      <c r="I1665" s="432" t="s">
        <v>2962</v>
      </c>
      <c r="K1665" t="s">
        <v>659</v>
      </c>
      <c r="L1665" t="s">
        <v>669</v>
      </c>
      <c r="M1665" t="s">
        <v>2333</v>
      </c>
      <c r="N1665" t="s">
        <v>3271</v>
      </c>
      <c r="O1665" s="280"/>
      <c r="Q1665" t="s">
        <v>659</v>
      </c>
      <c r="R1665" t="s">
        <v>2073</v>
      </c>
    </row>
    <row r="1666" spans="1:18">
      <c r="A1666" s="5">
        <v>1665</v>
      </c>
      <c r="B1666" t="s">
        <v>114</v>
      </c>
      <c r="C1666" t="s">
        <v>17</v>
      </c>
      <c r="D1666" t="s">
        <v>2562</v>
      </c>
      <c r="E1666" s="5">
        <v>1</v>
      </c>
      <c r="G1666" s="270" t="s">
        <v>3276</v>
      </c>
      <c r="H1666" s="305" t="s">
        <v>483</v>
      </c>
      <c r="I1666" s="432" t="s">
        <v>2812</v>
      </c>
      <c r="K1666" t="s">
        <v>1434</v>
      </c>
      <c r="L1666" t="s">
        <v>669</v>
      </c>
      <c r="M1666" t="s">
        <v>2333</v>
      </c>
      <c r="N1666" s="4"/>
      <c r="O1666" s="280"/>
      <c r="Q1666" t="s">
        <v>659</v>
      </c>
      <c r="R1666" t="s">
        <v>2073</v>
      </c>
    </row>
    <row r="1667" spans="1:18">
      <c r="A1667" s="5">
        <v>1666</v>
      </c>
      <c r="B1667" t="str">
        <f t="shared" si="149"/>
        <v>TO</v>
      </c>
      <c r="C1667" t="str">
        <f t="shared" si="150"/>
        <v>KB</v>
      </c>
      <c r="D1667" t="s">
        <v>2562</v>
      </c>
      <c r="E1667" s="5">
        <v>1</v>
      </c>
      <c r="G1667" s="4" t="s">
        <v>3277</v>
      </c>
      <c r="H1667" s="305" t="s">
        <v>3157</v>
      </c>
      <c r="I1667" s="432" t="s">
        <v>2725</v>
      </c>
      <c r="K1667" t="s">
        <v>659</v>
      </c>
      <c r="L1667" t="s">
        <v>669</v>
      </c>
      <c r="M1667" t="s">
        <v>1424</v>
      </c>
      <c r="N1667" s="4"/>
      <c r="O1667" s="280"/>
      <c r="Q1667" t="s">
        <v>659</v>
      </c>
      <c r="R1667" t="s">
        <v>2073</v>
      </c>
    </row>
    <row r="1668" spans="1:18" ht="36">
      <c r="A1668" s="5">
        <v>1667</v>
      </c>
      <c r="B1668" t="str">
        <f t="shared" si="149"/>
        <v>MH</v>
      </c>
      <c r="C1668" t="str">
        <f t="shared" si="150"/>
        <v>KB</v>
      </c>
      <c r="D1668" t="s">
        <v>2562</v>
      </c>
      <c r="E1668" s="5"/>
      <c r="G1668" s="4" t="s">
        <v>3278</v>
      </c>
      <c r="H1668" s="305" t="s">
        <v>3279</v>
      </c>
      <c r="I1668" s="432" t="s">
        <v>3280</v>
      </c>
      <c r="K1668" t="s">
        <v>659</v>
      </c>
      <c r="L1668" t="s">
        <v>669</v>
      </c>
      <c r="M1668" t="s">
        <v>2333</v>
      </c>
    </row>
    <row r="1669" spans="1:18" ht="36">
      <c r="A1669" s="5">
        <v>1668</v>
      </c>
      <c r="B1669" t="str">
        <f t="shared" ref="B1669" si="151">MID(G1669,8,2)</f>
        <v>MH</v>
      </c>
      <c r="C1669" t="str">
        <f t="shared" ref="C1669" si="152">MID(G1669,11,2)</f>
        <v>KB</v>
      </c>
      <c r="D1669" t="s">
        <v>2562</v>
      </c>
      <c r="E1669" s="5">
        <v>2</v>
      </c>
      <c r="G1669" s="4" t="s">
        <v>3281</v>
      </c>
      <c r="H1669" s="305" t="s">
        <v>3279</v>
      </c>
      <c r="I1669" s="432" t="s">
        <v>3280</v>
      </c>
      <c r="K1669" t="s">
        <v>659</v>
      </c>
      <c r="L1669" t="s">
        <v>669</v>
      </c>
      <c r="M1669" t="s">
        <v>2333</v>
      </c>
    </row>
    <row r="1670" spans="1:18">
      <c r="A1670" s="5">
        <v>1669</v>
      </c>
      <c r="B1670" t="str">
        <f t="shared" ref="B1670:B1677" si="153">MID(G1670,8,2)</f>
        <v>TO</v>
      </c>
      <c r="C1670" t="str">
        <f t="shared" ref="C1670:C1677" si="154">MID(G1670,11,2)</f>
        <v>KB</v>
      </c>
      <c r="D1670" t="s">
        <v>2562</v>
      </c>
      <c r="E1670" s="5"/>
      <c r="G1670" s="4" t="s">
        <v>3282</v>
      </c>
      <c r="H1670" s="306" t="s">
        <v>1393</v>
      </c>
      <c r="I1670" s="450" t="s">
        <v>2804</v>
      </c>
      <c r="K1670" t="s">
        <v>659</v>
      </c>
      <c r="L1670" t="s">
        <v>669</v>
      </c>
      <c r="M1670" t="s">
        <v>3160</v>
      </c>
    </row>
    <row r="1671" spans="1:18">
      <c r="A1671" s="5">
        <v>1670</v>
      </c>
      <c r="B1671" t="str">
        <f t="shared" si="153"/>
        <v>TO</v>
      </c>
      <c r="C1671" t="str">
        <f t="shared" si="154"/>
        <v>KB</v>
      </c>
      <c r="D1671" t="s">
        <v>2562</v>
      </c>
      <c r="E1671" s="5"/>
      <c r="G1671" s="4" t="s">
        <v>3283</v>
      </c>
      <c r="H1671" s="306" t="s">
        <v>2805</v>
      </c>
      <c r="I1671" s="450" t="s">
        <v>2806</v>
      </c>
      <c r="K1671" t="s">
        <v>659</v>
      </c>
      <c r="L1671" t="s">
        <v>669</v>
      </c>
      <c r="M1671" t="s">
        <v>2333</v>
      </c>
    </row>
    <row r="1672" spans="1:18">
      <c r="A1672" s="5">
        <v>1671</v>
      </c>
      <c r="B1672" t="str">
        <f t="shared" si="153"/>
        <v>TO</v>
      </c>
      <c r="C1672" t="str">
        <f t="shared" si="154"/>
        <v>KB</v>
      </c>
      <c r="D1672" t="s">
        <v>2562</v>
      </c>
      <c r="E1672" s="5"/>
      <c r="G1672" s="4" t="s">
        <v>3284</v>
      </c>
      <c r="H1672" s="306" t="s">
        <v>2807</v>
      </c>
      <c r="I1672" s="450" t="s">
        <v>2808</v>
      </c>
      <c r="K1672" t="s">
        <v>659</v>
      </c>
      <c r="L1672" t="s">
        <v>669</v>
      </c>
      <c r="M1672" t="s">
        <v>2333</v>
      </c>
    </row>
    <row r="1673" spans="1:18">
      <c r="A1673" s="5">
        <v>1672</v>
      </c>
      <c r="B1673" t="str">
        <f t="shared" si="153"/>
        <v>TO</v>
      </c>
      <c r="C1673" t="str">
        <f t="shared" si="154"/>
        <v>KB</v>
      </c>
      <c r="D1673" t="s">
        <v>2562</v>
      </c>
      <c r="E1673" s="5"/>
      <c r="G1673" s="4" t="s">
        <v>3285</v>
      </c>
      <c r="H1673" s="305" t="s">
        <v>3286</v>
      </c>
      <c r="I1673" s="432" t="s">
        <v>3287</v>
      </c>
      <c r="K1673" t="s">
        <v>659</v>
      </c>
      <c r="L1673" t="s">
        <v>669</v>
      </c>
      <c r="M1673" t="s">
        <v>2333</v>
      </c>
      <c r="N1673" t="s">
        <v>3288</v>
      </c>
    </row>
    <row r="1674" spans="1:18" ht="21.6">
      <c r="A1674" s="5">
        <v>1673</v>
      </c>
      <c r="B1674" t="str">
        <f t="shared" si="153"/>
        <v>TO</v>
      </c>
      <c r="C1674" t="str">
        <f t="shared" si="154"/>
        <v>KB</v>
      </c>
      <c r="D1674" t="s">
        <v>2562</v>
      </c>
      <c r="E1674" s="5"/>
      <c r="G1674" s="4" t="s">
        <v>3285</v>
      </c>
      <c r="H1674" s="313" t="s">
        <v>3289</v>
      </c>
      <c r="I1674" s="432" t="s">
        <v>3290</v>
      </c>
      <c r="K1674" t="s">
        <v>1434</v>
      </c>
      <c r="L1674" t="s">
        <v>669</v>
      </c>
      <c r="M1674" t="s">
        <v>2333</v>
      </c>
    </row>
    <row r="1675" spans="1:18" ht="43.2">
      <c r="A1675" s="5">
        <v>1674</v>
      </c>
      <c r="B1675" t="str">
        <f t="shared" si="153"/>
        <v>TO</v>
      </c>
      <c r="C1675" t="str">
        <f t="shared" si="154"/>
        <v>KB</v>
      </c>
      <c r="D1675" t="s">
        <v>2562</v>
      </c>
      <c r="E1675" s="5"/>
      <c r="G1675" s="4" t="s">
        <v>3285</v>
      </c>
      <c r="H1675" s="313" t="s">
        <v>3291</v>
      </c>
      <c r="I1675" s="432" t="s">
        <v>3292</v>
      </c>
      <c r="K1675" t="s">
        <v>1434</v>
      </c>
      <c r="L1675" t="s">
        <v>669</v>
      </c>
      <c r="M1675" t="s">
        <v>2333</v>
      </c>
    </row>
    <row r="1676" spans="1:18" ht="43.2">
      <c r="A1676" s="5">
        <v>1675</v>
      </c>
      <c r="B1676" t="str">
        <f t="shared" si="153"/>
        <v>TO</v>
      </c>
      <c r="C1676" t="str">
        <f t="shared" si="154"/>
        <v>KB</v>
      </c>
      <c r="D1676" t="s">
        <v>2562</v>
      </c>
      <c r="E1676" s="5"/>
      <c r="G1676" s="4" t="s">
        <v>3285</v>
      </c>
      <c r="H1676" s="313" t="s">
        <v>3293</v>
      </c>
      <c r="I1676" s="432" t="s">
        <v>3294</v>
      </c>
      <c r="K1676" t="s">
        <v>1434</v>
      </c>
      <c r="L1676" t="s">
        <v>669</v>
      </c>
      <c r="M1676" t="s">
        <v>3160</v>
      </c>
    </row>
    <row r="1677" spans="1:18">
      <c r="A1677" s="5">
        <v>1676</v>
      </c>
      <c r="B1677" t="str">
        <f t="shared" si="153"/>
        <v>TO</v>
      </c>
      <c r="C1677" t="str">
        <f t="shared" si="154"/>
        <v>KB</v>
      </c>
      <c r="D1677" t="s">
        <v>2562</v>
      </c>
      <c r="E1677" s="5"/>
      <c r="G1677" s="4" t="s">
        <v>3295</v>
      </c>
      <c r="H1677" s="306" t="s">
        <v>3135</v>
      </c>
      <c r="I1677" s="438" t="s">
        <v>3136</v>
      </c>
      <c r="K1677" t="s">
        <v>659</v>
      </c>
      <c r="L1677" t="s">
        <v>669</v>
      </c>
      <c r="M1677" t="s">
        <v>2333</v>
      </c>
      <c r="N1677" t="s">
        <v>461</v>
      </c>
    </row>
    <row r="1678" spans="1:18">
      <c r="A1678" s="5">
        <v>1677</v>
      </c>
      <c r="B1678" t="str">
        <f t="shared" ref="B1678:B1680" si="155">MID(G1678,8,2)</f>
        <v>TO</v>
      </c>
      <c r="C1678" t="str">
        <f t="shared" ref="C1678:C1680" si="156">MID(G1678,11,2)</f>
        <v>KB</v>
      </c>
      <c r="D1678" t="s">
        <v>2562</v>
      </c>
      <c r="E1678" s="5"/>
      <c r="G1678" s="4" t="s">
        <v>3295</v>
      </c>
      <c r="H1678" s="306" t="s">
        <v>3141</v>
      </c>
      <c r="I1678" s="438" t="s">
        <v>2688</v>
      </c>
      <c r="K1678" t="s">
        <v>659</v>
      </c>
      <c r="L1678" t="s">
        <v>669</v>
      </c>
      <c r="M1678" t="s">
        <v>2333</v>
      </c>
      <c r="N1678" t="s">
        <v>461</v>
      </c>
    </row>
    <row r="1679" spans="1:18">
      <c r="A1679" s="5">
        <v>1678</v>
      </c>
      <c r="B1679" t="str">
        <f t="shared" si="155"/>
        <v>TO</v>
      </c>
      <c r="C1679" t="str">
        <f t="shared" si="156"/>
        <v>KB</v>
      </c>
      <c r="D1679" t="s">
        <v>2562</v>
      </c>
      <c r="E1679" s="5"/>
      <c r="G1679" s="4" t="s">
        <v>3295</v>
      </c>
      <c r="H1679" s="306" t="s">
        <v>3296</v>
      </c>
      <c r="I1679" s="438" t="s">
        <v>2377</v>
      </c>
      <c r="K1679" t="s">
        <v>659</v>
      </c>
      <c r="L1679" t="s">
        <v>669</v>
      </c>
      <c r="M1679" t="s">
        <v>2333</v>
      </c>
      <c r="N1679" t="s">
        <v>461</v>
      </c>
    </row>
    <row r="1680" spans="1:18" ht="36">
      <c r="A1680" s="5">
        <v>1679</v>
      </c>
      <c r="B1680" t="str">
        <f t="shared" si="155"/>
        <v>TO</v>
      </c>
      <c r="C1680" t="str">
        <f t="shared" si="156"/>
        <v>KB</v>
      </c>
      <c r="D1680" t="s">
        <v>2562</v>
      </c>
      <c r="G1680" s="4" t="s">
        <v>3295</v>
      </c>
      <c r="H1680" s="306" t="s">
        <v>3297</v>
      </c>
      <c r="I1680" s="438" t="s">
        <v>3134</v>
      </c>
      <c r="K1680" t="s">
        <v>659</v>
      </c>
      <c r="L1680" t="s">
        <v>669</v>
      </c>
      <c r="M1680" t="s">
        <v>2333</v>
      </c>
      <c r="N1680" t="s">
        <v>461</v>
      </c>
    </row>
    <row r="1681" spans="1:14">
      <c r="A1681" s="5">
        <v>1680</v>
      </c>
      <c r="B1681" t="str">
        <f t="shared" ref="B1681:B1712" si="157">MID(G1681,8,2)</f>
        <v>TO</v>
      </c>
      <c r="C1681" t="str">
        <f t="shared" ref="C1681:C1712" si="158">MID(G1681,11,2)</f>
        <v>KB</v>
      </c>
      <c r="D1681" t="s">
        <v>2562</v>
      </c>
      <c r="E1681" s="5"/>
      <c r="G1681" s="4" t="s">
        <v>3295</v>
      </c>
      <c r="H1681" s="306" t="s">
        <v>2939</v>
      </c>
      <c r="I1681" s="438" t="s">
        <v>2940</v>
      </c>
      <c r="K1681" t="s">
        <v>659</v>
      </c>
      <c r="L1681" t="s">
        <v>669</v>
      </c>
      <c r="M1681" t="s">
        <v>2333</v>
      </c>
      <c r="N1681" t="s">
        <v>461</v>
      </c>
    </row>
    <row r="1682" spans="1:14">
      <c r="A1682" s="5">
        <v>1681</v>
      </c>
      <c r="B1682" t="str">
        <f t="shared" si="157"/>
        <v>TO</v>
      </c>
      <c r="C1682" t="str">
        <f t="shared" si="158"/>
        <v>KB</v>
      </c>
      <c r="D1682" t="s">
        <v>2562</v>
      </c>
      <c r="E1682" s="5"/>
      <c r="G1682" s="4" t="s">
        <v>3295</v>
      </c>
      <c r="H1682" s="306" t="s">
        <v>2942</v>
      </c>
      <c r="I1682" s="438" t="s">
        <v>2943</v>
      </c>
      <c r="K1682" t="s">
        <v>659</v>
      </c>
      <c r="L1682" t="s">
        <v>669</v>
      </c>
      <c r="M1682" t="s">
        <v>2333</v>
      </c>
      <c r="N1682" t="s">
        <v>461</v>
      </c>
    </row>
    <row r="1683" spans="1:14">
      <c r="A1683" s="5">
        <v>1682</v>
      </c>
      <c r="B1683" t="str">
        <f t="shared" si="157"/>
        <v>TO</v>
      </c>
      <c r="C1683" t="str">
        <f t="shared" si="158"/>
        <v>KB</v>
      </c>
      <c r="D1683" t="s">
        <v>2562</v>
      </c>
      <c r="E1683" s="5"/>
      <c r="G1683" s="4" t="s">
        <v>3295</v>
      </c>
      <c r="H1683" s="306" t="s">
        <v>67</v>
      </c>
      <c r="I1683" s="438" t="s">
        <v>2944</v>
      </c>
      <c r="K1683" t="s">
        <v>659</v>
      </c>
      <c r="L1683" t="s">
        <v>669</v>
      </c>
      <c r="M1683" t="s">
        <v>2333</v>
      </c>
      <c r="N1683" t="s">
        <v>461</v>
      </c>
    </row>
    <row r="1684" spans="1:14" ht="21.6">
      <c r="A1684" s="5">
        <v>1683</v>
      </c>
      <c r="B1684" t="str">
        <f t="shared" si="157"/>
        <v>TO</v>
      </c>
      <c r="C1684" t="str">
        <f t="shared" si="158"/>
        <v>KB</v>
      </c>
      <c r="D1684" t="s">
        <v>2562</v>
      </c>
      <c r="E1684" s="5"/>
      <c r="G1684" s="4" t="s">
        <v>3298</v>
      </c>
      <c r="H1684" s="313" t="s">
        <v>3299</v>
      </c>
      <c r="I1684" s="438" t="s">
        <v>3300</v>
      </c>
      <c r="K1684" t="s">
        <v>1434</v>
      </c>
      <c r="L1684" t="s">
        <v>669</v>
      </c>
      <c r="M1684" t="s">
        <v>2333</v>
      </c>
    </row>
    <row r="1685" spans="1:14" ht="21.6">
      <c r="A1685" s="5">
        <v>1684</v>
      </c>
      <c r="B1685" t="str">
        <f t="shared" si="157"/>
        <v>TO</v>
      </c>
      <c r="C1685" t="str">
        <f t="shared" si="158"/>
        <v>KB</v>
      </c>
      <c r="D1685" t="s">
        <v>2562</v>
      </c>
      <c r="E1685" s="5"/>
      <c r="G1685" s="4" t="s">
        <v>3301</v>
      </c>
      <c r="H1685" s="313" t="s">
        <v>3302</v>
      </c>
      <c r="I1685" s="438" t="s">
        <v>3303</v>
      </c>
      <c r="K1685" t="s">
        <v>1434</v>
      </c>
      <c r="L1685" t="s">
        <v>669</v>
      </c>
      <c r="M1685" t="s">
        <v>2333</v>
      </c>
    </row>
    <row r="1686" spans="1:14" ht="21.6">
      <c r="A1686" s="5">
        <v>1685</v>
      </c>
      <c r="B1686" t="str">
        <f t="shared" si="157"/>
        <v>TO</v>
      </c>
      <c r="C1686" t="str">
        <f t="shared" si="158"/>
        <v>KB</v>
      </c>
      <c r="D1686" t="s">
        <v>2562</v>
      </c>
      <c r="E1686" s="5"/>
      <c r="G1686" s="4" t="s">
        <v>3301</v>
      </c>
      <c r="H1686" s="313" t="s">
        <v>3304</v>
      </c>
      <c r="I1686" s="438" t="s">
        <v>3305</v>
      </c>
      <c r="K1686" t="s">
        <v>1434</v>
      </c>
      <c r="L1686" t="s">
        <v>669</v>
      </c>
      <c r="M1686" t="s">
        <v>2333</v>
      </c>
    </row>
    <row r="1687" spans="1:14" ht="21.6">
      <c r="A1687" s="5">
        <v>1686</v>
      </c>
      <c r="B1687" t="str">
        <f t="shared" si="157"/>
        <v>TO</v>
      </c>
      <c r="C1687" t="str">
        <f t="shared" si="158"/>
        <v>KB</v>
      </c>
      <c r="D1687" t="s">
        <v>2562</v>
      </c>
      <c r="E1687" s="5"/>
      <c r="G1687" s="4" t="s">
        <v>3306</v>
      </c>
      <c r="H1687" s="313" t="s">
        <v>3307</v>
      </c>
      <c r="I1687" s="438" t="s">
        <v>3308</v>
      </c>
      <c r="K1687" t="s">
        <v>1434</v>
      </c>
      <c r="L1687" t="s">
        <v>669</v>
      </c>
      <c r="M1687" t="s">
        <v>2333</v>
      </c>
    </row>
    <row r="1688" spans="1:14" ht="21.6">
      <c r="A1688" s="5">
        <v>1687</v>
      </c>
      <c r="B1688" t="str">
        <f t="shared" si="157"/>
        <v>TO</v>
      </c>
      <c r="C1688" t="str">
        <f t="shared" si="158"/>
        <v>KB</v>
      </c>
      <c r="D1688" t="s">
        <v>2562</v>
      </c>
      <c r="E1688" s="5"/>
      <c r="G1688" s="4" t="s">
        <v>3306</v>
      </c>
      <c r="H1688" s="313" t="s">
        <v>1350</v>
      </c>
      <c r="I1688" s="438" t="s">
        <v>3309</v>
      </c>
      <c r="K1688" t="s">
        <v>659</v>
      </c>
      <c r="L1688" t="s">
        <v>669</v>
      </c>
      <c r="M1688" t="s">
        <v>2333</v>
      </c>
    </row>
    <row r="1689" spans="1:14" ht="21.6">
      <c r="A1689" s="5">
        <v>1688</v>
      </c>
      <c r="B1689" t="str">
        <f t="shared" si="157"/>
        <v>TO</v>
      </c>
      <c r="C1689" t="str">
        <f t="shared" si="158"/>
        <v>KB</v>
      </c>
      <c r="D1689" t="s">
        <v>2562</v>
      </c>
      <c r="E1689" s="5"/>
      <c r="G1689" s="4" t="s">
        <v>3306</v>
      </c>
      <c r="H1689" s="313" t="s">
        <v>3310</v>
      </c>
      <c r="I1689" s="438" t="s">
        <v>3311</v>
      </c>
      <c r="K1689" t="s">
        <v>1434</v>
      </c>
      <c r="L1689" t="s">
        <v>669</v>
      </c>
      <c r="M1689" t="s">
        <v>2333</v>
      </c>
    </row>
    <row r="1690" spans="1:14" ht="21.6">
      <c r="A1690" s="5">
        <v>1689</v>
      </c>
      <c r="B1690" t="str">
        <f t="shared" si="157"/>
        <v>TO</v>
      </c>
      <c r="C1690" t="str">
        <f t="shared" si="158"/>
        <v>KB</v>
      </c>
      <c r="D1690" t="s">
        <v>2562</v>
      </c>
      <c r="E1690" s="5"/>
      <c r="G1690" s="4" t="s">
        <v>3306</v>
      </c>
      <c r="H1690" s="313" t="s">
        <v>3312</v>
      </c>
      <c r="I1690" s="438" t="s">
        <v>3313</v>
      </c>
      <c r="K1690" t="s">
        <v>1434</v>
      </c>
      <c r="L1690" t="s">
        <v>669</v>
      </c>
      <c r="M1690" t="s">
        <v>2333</v>
      </c>
    </row>
    <row r="1691" spans="1:14" ht="21.6">
      <c r="A1691" s="5">
        <v>1690</v>
      </c>
      <c r="B1691" t="str">
        <f t="shared" si="157"/>
        <v>TO</v>
      </c>
      <c r="C1691" t="str">
        <f t="shared" si="158"/>
        <v>KB</v>
      </c>
      <c r="D1691" t="s">
        <v>2562</v>
      </c>
      <c r="E1691" s="5"/>
      <c r="G1691" s="4" t="s">
        <v>3314</v>
      </c>
      <c r="H1691" s="313" t="s">
        <v>3315</v>
      </c>
      <c r="I1691" s="438" t="s">
        <v>3316</v>
      </c>
      <c r="K1691" t="s">
        <v>1434</v>
      </c>
      <c r="L1691" t="s">
        <v>669</v>
      </c>
      <c r="M1691" t="s">
        <v>2333</v>
      </c>
    </row>
    <row r="1692" spans="1:14" ht="43.2">
      <c r="A1692" s="5">
        <v>1691</v>
      </c>
      <c r="B1692" t="str">
        <f t="shared" si="157"/>
        <v>TO</v>
      </c>
      <c r="C1692" t="str">
        <f t="shared" si="158"/>
        <v>KB</v>
      </c>
      <c r="D1692" t="s">
        <v>2562</v>
      </c>
      <c r="E1692" s="5"/>
      <c r="G1692" s="4" t="s">
        <v>3314</v>
      </c>
      <c r="H1692" s="313" t="s">
        <v>3317</v>
      </c>
      <c r="I1692" s="438" t="s">
        <v>3318</v>
      </c>
      <c r="K1692" t="s">
        <v>659</v>
      </c>
      <c r="L1692" t="s">
        <v>669</v>
      </c>
      <c r="M1692" t="s">
        <v>2333</v>
      </c>
    </row>
    <row r="1693" spans="1:14" ht="21.6">
      <c r="A1693" s="5">
        <v>1692</v>
      </c>
      <c r="B1693" t="str">
        <f t="shared" si="157"/>
        <v>TO</v>
      </c>
      <c r="C1693" t="str">
        <f t="shared" si="158"/>
        <v>KB</v>
      </c>
      <c r="D1693" t="s">
        <v>2562</v>
      </c>
      <c r="E1693" s="5"/>
      <c r="G1693" s="4" t="s">
        <v>3314</v>
      </c>
      <c r="H1693" s="313" t="s">
        <v>3319</v>
      </c>
      <c r="I1693" s="438" t="s">
        <v>3320</v>
      </c>
      <c r="K1693" t="s">
        <v>1434</v>
      </c>
      <c r="L1693" t="s">
        <v>669</v>
      </c>
      <c r="M1693" t="s">
        <v>2333</v>
      </c>
    </row>
    <row r="1694" spans="1:14" ht="21.6">
      <c r="A1694" s="5">
        <v>1693</v>
      </c>
      <c r="B1694" t="str">
        <f t="shared" ref="B1694:B1709" si="159">MID(G1694,8,2)</f>
        <v>TO</v>
      </c>
      <c r="C1694" t="str">
        <f t="shared" ref="C1694:C1709" si="160">MID(G1694,11,2)</f>
        <v>KB</v>
      </c>
      <c r="D1694" t="s">
        <v>2562</v>
      </c>
      <c r="E1694" s="5"/>
      <c r="G1694" s="4" t="s">
        <v>3321</v>
      </c>
      <c r="H1694" s="313" t="s">
        <v>3322</v>
      </c>
      <c r="I1694" s="438" t="s">
        <v>2242</v>
      </c>
      <c r="K1694" t="s">
        <v>659</v>
      </c>
      <c r="L1694" t="s">
        <v>2137</v>
      </c>
      <c r="M1694"/>
    </row>
    <row r="1695" spans="1:14" ht="21.6">
      <c r="A1695" s="5">
        <v>1694</v>
      </c>
      <c r="B1695" t="str">
        <f t="shared" si="159"/>
        <v>TO</v>
      </c>
      <c r="C1695" t="str">
        <f t="shared" si="160"/>
        <v>KB</v>
      </c>
      <c r="D1695" t="s">
        <v>2562</v>
      </c>
      <c r="E1695" s="5"/>
      <c r="G1695" s="4" t="s">
        <v>3321</v>
      </c>
      <c r="H1695" s="313" t="s">
        <v>2243</v>
      </c>
      <c r="I1695" s="438" t="s">
        <v>2244</v>
      </c>
      <c r="K1695" t="s">
        <v>659</v>
      </c>
      <c r="L1695" t="s">
        <v>2137</v>
      </c>
      <c r="M1695"/>
    </row>
    <row r="1696" spans="1:14" ht="21.6">
      <c r="A1696" s="5">
        <v>1695</v>
      </c>
      <c r="B1696" t="str">
        <f t="shared" si="159"/>
        <v>TO</v>
      </c>
      <c r="C1696" t="str">
        <f t="shared" si="160"/>
        <v>KB</v>
      </c>
      <c r="D1696" t="s">
        <v>2562</v>
      </c>
      <c r="E1696" s="5"/>
      <c r="G1696" s="4" t="s">
        <v>3321</v>
      </c>
      <c r="H1696" s="313" t="s">
        <v>625</v>
      </c>
      <c r="I1696" s="438" t="s">
        <v>2245</v>
      </c>
      <c r="K1696" t="s">
        <v>659</v>
      </c>
      <c r="L1696" t="s">
        <v>669</v>
      </c>
      <c r="M1696" t="s">
        <v>3160</v>
      </c>
    </row>
    <row r="1697" spans="1:14" ht="21.6">
      <c r="A1697" s="5">
        <v>1696</v>
      </c>
      <c r="B1697" t="str">
        <f t="shared" si="159"/>
        <v>TO</v>
      </c>
      <c r="C1697" t="str">
        <f t="shared" si="160"/>
        <v>KB</v>
      </c>
      <c r="D1697" t="s">
        <v>2562</v>
      </c>
      <c r="E1697" s="5"/>
      <c r="G1697" s="4" t="s">
        <v>3321</v>
      </c>
      <c r="H1697" s="313" t="s">
        <v>2246</v>
      </c>
      <c r="I1697" s="438" t="s">
        <v>2247</v>
      </c>
      <c r="K1697" t="s">
        <v>659</v>
      </c>
      <c r="L1697" t="s">
        <v>2137</v>
      </c>
      <c r="M1697"/>
    </row>
    <row r="1698" spans="1:14" ht="21.6">
      <c r="A1698" s="5">
        <v>1697</v>
      </c>
      <c r="B1698" t="str">
        <f t="shared" si="159"/>
        <v>TO</v>
      </c>
      <c r="C1698" t="str">
        <f t="shared" si="160"/>
        <v>KB</v>
      </c>
      <c r="D1698" t="s">
        <v>2562</v>
      </c>
      <c r="E1698" s="5"/>
      <c r="G1698" s="4" t="s">
        <v>3321</v>
      </c>
      <c r="H1698" s="313" t="s">
        <v>2248</v>
      </c>
      <c r="I1698" s="438" t="s">
        <v>2249</v>
      </c>
      <c r="K1698" t="s">
        <v>659</v>
      </c>
      <c r="L1698" t="s">
        <v>2137</v>
      </c>
      <c r="M1698"/>
    </row>
    <row r="1699" spans="1:14" ht="21.6">
      <c r="A1699" s="5">
        <v>1698</v>
      </c>
      <c r="B1699" t="str">
        <f t="shared" si="159"/>
        <v>TO</v>
      </c>
      <c r="C1699" t="str">
        <f t="shared" si="160"/>
        <v>KB</v>
      </c>
      <c r="D1699" t="s">
        <v>2562</v>
      </c>
      <c r="E1699" s="5"/>
      <c r="G1699" s="4" t="s">
        <v>3321</v>
      </c>
      <c r="H1699" s="313" t="s">
        <v>536</v>
      </c>
      <c r="I1699" s="438" t="s">
        <v>2251</v>
      </c>
      <c r="K1699" t="s">
        <v>659</v>
      </c>
      <c r="L1699" t="s">
        <v>2137</v>
      </c>
      <c r="M1699"/>
    </row>
    <row r="1700" spans="1:14" ht="21.6">
      <c r="A1700" s="5">
        <v>1699</v>
      </c>
      <c r="B1700" t="str">
        <f t="shared" si="159"/>
        <v>TO</v>
      </c>
      <c r="C1700" t="str">
        <f t="shared" si="160"/>
        <v>KB</v>
      </c>
      <c r="D1700" t="s">
        <v>2562</v>
      </c>
      <c r="E1700" s="5"/>
      <c r="G1700" s="4" t="s">
        <v>3321</v>
      </c>
      <c r="H1700" s="313" t="s">
        <v>2252</v>
      </c>
      <c r="I1700" s="438" t="s">
        <v>2253</v>
      </c>
      <c r="K1700" t="s">
        <v>659</v>
      </c>
      <c r="L1700" t="s">
        <v>2137</v>
      </c>
      <c r="M1700"/>
    </row>
    <row r="1701" spans="1:14" ht="21.6">
      <c r="A1701" s="5">
        <v>1700</v>
      </c>
      <c r="B1701" t="str">
        <f t="shared" si="159"/>
        <v>TO</v>
      </c>
      <c r="C1701" t="str">
        <f t="shared" si="160"/>
        <v>KB</v>
      </c>
      <c r="D1701" t="s">
        <v>2562</v>
      </c>
      <c r="E1701" s="5"/>
      <c r="G1701" s="4" t="s">
        <v>3321</v>
      </c>
      <c r="H1701" s="313" t="s">
        <v>2254</v>
      </c>
      <c r="I1701" s="438" t="s">
        <v>2255</v>
      </c>
      <c r="K1701" t="s">
        <v>659</v>
      </c>
      <c r="L1701" t="s">
        <v>2137</v>
      </c>
      <c r="M1701"/>
    </row>
    <row r="1702" spans="1:14" ht="21.6">
      <c r="A1702" s="5">
        <v>1701</v>
      </c>
      <c r="B1702" t="str">
        <f t="shared" si="159"/>
        <v>TO</v>
      </c>
      <c r="C1702" t="str">
        <f t="shared" si="160"/>
        <v>KB</v>
      </c>
      <c r="D1702" t="s">
        <v>2562</v>
      </c>
      <c r="E1702" s="5"/>
      <c r="G1702" s="4" t="s">
        <v>3321</v>
      </c>
      <c r="H1702" s="313" t="s">
        <v>1682</v>
      </c>
      <c r="I1702" s="438" t="s">
        <v>2256</v>
      </c>
      <c r="K1702" t="s">
        <v>659</v>
      </c>
      <c r="L1702" t="s">
        <v>2137</v>
      </c>
      <c r="M1702" t="s">
        <v>3323</v>
      </c>
    </row>
    <row r="1703" spans="1:14" ht="21.6">
      <c r="A1703" s="5">
        <v>1702</v>
      </c>
      <c r="B1703" t="str">
        <f t="shared" si="159"/>
        <v>TO</v>
      </c>
      <c r="C1703" t="str">
        <f t="shared" si="160"/>
        <v>KB</v>
      </c>
      <c r="D1703" t="s">
        <v>2562</v>
      </c>
      <c r="E1703" s="5"/>
      <c r="G1703" s="4" t="s">
        <v>3321</v>
      </c>
      <c r="H1703" s="313" t="s">
        <v>2257</v>
      </c>
      <c r="I1703" s="438" t="s">
        <v>2258</v>
      </c>
      <c r="K1703" t="s">
        <v>659</v>
      </c>
      <c r="L1703" t="s">
        <v>2137</v>
      </c>
      <c r="M1703"/>
    </row>
    <row r="1704" spans="1:14" ht="21.6">
      <c r="A1704" s="5">
        <v>1703</v>
      </c>
      <c r="B1704" t="str">
        <f t="shared" si="159"/>
        <v>TO</v>
      </c>
      <c r="C1704" t="str">
        <f t="shared" si="160"/>
        <v>KB</v>
      </c>
      <c r="D1704" t="s">
        <v>2562</v>
      </c>
      <c r="E1704" s="5"/>
      <c r="G1704" s="4" t="s">
        <v>3321</v>
      </c>
      <c r="H1704" s="313" t="s">
        <v>2259</v>
      </c>
      <c r="I1704" s="438" t="s">
        <v>2260</v>
      </c>
      <c r="K1704" t="s">
        <v>659</v>
      </c>
      <c r="L1704" t="s">
        <v>669</v>
      </c>
      <c r="M1704" t="s">
        <v>2333</v>
      </c>
    </row>
    <row r="1705" spans="1:14" ht="21.6">
      <c r="A1705" s="5">
        <v>1704</v>
      </c>
      <c r="B1705" t="str">
        <f t="shared" si="159"/>
        <v>TO</v>
      </c>
      <c r="C1705" t="str">
        <f t="shared" si="160"/>
        <v>KB</v>
      </c>
      <c r="D1705" t="s">
        <v>2562</v>
      </c>
      <c r="E1705" s="5"/>
      <c r="G1705" s="4" t="s">
        <v>3324</v>
      </c>
      <c r="H1705" s="313" t="s">
        <v>3325</v>
      </c>
      <c r="I1705" s="438" t="s">
        <v>2262</v>
      </c>
      <c r="K1705" t="s">
        <v>659</v>
      </c>
      <c r="L1705" t="s">
        <v>669</v>
      </c>
      <c r="M1705" t="s">
        <v>2333</v>
      </c>
    </row>
    <row r="1706" spans="1:14" ht="21.6">
      <c r="A1706" s="5">
        <v>1705</v>
      </c>
      <c r="B1706" t="str">
        <f t="shared" si="159"/>
        <v>TO</v>
      </c>
      <c r="C1706" t="str">
        <f t="shared" si="160"/>
        <v>KB</v>
      </c>
      <c r="D1706" t="s">
        <v>2562</v>
      </c>
      <c r="E1706" s="5"/>
      <c r="G1706" s="4" t="s">
        <v>3324</v>
      </c>
      <c r="H1706" s="313" t="s">
        <v>1706</v>
      </c>
      <c r="I1706" s="438" t="s">
        <v>2264</v>
      </c>
      <c r="K1706" t="s">
        <v>659</v>
      </c>
      <c r="L1706" t="s">
        <v>669</v>
      </c>
      <c r="M1706" t="s">
        <v>2333</v>
      </c>
    </row>
    <row r="1707" spans="1:14" ht="21.6">
      <c r="A1707" s="5">
        <v>1706</v>
      </c>
      <c r="B1707" t="str">
        <f t="shared" si="159"/>
        <v>TO</v>
      </c>
      <c r="C1707" t="str">
        <f t="shared" si="160"/>
        <v>KB</v>
      </c>
      <c r="D1707" t="s">
        <v>2562</v>
      </c>
      <c r="E1707" s="5"/>
      <c r="G1707" s="4" t="s">
        <v>3324</v>
      </c>
      <c r="H1707" s="313" t="s">
        <v>1710</v>
      </c>
      <c r="I1707" s="438" t="s">
        <v>2265</v>
      </c>
      <c r="K1707" t="s">
        <v>659</v>
      </c>
      <c r="L1707" t="s">
        <v>669</v>
      </c>
      <c r="M1707" t="s">
        <v>2333</v>
      </c>
    </row>
    <row r="1708" spans="1:14" ht="21.6">
      <c r="A1708" s="5">
        <v>1707</v>
      </c>
      <c r="B1708" t="str">
        <f t="shared" si="159"/>
        <v>TO</v>
      </c>
      <c r="C1708" t="str">
        <f t="shared" si="160"/>
        <v>KB</v>
      </c>
      <c r="D1708" t="s">
        <v>2562</v>
      </c>
      <c r="E1708" s="5"/>
      <c r="G1708" s="4" t="s">
        <v>3324</v>
      </c>
      <c r="H1708" s="313" t="s">
        <v>1709</v>
      </c>
      <c r="I1708" s="438" t="s">
        <v>2266</v>
      </c>
      <c r="K1708" t="s">
        <v>659</v>
      </c>
      <c r="L1708" t="s">
        <v>669</v>
      </c>
      <c r="M1708" t="s">
        <v>2333</v>
      </c>
    </row>
    <row r="1709" spans="1:14" ht="21.6">
      <c r="A1709" s="5">
        <v>1708</v>
      </c>
      <c r="B1709" t="str">
        <f t="shared" si="159"/>
        <v>TO</v>
      </c>
      <c r="C1709" t="str">
        <f t="shared" si="160"/>
        <v>KB</v>
      </c>
      <c r="D1709" t="s">
        <v>2562</v>
      </c>
      <c r="E1709" s="5"/>
      <c r="G1709" s="4" t="s">
        <v>3324</v>
      </c>
      <c r="H1709" s="313" t="s">
        <v>2267</v>
      </c>
      <c r="I1709" s="438" t="s">
        <v>2268</v>
      </c>
      <c r="K1709" t="s">
        <v>659</v>
      </c>
      <c r="L1709" t="s">
        <v>669</v>
      </c>
      <c r="M1709" t="s">
        <v>2333</v>
      </c>
    </row>
    <row r="1710" spans="1:14" ht="36">
      <c r="A1710" s="5">
        <v>1709</v>
      </c>
      <c r="B1710" t="str">
        <f t="shared" si="157"/>
        <v>MH</v>
      </c>
      <c r="C1710" t="str">
        <f t="shared" si="158"/>
        <v>KB</v>
      </c>
      <c r="D1710" t="s">
        <v>2562</v>
      </c>
      <c r="E1710" s="5"/>
      <c r="G1710" s="4" t="s">
        <v>3326</v>
      </c>
      <c r="H1710" s="306" t="s">
        <v>3276</v>
      </c>
      <c r="I1710" s="438" t="s">
        <v>2302</v>
      </c>
      <c r="K1710" t="s">
        <v>659</v>
      </c>
      <c r="L1710" t="s">
        <v>669</v>
      </c>
      <c r="M1710" t="s">
        <v>2333</v>
      </c>
      <c r="N1710" t="s">
        <v>3327</v>
      </c>
    </row>
    <row r="1711" spans="1:14">
      <c r="A1711" s="5">
        <v>1710</v>
      </c>
      <c r="B1711" t="str">
        <f t="shared" si="157"/>
        <v>TO</v>
      </c>
      <c r="C1711" t="str">
        <f t="shared" si="158"/>
        <v>KB</v>
      </c>
      <c r="D1711" t="s">
        <v>3328</v>
      </c>
      <c r="E1711" s="5"/>
      <c r="G1711" s="4" t="s">
        <v>3329</v>
      </c>
      <c r="H1711" s="306" t="s">
        <v>3330</v>
      </c>
      <c r="I1711" s="438" t="s">
        <v>3331</v>
      </c>
      <c r="K1711" t="s">
        <v>1434</v>
      </c>
      <c r="L1711" t="s">
        <v>2137</v>
      </c>
      <c r="M1711" t="s">
        <v>2392</v>
      </c>
      <c r="N1711" t="s">
        <v>3332</v>
      </c>
    </row>
    <row r="1712" spans="1:14">
      <c r="A1712" s="5">
        <v>1711</v>
      </c>
      <c r="B1712" t="str">
        <f t="shared" si="157"/>
        <v>TO</v>
      </c>
      <c r="C1712" t="str">
        <f t="shared" si="158"/>
        <v>KB</v>
      </c>
      <c r="D1712" t="s">
        <v>3328</v>
      </c>
      <c r="E1712" s="5">
        <v>3</v>
      </c>
      <c r="G1712" s="4" t="s">
        <v>3333</v>
      </c>
      <c r="H1712" s="306" t="s">
        <v>3334</v>
      </c>
      <c r="I1712" s="438" t="s">
        <v>3335</v>
      </c>
      <c r="K1712" t="s">
        <v>1434</v>
      </c>
      <c r="L1712" t="s">
        <v>669</v>
      </c>
      <c r="M1712" t="s">
        <v>2333</v>
      </c>
    </row>
    <row r="1713" spans="1:14">
      <c r="A1713" s="5">
        <v>1712</v>
      </c>
      <c r="B1713" t="str">
        <f t="shared" ref="B1713" si="161">MID(G1713,8,2)</f>
        <v>TO</v>
      </c>
      <c r="C1713" t="str">
        <f t="shared" ref="C1713" si="162">MID(G1713,11,2)</f>
        <v>KB</v>
      </c>
      <c r="D1713" t="s">
        <v>3328</v>
      </c>
      <c r="E1713" s="5">
        <v>3</v>
      </c>
      <c r="G1713" s="4" t="s">
        <v>3333</v>
      </c>
      <c r="H1713" s="306" t="s">
        <v>3336</v>
      </c>
      <c r="I1713" s="438" t="s">
        <v>3337</v>
      </c>
      <c r="K1713" t="s">
        <v>659</v>
      </c>
      <c r="L1713" t="s">
        <v>669</v>
      </c>
      <c r="M1713" t="s">
        <v>2333</v>
      </c>
    </row>
    <row r="1714" spans="1:14">
      <c r="A1714" s="5">
        <v>1713</v>
      </c>
      <c r="B1714" t="str">
        <f t="shared" ref="B1714" si="163">MID(G1714,8,2)</f>
        <v>TO</v>
      </c>
      <c r="C1714" t="str">
        <f t="shared" ref="C1714" si="164">MID(G1714,11,2)</f>
        <v>KB</v>
      </c>
      <c r="D1714" t="s">
        <v>3328</v>
      </c>
      <c r="E1714" s="5">
        <v>2</v>
      </c>
      <c r="G1714" s="4" t="s">
        <v>3338</v>
      </c>
      <c r="H1714" s="306" t="s">
        <v>3339</v>
      </c>
      <c r="I1714" s="438" t="s">
        <v>3340</v>
      </c>
      <c r="K1714" t="s">
        <v>659</v>
      </c>
      <c r="L1714" t="s">
        <v>669</v>
      </c>
      <c r="M1714" t="s">
        <v>2333</v>
      </c>
    </row>
    <row r="1715" spans="1:14">
      <c r="A1715" s="5">
        <v>1714</v>
      </c>
      <c r="B1715" t="str">
        <f t="shared" ref="B1715:B1718" si="165">MID(G1715,8,2)</f>
        <v>TO</v>
      </c>
      <c r="C1715" t="str">
        <f t="shared" ref="C1715:C1718" si="166">MID(G1715,11,2)</f>
        <v>KB</v>
      </c>
      <c r="D1715" t="s">
        <v>3328</v>
      </c>
      <c r="E1715" s="5">
        <v>2</v>
      </c>
      <c r="G1715" s="4" t="s">
        <v>3338</v>
      </c>
      <c r="H1715" s="306" t="s">
        <v>3341</v>
      </c>
      <c r="I1715" s="438" t="s">
        <v>3342</v>
      </c>
      <c r="K1715" t="s">
        <v>659</v>
      </c>
      <c r="L1715" t="s">
        <v>669</v>
      </c>
      <c r="M1715" t="s">
        <v>2333</v>
      </c>
    </row>
    <row r="1716" spans="1:14" ht="36">
      <c r="A1716" s="5">
        <v>1715</v>
      </c>
      <c r="B1716" t="str">
        <f t="shared" si="165"/>
        <v>TO</v>
      </c>
      <c r="C1716" t="str">
        <f t="shared" si="166"/>
        <v>KB</v>
      </c>
      <c r="D1716" t="s">
        <v>3328</v>
      </c>
      <c r="E1716" s="5">
        <v>2</v>
      </c>
      <c r="G1716" s="4" t="s">
        <v>3338</v>
      </c>
      <c r="H1716" s="306" t="s">
        <v>3343</v>
      </c>
      <c r="I1716" s="438" t="s">
        <v>3344</v>
      </c>
      <c r="K1716" t="s">
        <v>659</v>
      </c>
      <c r="L1716" t="s">
        <v>669</v>
      </c>
      <c r="M1716" t="s">
        <v>2333</v>
      </c>
    </row>
    <row r="1717" spans="1:14">
      <c r="A1717" s="5">
        <v>1716</v>
      </c>
      <c r="B1717" t="str">
        <f t="shared" si="165"/>
        <v>TO</v>
      </c>
      <c r="C1717" t="str">
        <f t="shared" si="166"/>
        <v>KB</v>
      </c>
      <c r="D1717" t="s">
        <v>3328</v>
      </c>
      <c r="E1717" s="5">
        <v>2</v>
      </c>
      <c r="G1717" s="4" t="s">
        <v>3338</v>
      </c>
      <c r="H1717" s="306" t="s">
        <v>3345</v>
      </c>
      <c r="I1717" s="438" t="s">
        <v>3346</v>
      </c>
      <c r="K1717" t="s">
        <v>659</v>
      </c>
      <c r="L1717" t="s">
        <v>669</v>
      </c>
      <c r="M1717" t="s">
        <v>2333</v>
      </c>
    </row>
    <row r="1718" spans="1:14">
      <c r="A1718" s="5">
        <v>1717</v>
      </c>
      <c r="B1718" t="str">
        <f t="shared" si="165"/>
        <v>TO</v>
      </c>
      <c r="C1718" t="str">
        <f t="shared" si="166"/>
        <v>KB</v>
      </c>
      <c r="D1718" t="s">
        <v>3328</v>
      </c>
      <c r="E1718" s="5">
        <v>2</v>
      </c>
      <c r="G1718" s="4" t="s">
        <v>3338</v>
      </c>
      <c r="H1718" s="306" t="s">
        <v>3347</v>
      </c>
      <c r="I1718" s="438" t="s">
        <v>3348</v>
      </c>
      <c r="K1718" t="s">
        <v>659</v>
      </c>
      <c r="L1718" t="s">
        <v>669</v>
      </c>
      <c r="M1718" t="s">
        <v>2333</v>
      </c>
    </row>
    <row r="1719" spans="1:14" ht="36">
      <c r="A1719" s="5">
        <v>1718</v>
      </c>
      <c r="B1719" t="str">
        <f t="shared" ref="B1719" si="167">MID(G1719,8,2)</f>
        <v>TO</v>
      </c>
      <c r="C1719" t="str">
        <f t="shared" ref="C1719" si="168">MID(G1719,11,2)</f>
        <v>Ap</v>
      </c>
      <c r="D1719" t="s">
        <v>3328</v>
      </c>
      <c r="E1719" s="5">
        <v>2</v>
      </c>
      <c r="G1719" s="4" t="s">
        <v>3349</v>
      </c>
      <c r="H1719" s="306" t="s">
        <v>3350</v>
      </c>
      <c r="I1719" s="438"/>
      <c r="K1719" t="s">
        <v>659</v>
      </c>
      <c r="L1719" t="s">
        <v>669</v>
      </c>
      <c r="M1719" t="s">
        <v>1424</v>
      </c>
    </row>
    <row r="1720" spans="1:14">
      <c r="A1720" s="5">
        <v>1719</v>
      </c>
      <c r="B1720" t="str">
        <f t="shared" ref="B1720" si="169">MID(G1720,8,2)</f>
        <v>TO</v>
      </c>
      <c r="C1720" t="str">
        <f t="shared" ref="C1720" si="170">MID(G1720,11,2)</f>
        <v>We</v>
      </c>
      <c r="D1720" t="s">
        <v>3328</v>
      </c>
      <c r="E1720" s="5"/>
      <c r="G1720" s="4" t="s">
        <v>3351</v>
      </c>
      <c r="H1720" s="306" t="s">
        <v>485</v>
      </c>
      <c r="I1720" s="438"/>
      <c r="K1720" t="s">
        <v>1434</v>
      </c>
      <c r="L1720" t="s">
        <v>669</v>
      </c>
      <c r="M1720" t="s">
        <v>1424</v>
      </c>
    </row>
    <row r="1721" spans="1:14">
      <c r="A1721" s="5">
        <v>1720</v>
      </c>
      <c r="B1721" t="str">
        <f t="shared" ref="B1721:B1737" si="171">MID(G1721,8,2)</f>
        <v>TO</v>
      </c>
      <c r="C1721" t="str">
        <f t="shared" ref="C1721:C1737" si="172">MID(G1721,11,2)</f>
        <v>KB</v>
      </c>
      <c r="D1721" t="s">
        <v>3328</v>
      </c>
      <c r="E1721" s="5">
        <v>2</v>
      </c>
      <c r="G1721" s="4" t="s">
        <v>3352</v>
      </c>
      <c r="H1721" s="306" t="s">
        <v>1635</v>
      </c>
      <c r="I1721" s="438" t="s">
        <v>3353</v>
      </c>
      <c r="K1721" t="s">
        <v>659</v>
      </c>
      <c r="L1721" t="s">
        <v>669</v>
      </c>
      <c r="M1721"/>
    </row>
    <row r="1722" spans="1:14" ht="36">
      <c r="A1722" s="5">
        <v>1721</v>
      </c>
      <c r="B1722" t="str">
        <f t="shared" ref="B1722:B1725" si="173">MID(G1722,8,2)</f>
        <v>TO</v>
      </c>
      <c r="C1722" t="str">
        <f t="shared" ref="C1722:C1725" si="174">MID(G1722,11,2)</f>
        <v>KB</v>
      </c>
      <c r="D1722" t="s">
        <v>3328</v>
      </c>
      <c r="E1722" s="5">
        <v>2</v>
      </c>
      <c r="G1722" s="4" t="s">
        <v>3352</v>
      </c>
      <c r="H1722" s="306" t="s">
        <v>3354</v>
      </c>
      <c r="I1722" s="438" t="s">
        <v>3355</v>
      </c>
      <c r="K1722" t="s">
        <v>1434</v>
      </c>
      <c r="L1722" t="s">
        <v>669</v>
      </c>
      <c r="M1722"/>
    </row>
    <row r="1723" spans="1:14">
      <c r="A1723" s="5">
        <v>1722</v>
      </c>
      <c r="B1723" t="str">
        <f t="shared" si="173"/>
        <v>TO</v>
      </c>
      <c r="C1723" t="str">
        <f t="shared" si="174"/>
        <v>KB</v>
      </c>
      <c r="D1723" t="s">
        <v>3328</v>
      </c>
      <c r="E1723" s="5">
        <v>2</v>
      </c>
      <c r="G1723" s="4" t="s">
        <v>3352</v>
      </c>
      <c r="H1723" s="306" t="s">
        <v>2925</v>
      </c>
      <c r="I1723" s="438" t="s">
        <v>2926</v>
      </c>
      <c r="K1723" t="s">
        <v>659</v>
      </c>
      <c r="L1723" t="s">
        <v>669</v>
      </c>
      <c r="M1723"/>
    </row>
    <row r="1724" spans="1:14">
      <c r="A1724" s="5">
        <v>1723</v>
      </c>
      <c r="B1724" t="str">
        <f t="shared" si="173"/>
        <v>TO</v>
      </c>
      <c r="C1724" t="str">
        <f t="shared" si="174"/>
        <v>KB</v>
      </c>
      <c r="D1724" t="s">
        <v>3328</v>
      </c>
      <c r="E1724" s="5">
        <v>2</v>
      </c>
      <c r="G1724" s="4" t="s">
        <v>3352</v>
      </c>
      <c r="H1724" s="306" t="s">
        <v>1237</v>
      </c>
      <c r="I1724" s="438" t="s">
        <v>3356</v>
      </c>
      <c r="K1724" t="s">
        <v>659</v>
      </c>
      <c r="L1724" t="s">
        <v>669</v>
      </c>
      <c r="M1724"/>
    </row>
    <row r="1725" spans="1:14" ht="36">
      <c r="A1725" s="5">
        <v>1724</v>
      </c>
      <c r="B1725" t="str">
        <f t="shared" si="173"/>
        <v>TO</v>
      </c>
      <c r="C1725" t="str">
        <f t="shared" si="174"/>
        <v>KB</v>
      </c>
      <c r="D1725" t="s">
        <v>3328</v>
      </c>
      <c r="E1725" s="5">
        <v>2</v>
      </c>
      <c r="G1725" s="4" t="s">
        <v>3352</v>
      </c>
      <c r="H1725" s="306" t="s">
        <v>3357</v>
      </c>
      <c r="I1725" s="438" t="s">
        <v>3358</v>
      </c>
      <c r="K1725" t="s">
        <v>659</v>
      </c>
      <c r="L1725" t="s">
        <v>669</v>
      </c>
      <c r="M1725"/>
    </row>
    <row r="1726" spans="1:14">
      <c r="A1726" s="5">
        <v>1725</v>
      </c>
      <c r="B1726" t="str">
        <f t="shared" ref="B1726:B1728" si="175">MID(G1726,8,2)</f>
        <v>TO</v>
      </c>
      <c r="C1726" t="str">
        <f t="shared" ref="C1726:C1728" si="176">MID(G1726,11,2)</f>
        <v>KB</v>
      </c>
      <c r="D1726" t="s">
        <v>3328</v>
      </c>
      <c r="E1726" s="5">
        <v>2</v>
      </c>
      <c r="G1726" s="4" t="s">
        <v>3352</v>
      </c>
      <c r="H1726" s="306" t="s">
        <v>1566</v>
      </c>
      <c r="I1726" s="438" t="s">
        <v>3359</v>
      </c>
      <c r="K1726" t="s">
        <v>659</v>
      </c>
      <c r="L1726" t="s">
        <v>669</v>
      </c>
      <c r="M1726"/>
    </row>
    <row r="1727" spans="1:14">
      <c r="A1727" s="5">
        <v>1726</v>
      </c>
      <c r="B1727" t="str">
        <f t="shared" si="175"/>
        <v>TO</v>
      </c>
      <c r="C1727" t="str">
        <f t="shared" si="176"/>
        <v>KB</v>
      </c>
      <c r="D1727" t="s">
        <v>3328</v>
      </c>
      <c r="E1727" s="5">
        <v>2</v>
      </c>
      <c r="G1727" s="4" t="s">
        <v>3360</v>
      </c>
      <c r="H1727" s="306" t="s">
        <v>3361</v>
      </c>
      <c r="I1727" s="438" t="s">
        <v>3362</v>
      </c>
      <c r="K1727" t="s">
        <v>1434</v>
      </c>
      <c r="L1727" t="s">
        <v>669</v>
      </c>
      <c r="M1727" t="s">
        <v>2333</v>
      </c>
      <c r="N1727" t="s">
        <v>3363</v>
      </c>
    </row>
    <row r="1728" spans="1:14">
      <c r="A1728" s="5">
        <v>1727</v>
      </c>
      <c r="B1728" t="str">
        <f t="shared" si="175"/>
        <v>TO</v>
      </c>
      <c r="C1728" t="str">
        <f t="shared" si="176"/>
        <v>KB</v>
      </c>
      <c r="D1728" t="s">
        <v>3328</v>
      </c>
      <c r="E1728" s="5">
        <v>2</v>
      </c>
      <c r="G1728" s="4" t="s">
        <v>3360</v>
      </c>
      <c r="H1728" s="306" t="s">
        <v>3364</v>
      </c>
      <c r="I1728" s="438" t="s">
        <v>3365</v>
      </c>
      <c r="K1728" t="s">
        <v>1434</v>
      </c>
      <c r="L1728" t="s">
        <v>669</v>
      </c>
      <c r="M1728" t="s">
        <v>2333</v>
      </c>
      <c r="N1728" t="s">
        <v>3366</v>
      </c>
    </row>
    <row r="1729" spans="1:15">
      <c r="A1729" s="5">
        <v>1728</v>
      </c>
      <c r="B1729" t="str">
        <f t="shared" si="171"/>
        <v>TO</v>
      </c>
      <c r="C1729" t="str">
        <f t="shared" si="172"/>
        <v>KB</v>
      </c>
      <c r="D1729" t="s">
        <v>3328</v>
      </c>
      <c r="E1729" s="5"/>
      <c r="G1729" s="4" t="s">
        <v>3367</v>
      </c>
      <c r="H1729" s="306" t="s">
        <v>1855</v>
      </c>
      <c r="I1729" s="438"/>
      <c r="K1729" t="s">
        <v>659</v>
      </c>
      <c r="L1729" t="s">
        <v>669</v>
      </c>
      <c r="M1729" t="s">
        <v>2333</v>
      </c>
      <c r="N1729" t="s">
        <v>3368</v>
      </c>
    </row>
    <row r="1730" spans="1:15">
      <c r="A1730" s="5">
        <v>1729</v>
      </c>
      <c r="B1730" t="str">
        <f t="shared" si="171"/>
        <v>TO</v>
      </c>
      <c r="C1730" t="str">
        <f t="shared" si="172"/>
        <v>KB</v>
      </c>
      <c r="D1730" t="s">
        <v>3328</v>
      </c>
      <c r="E1730" s="5"/>
      <c r="G1730" s="4" t="s">
        <v>3367</v>
      </c>
      <c r="H1730" s="306" t="s">
        <v>145</v>
      </c>
      <c r="I1730" s="438"/>
      <c r="K1730" t="s">
        <v>659</v>
      </c>
      <c r="L1730" t="s">
        <v>669</v>
      </c>
      <c r="M1730" t="s">
        <v>2333</v>
      </c>
      <c r="N1730" t="s">
        <v>3369</v>
      </c>
    </row>
    <row r="1731" spans="1:15">
      <c r="A1731" s="5">
        <v>1730</v>
      </c>
      <c r="B1731" t="str">
        <f t="shared" si="171"/>
        <v>TO</v>
      </c>
      <c r="C1731" t="str">
        <f t="shared" si="172"/>
        <v>KB</v>
      </c>
      <c r="D1731" t="s">
        <v>3328</v>
      </c>
      <c r="E1731" s="5"/>
      <c r="G1731" s="4" t="s">
        <v>3367</v>
      </c>
      <c r="H1731" s="306" t="s">
        <v>1429</v>
      </c>
      <c r="I1731" s="438"/>
      <c r="K1731" t="s">
        <v>659</v>
      </c>
      <c r="L1731" t="s">
        <v>669</v>
      </c>
      <c r="M1731" t="s">
        <v>2333</v>
      </c>
      <c r="N1731" t="s">
        <v>3370</v>
      </c>
    </row>
    <row r="1732" spans="1:15" ht="36">
      <c r="A1732" s="5">
        <v>1731</v>
      </c>
      <c r="B1732" t="str">
        <f t="shared" si="171"/>
        <v>TO</v>
      </c>
      <c r="C1732" t="str">
        <f t="shared" si="172"/>
        <v>KB</v>
      </c>
      <c r="D1732" t="s">
        <v>3328</v>
      </c>
      <c r="E1732" s="5"/>
      <c r="G1732" s="4" t="s">
        <v>3367</v>
      </c>
      <c r="H1732" s="306" t="s">
        <v>1151</v>
      </c>
      <c r="I1732" s="438"/>
      <c r="K1732" t="s">
        <v>659</v>
      </c>
      <c r="L1732" t="s">
        <v>669</v>
      </c>
      <c r="M1732" t="s">
        <v>2333</v>
      </c>
      <c r="N1732" t="s">
        <v>3371</v>
      </c>
    </row>
    <row r="1733" spans="1:15">
      <c r="A1733" s="5">
        <v>1732</v>
      </c>
      <c r="B1733" t="str">
        <f t="shared" si="171"/>
        <v>TO</v>
      </c>
      <c r="C1733" t="str">
        <f t="shared" si="172"/>
        <v>KB</v>
      </c>
      <c r="D1733" t="s">
        <v>3328</v>
      </c>
      <c r="E1733" s="5"/>
      <c r="G1733" s="4" t="s">
        <v>3367</v>
      </c>
      <c r="H1733" s="306" t="s">
        <v>3372</v>
      </c>
      <c r="I1733" s="438"/>
      <c r="K1733" t="s">
        <v>1434</v>
      </c>
      <c r="L1733" t="s">
        <v>669</v>
      </c>
      <c r="M1733" t="s">
        <v>2333</v>
      </c>
      <c r="N1733" t="s">
        <v>3373</v>
      </c>
      <c r="O1733" t="s">
        <v>3374</v>
      </c>
    </row>
    <row r="1734" spans="1:15">
      <c r="A1734" s="5">
        <v>1733</v>
      </c>
      <c r="B1734" t="str">
        <f t="shared" ref="B1734" si="177">MID(G1734,8,2)</f>
        <v>TO</v>
      </c>
      <c r="C1734" t="str">
        <f t="shared" ref="C1734" si="178">MID(G1734,11,2)</f>
        <v>KB</v>
      </c>
      <c r="D1734" t="s">
        <v>3328</v>
      </c>
      <c r="E1734" s="5"/>
      <c r="G1734" s="4" t="s">
        <v>3367</v>
      </c>
      <c r="H1734" s="306" t="s">
        <v>1202</v>
      </c>
      <c r="I1734" s="438"/>
      <c r="K1734" t="s">
        <v>659</v>
      </c>
      <c r="L1734" t="s">
        <v>669</v>
      </c>
      <c r="M1734" t="s">
        <v>2333</v>
      </c>
      <c r="N1734" t="s">
        <v>3375</v>
      </c>
    </row>
    <row r="1735" spans="1:15">
      <c r="A1735" s="5">
        <v>1734</v>
      </c>
      <c r="B1735" t="str">
        <f>MID(G1735,8,2)</f>
        <v>TO</v>
      </c>
      <c r="C1735" t="str">
        <f>MID(G1735,11,2)</f>
        <v>Ap</v>
      </c>
      <c r="D1735" t="s">
        <v>3328</v>
      </c>
      <c r="E1735" s="5"/>
      <c r="G1735" s="4" t="s">
        <v>3376</v>
      </c>
      <c r="H1735" s="306" t="s">
        <v>3377</v>
      </c>
      <c r="K1735" t="s">
        <v>2841</v>
      </c>
      <c r="L1735" t="s">
        <v>669</v>
      </c>
      <c r="M1735" t="s">
        <v>1424</v>
      </c>
    </row>
    <row r="1736" spans="1:15">
      <c r="A1736" s="5">
        <v>1735</v>
      </c>
      <c r="B1736" t="str">
        <f>MID(G1736,8,2)</f>
        <v>TO</v>
      </c>
      <c r="C1736" t="str">
        <f>MID(G1736,11,2)</f>
        <v>Ap</v>
      </c>
      <c r="D1736" t="s">
        <v>3328</v>
      </c>
      <c r="E1736" s="5"/>
      <c r="G1736" s="4" t="s">
        <v>3376</v>
      </c>
      <c r="H1736" s="306" t="s">
        <v>3378</v>
      </c>
      <c r="K1736" t="s">
        <v>2841</v>
      </c>
      <c r="L1736" t="s">
        <v>669</v>
      </c>
      <c r="M1736" t="s">
        <v>1424</v>
      </c>
    </row>
    <row r="1737" spans="1:15">
      <c r="A1737" s="5">
        <v>1736</v>
      </c>
      <c r="B1737" t="str">
        <f t="shared" si="171"/>
        <v>TO</v>
      </c>
      <c r="C1737" t="str">
        <f t="shared" si="172"/>
        <v>We</v>
      </c>
      <c r="D1737" t="s">
        <v>3328</v>
      </c>
      <c r="E1737" s="5"/>
      <c r="G1737" s="4" t="s">
        <v>3351</v>
      </c>
      <c r="H1737" s="306" t="s">
        <v>485</v>
      </c>
      <c r="I1737" s="438"/>
      <c r="L1737" t="s">
        <v>669</v>
      </c>
      <c r="M1737" t="s">
        <v>1424</v>
      </c>
    </row>
    <row r="1738" spans="1:15">
      <c r="A1738" s="5">
        <v>1737</v>
      </c>
      <c r="B1738" t="str">
        <f t="shared" ref="B1738" si="179">MID(G1738,8,2)</f>
        <v>TO</v>
      </c>
      <c r="C1738" t="str">
        <f t="shared" ref="C1738" si="180">MID(G1738,11,2)</f>
        <v>We</v>
      </c>
      <c r="D1738" t="s">
        <v>3328</v>
      </c>
      <c r="E1738" s="5"/>
      <c r="G1738" s="4" t="s">
        <v>3351</v>
      </c>
      <c r="H1738" s="306" t="s">
        <v>1202</v>
      </c>
      <c r="I1738" s="438"/>
      <c r="L1738" t="s">
        <v>669</v>
      </c>
      <c r="M1738" t="s">
        <v>1424</v>
      </c>
    </row>
    <row r="1739" spans="1:15">
      <c r="A1739" s="5">
        <v>1738</v>
      </c>
      <c r="B1739" t="str">
        <f t="shared" ref="B1739" si="181">MID(G1739,8,2)</f>
        <v>TO</v>
      </c>
      <c r="C1739" t="str">
        <f t="shared" ref="C1739" si="182">MID(G1739,11,2)</f>
        <v>KB</v>
      </c>
      <c r="D1739" t="s">
        <v>3379</v>
      </c>
      <c r="E1739" s="5">
        <v>1</v>
      </c>
      <c r="G1739" s="4" t="s">
        <v>3380</v>
      </c>
      <c r="H1739" s="306" t="s">
        <v>493</v>
      </c>
      <c r="I1739" s="438"/>
      <c r="K1739" t="s">
        <v>1434</v>
      </c>
      <c r="L1739" t="s">
        <v>669</v>
      </c>
      <c r="M1739" t="s">
        <v>2333</v>
      </c>
    </row>
    <row r="1740" spans="1:15" ht="36">
      <c r="A1740" s="5">
        <v>1739</v>
      </c>
      <c r="B1740" t="str">
        <f t="shared" ref="B1740:B1741" si="183">MID(G1740,8,2)</f>
        <v>TO</v>
      </c>
      <c r="C1740" t="str">
        <f t="shared" ref="C1740:C1741" si="184">MID(G1740,11,2)</f>
        <v>KB</v>
      </c>
      <c r="D1740" t="s">
        <v>3328</v>
      </c>
      <c r="E1740" s="5">
        <v>2</v>
      </c>
      <c r="G1740" s="4" t="s">
        <v>3381</v>
      </c>
      <c r="H1740" s="305" t="s">
        <v>456</v>
      </c>
      <c r="I1740" s="432" t="s">
        <v>2962</v>
      </c>
      <c r="K1740" t="s">
        <v>659</v>
      </c>
      <c r="L1740" t="s">
        <v>669</v>
      </c>
      <c r="M1740" t="s">
        <v>2333</v>
      </c>
      <c r="N1740" t="s">
        <v>3382</v>
      </c>
    </row>
    <row r="1741" spans="1:15">
      <c r="A1741" s="5">
        <v>1740</v>
      </c>
      <c r="B1741" t="str">
        <f t="shared" si="183"/>
        <v>TO</v>
      </c>
      <c r="C1741" t="str">
        <f t="shared" si="184"/>
        <v>KB</v>
      </c>
      <c r="D1741" t="s">
        <v>3328</v>
      </c>
      <c r="E1741" s="5">
        <v>2</v>
      </c>
      <c r="G1741" s="4" t="s">
        <v>3381</v>
      </c>
      <c r="H1741" s="305" t="s">
        <v>3269</v>
      </c>
      <c r="I1741" s="432" t="s">
        <v>3270</v>
      </c>
      <c r="K1741" t="s">
        <v>659</v>
      </c>
      <c r="L1741" t="s">
        <v>669</v>
      </c>
      <c r="M1741" t="s">
        <v>2333</v>
      </c>
      <c r="N1741" t="s">
        <v>3382</v>
      </c>
    </row>
    <row r="1742" spans="1:15">
      <c r="A1742" s="5">
        <v>1741</v>
      </c>
      <c r="B1742" t="str">
        <f t="shared" ref="B1742:B1837" si="185">MID(G1742,8,2)</f>
        <v>TO</v>
      </c>
      <c r="C1742" t="str">
        <f t="shared" ref="C1742:C1837" si="186">MID(G1742,11,2)</f>
        <v>KB</v>
      </c>
      <c r="D1742" t="s">
        <v>3328</v>
      </c>
      <c r="E1742" s="5">
        <v>3</v>
      </c>
      <c r="G1742" s="4" t="s">
        <v>3383</v>
      </c>
      <c r="H1742" s="306" t="s">
        <v>3384</v>
      </c>
      <c r="I1742" s="432" t="s">
        <v>2107</v>
      </c>
      <c r="K1742" t="s">
        <v>659</v>
      </c>
      <c r="L1742" t="s">
        <v>669</v>
      </c>
      <c r="M1742" t="s">
        <v>2333</v>
      </c>
      <c r="O1742" s="4"/>
    </row>
    <row r="1743" spans="1:15">
      <c r="A1743" s="5">
        <v>1742</v>
      </c>
      <c r="B1743" t="str">
        <f t="shared" si="185"/>
        <v>TO</v>
      </c>
      <c r="C1743" t="str">
        <f t="shared" si="186"/>
        <v>KB</v>
      </c>
      <c r="D1743" t="s">
        <v>3328</v>
      </c>
      <c r="E1743" s="5">
        <v>3</v>
      </c>
      <c r="G1743" s="4" t="s">
        <v>3385</v>
      </c>
      <c r="H1743" s="306" t="s">
        <v>2394</v>
      </c>
      <c r="I1743" s="432" t="s">
        <v>2823</v>
      </c>
      <c r="K1743" t="s">
        <v>659</v>
      </c>
      <c r="L1743" t="s">
        <v>669</v>
      </c>
      <c r="M1743" t="s">
        <v>2333</v>
      </c>
      <c r="O1743" s="4" t="s">
        <v>2390</v>
      </c>
    </row>
    <row r="1744" spans="1:15">
      <c r="A1744" s="5">
        <v>1743</v>
      </c>
      <c r="B1744" t="str">
        <f t="shared" si="185"/>
        <v>TO</v>
      </c>
      <c r="C1744" t="str">
        <f t="shared" si="186"/>
        <v>KB</v>
      </c>
      <c r="D1744" t="s">
        <v>3328</v>
      </c>
      <c r="E1744" s="5">
        <v>3</v>
      </c>
      <c r="G1744" s="4" t="s">
        <v>3385</v>
      </c>
      <c r="H1744" s="306" t="s">
        <v>2815</v>
      </c>
      <c r="I1744" s="438" t="s">
        <v>2816</v>
      </c>
      <c r="K1744" t="s">
        <v>659</v>
      </c>
      <c r="L1744" t="s">
        <v>669</v>
      </c>
      <c r="M1744" t="s">
        <v>2333</v>
      </c>
      <c r="N1744" t="s">
        <v>2975</v>
      </c>
      <c r="O1744" s="4"/>
    </row>
    <row r="1745" spans="1:15">
      <c r="A1745" s="5">
        <v>1744</v>
      </c>
      <c r="B1745" t="str">
        <f t="shared" si="185"/>
        <v>TO</v>
      </c>
      <c r="C1745" t="str">
        <f t="shared" si="186"/>
        <v>KB</v>
      </c>
      <c r="D1745" t="s">
        <v>3328</v>
      </c>
      <c r="E1745" s="5">
        <v>3</v>
      </c>
      <c r="G1745" s="4" t="s">
        <v>3385</v>
      </c>
      <c r="H1745" s="306" t="s">
        <v>2817</v>
      </c>
      <c r="I1745" s="438" t="s">
        <v>2818</v>
      </c>
      <c r="K1745" t="s">
        <v>659</v>
      </c>
      <c r="L1745" t="s">
        <v>669</v>
      </c>
      <c r="M1745" t="s">
        <v>2333</v>
      </c>
      <c r="N1745" t="s">
        <v>2975</v>
      </c>
      <c r="O1745" s="4"/>
    </row>
    <row r="1746" spans="1:15">
      <c r="A1746" s="5">
        <v>1745</v>
      </c>
      <c r="B1746" t="str">
        <f t="shared" si="185"/>
        <v>TO</v>
      </c>
      <c r="C1746" t="str">
        <f t="shared" si="186"/>
        <v>KB</v>
      </c>
      <c r="D1746" t="s">
        <v>3328</v>
      </c>
      <c r="E1746" s="5">
        <v>3</v>
      </c>
      <c r="G1746" s="4" t="s">
        <v>3385</v>
      </c>
      <c r="H1746" s="306" t="s">
        <v>2819</v>
      </c>
      <c r="I1746" s="438" t="s">
        <v>2820</v>
      </c>
      <c r="K1746" t="s">
        <v>659</v>
      </c>
      <c r="L1746" t="s">
        <v>669</v>
      </c>
      <c r="M1746" t="s">
        <v>2333</v>
      </c>
      <c r="N1746" t="s">
        <v>2975</v>
      </c>
      <c r="O1746" s="4"/>
    </row>
    <row r="1747" spans="1:15">
      <c r="A1747" s="5">
        <v>1746</v>
      </c>
      <c r="B1747" t="str">
        <f t="shared" si="185"/>
        <v>TO</v>
      </c>
      <c r="C1747" t="str">
        <f t="shared" si="186"/>
        <v>KB</v>
      </c>
      <c r="D1747" t="s">
        <v>3328</v>
      </c>
      <c r="E1747" s="5">
        <v>3</v>
      </c>
      <c r="G1747" s="4" t="s">
        <v>3386</v>
      </c>
      <c r="H1747" s="306" t="s">
        <v>1552</v>
      </c>
      <c r="I1747" s="432" t="s">
        <v>3387</v>
      </c>
      <c r="K1747" t="s">
        <v>659</v>
      </c>
      <c r="L1747" t="s">
        <v>669</v>
      </c>
      <c r="M1747" t="s">
        <v>2333</v>
      </c>
      <c r="O1747" s="4"/>
    </row>
    <row r="1748" spans="1:15">
      <c r="A1748" s="5">
        <v>1747</v>
      </c>
      <c r="B1748" t="str">
        <f t="shared" ref="B1748:B1753" si="187">MID(G1748,8,2)</f>
        <v>TO</v>
      </c>
      <c r="C1748" t="str">
        <f t="shared" ref="C1748:C1753" si="188">MID(G1748,11,2)</f>
        <v>KB</v>
      </c>
      <c r="D1748" t="s">
        <v>3328</v>
      </c>
      <c r="E1748" s="5">
        <v>3</v>
      </c>
      <c r="G1748" s="4" t="s">
        <v>3386</v>
      </c>
      <c r="H1748" s="306" t="s">
        <v>3388</v>
      </c>
      <c r="I1748" s="432" t="s">
        <v>3389</v>
      </c>
      <c r="K1748" t="s">
        <v>659</v>
      </c>
      <c r="L1748" t="s">
        <v>669</v>
      </c>
      <c r="M1748" t="s">
        <v>2333</v>
      </c>
      <c r="O1748" s="4"/>
    </row>
    <row r="1749" spans="1:15">
      <c r="A1749" s="5">
        <v>1748</v>
      </c>
      <c r="B1749" t="str">
        <f t="shared" si="187"/>
        <v>TO</v>
      </c>
      <c r="C1749" t="str">
        <f t="shared" si="188"/>
        <v>KB</v>
      </c>
      <c r="D1749" t="s">
        <v>3328</v>
      </c>
      <c r="E1749" s="5">
        <v>3</v>
      </c>
      <c r="G1749" s="4" t="s">
        <v>3386</v>
      </c>
      <c r="H1749" s="306" t="s">
        <v>3390</v>
      </c>
      <c r="I1749" s="432" t="s">
        <v>3391</v>
      </c>
      <c r="K1749" t="s">
        <v>659</v>
      </c>
      <c r="L1749" t="s">
        <v>669</v>
      </c>
      <c r="M1749" t="s">
        <v>2333</v>
      </c>
      <c r="O1749" s="4"/>
    </row>
    <row r="1750" spans="1:15">
      <c r="A1750" s="5">
        <v>1749</v>
      </c>
      <c r="B1750" t="str">
        <f t="shared" si="187"/>
        <v>TO</v>
      </c>
      <c r="C1750" t="str">
        <f t="shared" si="188"/>
        <v>KB</v>
      </c>
      <c r="D1750" t="s">
        <v>3328</v>
      </c>
      <c r="E1750" s="5">
        <v>3</v>
      </c>
      <c r="G1750" s="4" t="s">
        <v>3386</v>
      </c>
      <c r="H1750" s="306" t="s">
        <v>3392</v>
      </c>
      <c r="I1750" s="432" t="s">
        <v>3393</v>
      </c>
      <c r="K1750" t="s">
        <v>1434</v>
      </c>
      <c r="L1750" t="s">
        <v>669</v>
      </c>
      <c r="M1750" t="s">
        <v>2333</v>
      </c>
      <c r="O1750" s="4"/>
    </row>
    <row r="1751" spans="1:15">
      <c r="A1751" s="5">
        <v>1750</v>
      </c>
      <c r="B1751" t="str">
        <f t="shared" si="187"/>
        <v>TO</v>
      </c>
      <c r="C1751" t="str">
        <f t="shared" si="188"/>
        <v>KB</v>
      </c>
      <c r="D1751" t="s">
        <v>3328</v>
      </c>
      <c r="E1751" s="5">
        <v>3</v>
      </c>
      <c r="G1751" s="4" t="s">
        <v>3386</v>
      </c>
      <c r="H1751" s="306" t="s">
        <v>3394</v>
      </c>
      <c r="I1751" s="432" t="s">
        <v>3395</v>
      </c>
      <c r="K1751" t="s">
        <v>1434</v>
      </c>
      <c r="L1751" t="s">
        <v>669</v>
      </c>
      <c r="M1751" t="s">
        <v>2333</v>
      </c>
      <c r="O1751" s="4"/>
    </row>
    <row r="1752" spans="1:15">
      <c r="A1752" s="5">
        <v>1751</v>
      </c>
      <c r="B1752" t="str">
        <f t="shared" si="187"/>
        <v>TO</v>
      </c>
      <c r="C1752" t="str">
        <f t="shared" si="188"/>
        <v>KB</v>
      </c>
      <c r="D1752" t="s">
        <v>3328</v>
      </c>
      <c r="E1752" s="5">
        <v>3</v>
      </c>
      <c r="G1752" s="4" t="s">
        <v>3386</v>
      </c>
      <c r="H1752" s="306" t="s">
        <v>2837</v>
      </c>
      <c r="I1752" s="432" t="s">
        <v>2838</v>
      </c>
      <c r="K1752" t="s">
        <v>659</v>
      </c>
      <c r="L1752" t="s">
        <v>669</v>
      </c>
      <c r="M1752" t="s">
        <v>2333</v>
      </c>
      <c r="O1752" s="4"/>
    </row>
    <row r="1753" spans="1:15" ht="21.6">
      <c r="A1753" s="5">
        <v>1752</v>
      </c>
      <c r="B1753" t="str">
        <f t="shared" si="187"/>
        <v>TO</v>
      </c>
      <c r="C1753" t="str">
        <f t="shared" si="188"/>
        <v>KB</v>
      </c>
      <c r="D1753" t="s">
        <v>3328</v>
      </c>
      <c r="E1753" s="5">
        <v>3</v>
      </c>
      <c r="G1753" s="4" t="s">
        <v>3386</v>
      </c>
      <c r="H1753" s="313" t="s">
        <v>1416</v>
      </c>
      <c r="I1753" s="432" t="s">
        <v>3396</v>
      </c>
      <c r="K1753" t="s">
        <v>659</v>
      </c>
      <c r="L1753" t="s">
        <v>669</v>
      </c>
      <c r="M1753" t="s">
        <v>2333</v>
      </c>
      <c r="O1753" s="4"/>
    </row>
    <row r="1754" spans="1:15" ht="43.2">
      <c r="A1754" s="5">
        <v>1753</v>
      </c>
      <c r="B1754" t="str">
        <f t="shared" ref="B1754" si="189">MID(G1754,8,2)</f>
        <v>TO</v>
      </c>
      <c r="C1754" t="str">
        <f t="shared" ref="C1754" si="190">MID(G1754,11,2)</f>
        <v>KB</v>
      </c>
      <c r="D1754" t="s">
        <v>3328</v>
      </c>
      <c r="E1754" s="5">
        <v>3</v>
      </c>
      <c r="G1754" s="4" t="s">
        <v>3397</v>
      </c>
      <c r="H1754" s="313" t="s">
        <v>3398</v>
      </c>
      <c r="I1754" s="432" t="s">
        <v>3399</v>
      </c>
      <c r="K1754" t="s">
        <v>1434</v>
      </c>
      <c r="L1754" t="s">
        <v>669</v>
      </c>
      <c r="M1754" t="s">
        <v>2333</v>
      </c>
      <c r="O1754" s="4"/>
    </row>
    <row r="1755" spans="1:15" ht="21.6">
      <c r="A1755" s="5">
        <v>1754</v>
      </c>
      <c r="B1755" t="str">
        <f t="shared" ref="B1755:B1759" si="191">MID(G1755,8,2)</f>
        <v>TO</v>
      </c>
      <c r="C1755" t="str">
        <f t="shared" ref="C1755:C1759" si="192">MID(G1755,11,2)</f>
        <v>KB</v>
      </c>
      <c r="D1755" t="s">
        <v>3328</v>
      </c>
      <c r="E1755" s="5">
        <v>3</v>
      </c>
      <c r="G1755" s="4" t="s">
        <v>3397</v>
      </c>
      <c r="H1755" s="313" t="s">
        <v>3400</v>
      </c>
      <c r="I1755" s="432" t="s">
        <v>3401</v>
      </c>
      <c r="K1755" t="s">
        <v>1434</v>
      </c>
      <c r="L1755" t="s">
        <v>669</v>
      </c>
      <c r="M1755" t="s">
        <v>2333</v>
      </c>
      <c r="O1755" s="4"/>
    </row>
    <row r="1756" spans="1:15" ht="21.6">
      <c r="A1756" s="5">
        <v>1755</v>
      </c>
      <c r="B1756" t="str">
        <f t="shared" si="191"/>
        <v>TO</v>
      </c>
      <c r="C1756" t="str">
        <f t="shared" si="192"/>
        <v>KB</v>
      </c>
      <c r="D1756" t="s">
        <v>3328</v>
      </c>
      <c r="E1756" s="5">
        <v>3</v>
      </c>
      <c r="G1756" s="4" t="s">
        <v>3397</v>
      </c>
      <c r="H1756" s="313" t="s">
        <v>3402</v>
      </c>
      <c r="I1756" s="432" t="s">
        <v>3403</v>
      </c>
      <c r="K1756" t="s">
        <v>659</v>
      </c>
      <c r="L1756" t="s">
        <v>669</v>
      </c>
      <c r="M1756" t="s">
        <v>2333</v>
      </c>
      <c r="O1756" s="4"/>
    </row>
    <row r="1757" spans="1:15" ht="21.6">
      <c r="A1757" s="5">
        <v>1756</v>
      </c>
      <c r="B1757" t="str">
        <f t="shared" si="191"/>
        <v>TO</v>
      </c>
      <c r="C1757" t="str">
        <f t="shared" si="192"/>
        <v>KB</v>
      </c>
      <c r="D1757" t="s">
        <v>3328</v>
      </c>
      <c r="E1757" s="5">
        <v>3</v>
      </c>
      <c r="G1757" s="4" t="s">
        <v>3397</v>
      </c>
      <c r="H1757" s="313" t="s">
        <v>3404</v>
      </c>
      <c r="I1757" s="432" t="s">
        <v>3405</v>
      </c>
      <c r="K1757" t="s">
        <v>659</v>
      </c>
      <c r="L1757" t="s">
        <v>669</v>
      </c>
      <c r="M1757" t="s">
        <v>2333</v>
      </c>
      <c r="O1757" s="4"/>
    </row>
    <row r="1758" spans="1:15" ht="43.2">
      <c r="A1758" s="5">
        <v>1757</v>
      </c>
      <c r="B1758" t="str">
        <f t="shared" si="191"/>
        <v>TO</v>
      </c>
      <c r="C1758" t="str">
        <f t="shared" si="192"/>
        <v>KB</v>
      </c>
      <c r="D1758" t="s">
        <v>3328</v>
      </c>
      <c r="E1758" s="5">
        <v>3</v>
      </c>
      <c r="G1758" s="4" t="s">
        <v>3397</v>
      </c>
      <c r="H1758" s="313" t="s">
        <v>3406</v>
      </c>
      <c r="I1758" s="432" t="s">
        <v>3407</v>
      </c>
      <c r="K1758" t="s">
        <v>659</v>
      </c>
      <c r="L1758" t="s">
        <v>669</v>
      </c>
      <c r="M1758" t="s">
        <v>2333</v>
      </c>
      <c r="O1758" s="4"/>
    </row>
    <row r="1759" spans="1:15" ht="21.6">
      <c r="A1759" s="5">
        <v>1758</v>
      </c>
      <c r="B1759" t="str">
        <f t="shared" si="191"/>
        <v>TO</v>
      </c>
      <c r="C1759" t="str">
        <f t="shared" si="192"/>
        <v>KB</v>
      </c>
      <c r="D1759" t="s">
        <v>3328</v>
      </c>
      <c r="E1759" s="5">
        <v>3</v>
      </c>
      <c r="G1759" s="4" t="s">
        <v>3397</v>
      </c>
      <c r="H1759" s="313" t="s">
        <v>3408</v>
      </c>
      <c r="I1759" s="432" t="s">
        <v>3409</v>
      </c>
      <c r="K1759" t="s">
        <v>659</v>
      </c>
      <c r="L1759" t="s">
        <v>669</v>
      </c>
      <c r="M1759" t="s">
        <v>2333</v>
      </c>
      <c r="N1759" t="s">
        <v>3410</v>
      </c>
      <c r="O1759" s="4"/>
    </row>
    <row r="1760" spans="1:15">
      <c r="A1760" s="5">
        <v>1759</v>
      </c>
      <c r="B1760" t="str">
        <f t="shared" ref="B1760:B1765" si="193">MID(G1760,8,2)</f>
        <v>TO</v>
      </c>
      <c r="C1760" t="str">
        <f t="shared" ref="C1760:C1765" si="194">MID(G1760,11,2)</f>
        <v>KB</v>
      </c>
      <c r="D1760" t="s">
        <v>3328</v>
      </c>
      <c r="E1760" s="5">
        <v>3</v>
      </c>
      <c r="G1760" s="4" t="s">
        <v>3411</v>
      </c>
      <c r="H1760" s="306" t="s">
        <v>1540</v>
      </c>
      <c r="I1760" s="432" t="s">
        <v>3412</v>
      </c>
      <c r="K1760" t="s">
        <v>1434</v>
      </c>
      <c r="L1760" t="s">
        <v>669</v>
      </c>
      <c r="M1760" t="s">
        <v>2102</v>
      </c>
      <c r="N1760" t="s">
        <v>3413</v>
      </c>
    </row>
    <row r="1761" spans="1:14">
      <c r="A1761" s="5">
        <v>1760</v>
      </c>
      <c r="B1761" t="str">
        <f t="shared" si="193"/>
        <v>TO</v>
      </c>
      <c r="C1761" t="str">
        <f t="shared" si="194"/>
        <v>KB</v>
      </c>
      <c r="D1761" t="s">
        <v>3328</v>
      </c>
      <c r="E1761" s="5">
        <v>3</v>
      </c>
      <c r="G1761" s="4" t="s">
        <v>3411</v>
      </c>
      <c r="H1761" s="306" t="s">
        <v>3414</v>
      </c>
      <c r="I1761" s="432" t="s">
        <v>3415</v>
      </c>
      <c r="K1761" t="s">
        <v>1434</v>
      </c>
      <c r="L1761" t="s">
        <v>669</v>
      </c>
      <c r="M1761" t="s">
        <v>2333</v>
      </c>
      <c r="N1761" t="s">
        <v>3416</v>
      </c>
    </row>
    <row r="1762" spans="1:14">
      <c r="A1762" s="5">
        <v>1761</v>
      </c>
      <c r="B1762" t="str">
        <f t="shared" si="193"/>
        <v>TO</v>
      </c>
      <c r="C1762" t="str">
        <f t="shared" si="194"/>
        <v>KB</v>
      </c>
      <c r="D1762" t="s">
        <v>3328</v>
      </c>
      <c r="E1762" s="5">
        <v>3</v>
      </c>
      <c r="G1762" s="4" t="s">
        <v>3411</v>
      </c>
      <c r="H1762" s="306" t="s">
        <v>3417</v>
      </c>
      <c r="I1762" s="432" t="s">
        <v>3418</v>
      </c>
      <c r="K1762" t="s">
        <v>1434</v>
      </c>
      <c r="L1762" t="s">
        <v>669</v>
      </c>
      <c r="M1762" t="s">
        <v>2333</v>
      </c>
    </row>
    <row r="1763" spans="1:14">
      <c r="A1763" s="5">
        <v>1762</v>
      </c>
      <c r="B1763" t="str">
        <f t="shared" si="193"/>
        <v>TO</v>
      </c>
      <c r="C1763" t="str">
        <f t="shared" si="194"/>
        <v>KB</v>
      </c>
      <c r="D1763" t="s">
        <v>3328</v>
      </c>
      <c r="E1763" s="5">
        <v>3</v>
      </c>
      <c r="G1763" s="4" t="s">
        <v>3411</v>
      </c>
      <c r="H1763" s="306" t="s">
        <v>1971</v>
      </c>
      <c r="I1763" s="432" t="s">
        <v>3419</v>
      </c>
      <c r="K1763" t="s">
        <v>1434</v>
      </c>
      <c r="L1763" t="s">
        <v>669</v>
      </c>
      <c r="M1763" t="s">
        <v>2333</v>
      </c>
    </row>
    <row r="1764" spans="1:14">
      <c r="A1764" s="5">
        <v>1763</v>
      </c>
      <c r="B1764" t="str">
        <f t="shared" si="193"/>
        <v>TO</v>
      </c>
      <c r="C1764" t="str">
        <f t="shared" si="194"/>
        <v>KB</v>
      </c>
      <c r="D1764" t="s">
        <v>3328</v>
      </c>
      <c r="E1764" s="5">
        <v>3</v>
      </c>
      <c r="G1764" s="4" t="s">
        <v>3411</v>
      </c>
      <c r="H1764" s="306" t="s">
        <v>3420</v>
      </c>
      <c r="I1764" s="432" t="s">
        <v>3421</v>
      </c>
      <c r="K1764" t="s">
        <v>1434</v>
      </c>
      <c r="L1764" t="s">
        <v>669</v>
      </c>
      <c r="M1764" t="s">
        <v>2333</v>
      </c>
    </row>
    <row r="1765" spans="1:14">
      <c r="A1765" s="5">
        <v>1764</v>
      </c>
      <c r="B1765" t="str">
        <f t="shared" si="193"/>
        <v>TO</v>
      </c>
      <c r="C1765" t="str">
        <f t="shared" si="194"/>
        <v>KB</v>
      </c>
      <c r="D1765" t="s">
        <v>3328</v>
      </c>
      <c r="E1765" s="5">
        <v>3</v>
      </c>
      <c r="G1765" s="4" t="s">
        <v>3411</v>
      </c>
      <c r="H1765" s="306" t="s">
        <v>5435</v>
      </c>
      <c r="I1765" s="432" t="s">
        <v>3423</v>
      </c>
      <c r="K1765" t="s">
        <v>1434</v>
      </c>
      <c r="L1765" t="s">
        <v>669</v>
      </c>
      <c r="M1765" t="s">
        <v>2102</v>
      </c>
    </row>
    <row r="1766" spans="1:14">
      <c r="A1766" s="5">
        <v>1765</v>
      </c>
      <c r="B1766" t="str">
        <f t="shared" ref="B1766:B1771" si="195">MID(G1766,8,2)</f>
        <v>TO</v>
      </c>
      <c r="C1766" t="str">
        <f t="shared" ref="C1766:C1771" si="196">MID(G1766,11,2)</f>
        <v>KB</v>
      </c>
      <c r="D1766" t="s">
        <v>3328</v>
      </c>
      <c r="E1766" s="5">
        <v>3</v>
      </c>
      <c r="G1766" s="4" t="s">
        <v>3424</v>
      </c>
      <c r="H1766" s="306" t="s">
        <v>3425</v>
      </c>
      <c r="I1766" s="432" t="s">
        <v>3426</v>
      </c>
      <c r="K1766" t="s">
        <v>1434</v>
      </c>
      <c r="L1766" t="s">
        <v>669</v>
      </c>
      <c r="M1766" t="s">
        <v>2333</v>
      </c>
    </row>
    <row r="1767" spans="1:14">
      <c r="A1767" s="5">
        <v>1766</v>
      </c>
      <c r="B1767" t="str">
        <f t="shared" si="195"/>
        <v>TO</v>
      </c>
      <c r="C1767" t="str">
        <f t="shared" si="196"/>
        <v>KB</v>
      </c>
      <c r="D1767" t="s">
        <v>3328</v>
      </c>
      <c r="E1767" s="5">
        <v>3</v>
      </c>
      <c r="G1767" s="4" t="s">
        <v>3424</v>
      </c>
      <c r="H1767" s="306" t="s">
        <v>3427</v>
      </c>
      <c r="I1767" s="432" t="s">
        <v>3428</v>
      </c>
      <c r="K1767" t="s">
        <v>1434</v>
      </c>
      <c r="L1767" t="s">
        <v>669</v>
      </c>
      <c r="M1767" t="s">
        <v>2333</v>
      </c>
    </row>
    <row r="1768" spans="1:14">
      <c r="A1768" s="5">
        <v>1767</v>
      </c>
      <c r="B1768" t="str">
        <f t="shared" si="195"/>
        <v>TO</v>
      </c>
      <c r="C1768" t="str">
        <f t="shared" si="196"/>
        <v>KB</v>
      </c>
      <c r="D1768" t="s">
        <v>3429</v>
      </c>
      <c r="E1768" s="5">
        <v>3</v>
      </c>
      <c r="G1768" s="4" t="s">
        <v>3424</v>
      </c>
      <c r="H1768" s="306" t="s">
        <v>3430</v>
      </c>
      <c r="I1768" s="432" t="s">
        <v>3431</v>
      </c>
      <c r="K1768" t="s">
        <v>1434</v>
      </c>
      <c r="L1768" t="s">
        <v>669</v>
      </c>
      <c r="M1768" t="s">
        <v>2333</v>
      </c>
    </row>
    <row r="1769" spans="1:14">
      <c r="A1769" s="5">
        <v>1768</v>
      </c>
      <c r="B1769" t="str">
        <f t="shared" si="195"/>
        <v>TO</v>
      </c>
      <c r="C1769" t="str">
        <f t="shared" si="196"/>
        <v>KB</v>
      </c>
      <c r="D1769" t="s">
        <v>3429</v>
      </c>
      <c r="E1769" s="5">
        <v>3</v>
      </c>
      <c r="G1769" s="4" t="s">
        <v>3424</v>
      </c>
      <c r="H1769" s="306" t="s">
        <v>1973</v>
      </c>
      <c r="I1769" s="432" t="s">
        <v>3432</v>
      </c>
      <c r="K1769" t="s">
        <v>1434</v>
      </c>
      <c r="L1769" t="s">
        <v>669</v>
      </c>
      <c r="M1769" t="s">
        <v>2333</v>
      </c>
    </row>
    <row r="1770" spans="1:14">
      <c r="A1770" s="5">
        <v>1769</v>
      </c>
      <c r="B1770" t="str">
        <f t="shared" si="195"/>
        <v>TO</v>
      </c>
      <c r="C1770" t="str">
        <f t="shared" si="196"/>
        <v>KB</v>
      </c>
      <c r="D1770" t="s">
        <v>3429</v>
      </c>
      <c r="E1770" s="5">
        <v>3</v>
      </c>
      <c r="G1770" s="4" t="s">
        <v>3424</v>
      </c>
      <c r="H1770" s="306" t="s">
        <v>3433</v>
      </c>
      <c r="I1770" s="432" t="s">
        <v>3434</v>
      </c>
      <c r="K1770" t="s">
        <v>1434</v>
      </c>
      <c r="L1770" t="s">
        <v>669</v>
      </c>
      <c r="M1770" t="s">
        <v>2333</v>
      </c>
    </row>
    <row r="1771" spans="1:14">
      <c r="A1771" s="5">
        <v>1770</v>
      </c>
      <c r="B1771" t="str">
        <f t="shared" si="195"/>
        <v>TO</v>
      </c>
      <c r="C1771" t="str">
        <f t="shared" si="196"/>
        <v>KB</v>
      </c>
      <c r="D1771" t="s">
        <v>3429</v>
      </c>
      <c r="E1771" s="5">
        <v>3</v>
      </c>
      <c r="G1771" s="4" t="s">
        <v>3424</v>
      </c>
      <c r="H1771" s="306" t="s">
        <v>997</v>
      </c>
      <c r="I1771" s="432" t="s">
        <v>3435</v>
      </c>
      <c r="K1771" t="s">
        <v>1434</v>
      </c>
      <c r="L1771" t="s">
        <v>669</v>
      </c>
      <c r="M1771" t="s">
        <v>2333</v>
      </c>
    </row>
    <row r="1772" spans="1:14">
      <c r="A1772" s="5">
        <v>1771</v>
      </c>
      <c r="B1772" t="str">
        <f t="shared" ref="B1772" si="197">MID(G1772,8,2)</f>
        <v>TO</v>
      </c>
      <c r="C1772" t="str">
        <f t="shared" ref="C1772" si="198">MID(G1772,11,2)</f>
        <v>KB</v>
      </c>
      <c r="D1772" t="s">
        <v>3429</v>
      </c>
      <c r="E1772" s="5">
        <v>3</v>
      </c>
      <c r="G1772" s="4" t="s">
        <v>3436</v>
      </c>
      <c r="H1772" s="306" t="s">
        <v>1548</v>
      </c>
      <c r="I1772" s="432" t="s">
        <v>3437</v>
      </c>
      <c r="K1772" t="s">
        <v>1434</v>
      </c>
      <c r="L1772" t="s">
        <v>669</v>
      </c>
      <c r="M1772" t="s">
        <v>2102</v>
      </c>
    </row>
    <row r="1773" spans="1:14">
      <c r="A1773" s="5">
        <v>1772</v>
      </c>
      <c r="B1773" t="str">
        <f t="shared" ref="B1773:B1777" si="199">MID(G1773,8,2)</f>
        <v>TO</v>
      </c>
      <c r="C1773" t="str">
        <f t="shared" ref="C1773:C1777" si="200">MID(G1773,11,2)</f>
        <v>KB</v>
      </c>
      <c r="D1773" t="s">
        <v>3429</v>
      </c>
      <c r="E1773" s="5">
        <v>3</v>
      </c>
      <c r="G1773" s="4" t="s">
        <v>3436</v>
      </c>
      <c r="H1773" s="306" t="s">
        <v>3438</v>
      </c>
      <c r="I1773" s="432" t="s">
        <v>3439</v>
      </c>
      <c r="K1773" t="s">
        <v>1434</v>
      </c>
      <c r="L1773" t="s">
        <v>669</v>
      </c>
      <c r="M1773" t="s">
        <v>2333</v>
      </c>
    </row>
    <row r="1774" spans="1:14">
      <c r="A1774" s="5">
        <v>1773</v>
      </c>
      <c r="B1774" t="str">
        <f t="shared" si="199"/>
        <v>TO</v>
      </c>
      <c r="C1774" t="str">
        <f t="shared" si="200"/>
        <v>KB</v>
      </c>
      <c r="D1774" t="s">
        <v>3429</v>
      </c>
      <c r="E1774" s="5">
        <v>3</v>
      </c>
      <c r="G1774" s="4" t="s">
        <v>3436</v>
      </c>
      <c r="H1774" s="306" t="s">
        <v>1954</v>
      </c>
      <c r="I1774" s="432" t="s">
        <v>3440</v>
      </c>
      <c r="K1774" t="s">
        <v>1434</v>
      </c>
      <c r="L1774" t="s">
        <v>669</v>
      </c>
      <c r="M1774" t="s">
        <v>2333</v>
      </c>
    </row>
    <row r="1775" spans="1:14">
      <c r="A1775" s="5">
        <v>1774</v>
      </c>
      <c r="B1775" t="str">
        <f t="shared" si="199"/>
        <v>TO</v>
      </c>
      <c r="C1775" t="str">
        <f t="shared" si="200"/>
        <v>KB</v>
      </c>
      <c r="D1775" t="s">
        <v>3429</v>
      </c>
      <c r="E1775" s="5">
        <v>3</v>
      </c>
      <c r="G1775" s="4" t="s">
        <v>3436</v>
      </c>
      <c r="H1775" s="306" t="s">
        <v>3441</v>
      </c>
      <c r="I1775" s="432" t="s">
        <v>3442</v>
      </c>
      <c r="K1775" t="s">
        <v>1434</v>
      </c>
      <c r="L1775" t="s">
        <v>669</v>
      </c>
      <c r="M1775" t="s">
        <v>2333</v>
      </c>
    </row>
    <row r="1776" spans="1:14">
      <c r="A1776" s="5">
        <v>1775</v>
      </c>
      <c r="B1776" t="str">
        <f t="shared" si="199"/>
        <v>TO</v>
      </c>
      <c r="C1776" t="str">
        <f t="shared" si="200"/>
        <v>KB</v>
      </c>
      <c r="D1776" t="s">
        <v>3429</v>
      </c>
      <c r="E1776" s="5">
        <v>3</v>
      </c>
      <c r="G1776" s="4" t="s">
        <v>3436</v>
      </c>
      <c r="H1776" s="306" t="s">
        <v>3443</v>
      </c>
      <c r="I1776" s="432" t="s">
        <v>3444</v>
      </c>
      <c r="K1776" t="s">
        <v>1434</v>
      </c>
      <c r="L1776" t="s">
        <v>669</v>
      </c>
      <c r="M1776" t="s">
        <v>2333</v>
      </c>
    </row>
    <row r="1777" spans="1:15">
      <c r="A1777" s="5">
        <v>1776</v>
      </c>
      <c r="B1777" t="str">
        <f t="shared" si="199"/>
        <v>TO</v>
      </c>
      <c r="C1777" t="str">
        <f t="shared" si="200"/>
        <v>KB</v>
      </c>
      <c r="D1777" t="s">
        <v>3429</v>
      </c>
      <c r="E1777" s="5">
        <v>3</v>
      </c>
      <c r="G1777" s="4" t="s">
        <v>3436</v>
      </c>
      <c r="H1777" s="306" t="s">
        <v>3445</v>
      </c>
      <c r="I1777" s="432" t="s">
        <v>3446</v>
      </c>
      <c r="K1777" t="s">
        <v>1434</v>
      </c>
      <c r="L1777" t="s">
        <v>669</v>
      </c>
      <c r="M1777" t="s">
        <v>2333</v>
      </c>
    </row>
    <row r="1778" spans="1:15">
      <c r="A1778" s="5">
        <v>1777</v>
      </c>
      <c r="B1778" t="str">
        <f>MID(G1778,8,2)</f>
        <v>TO</v>
      </c>
      <c r="C1778" t="str">
        <f>MID(G1778,11,2)</f>
        <v>KB</v>
      </c>
      <c r="D1778" t="s">
        <v>3429</v>
      </c>
      <c r="E1778" s="5">
        <v>3</v>
      </c>
      <c r="G1778" s="4" t="s">
        <v>3447</v>
      </c>
      <c r="H1778" s="306" t="s">
        <v>1948</v>
      </c>
      <c r="I1778" s="432" t="s">
        <v>3448</v>
      </c>
      <c r="K1778" t="s">
        <v>1434</v>
      </c>
      <c r="L1778" t="s">
        <v>669</v>
      </c>
      <c r="M1778" t="s">
        <v>2333</v>
      </c>
    </row>
    <row r="1779" spans="1:15">
      <c r="A1779" s="5">
        <v>1778</v>
      </c>
      <c r="B1779" t="str">
        <f t="shared" ref="B1779:B1782" si="201">MID(G1779,8,2)</f>
        <v>TO</v>
      </c>
      <c r="C1779" t="str">
        <f t="shared" ref="C1779:C1782" si="202">MID(G1779,11,2)</f>
        <v>KB</v>
      </c>
      <c r="D1779" t="s">
        <v>3429</v>
      </c>
      <c r="E1779" s="5">
        <v>3</v>
      </c>
      <c r="G1779" s="4" t="s">
        <v>3447</v>
      </c>
      <c r="H1779" s="306" t="s">
        <v>1950</v>
      </c>
      <c r="I1779" s="432" t="s">
        <v>3449</v>
      </c>
      <c r="K1779" t="s">
        <v>1434</v>
      </c>
      <c r="L1779" t="s">
        <v>669</v>
      </c>
      <c r="M1779" t="s">
        <v>2333</v>
      </c>
    </row>
    <row r="1780" spans="1:15">
      <c r="A1780" s="5">
        <v>1779</v>
      </c>
      <c r="B1780" t="str">
        <f t="shared" si="201"/>
        <v>TO</v>
      </c>
      <c r="C1780" t="str">
        <f t="shared" si="202"/>
        <v>KB</v>
      </c>
      <c r="D1780" t="s">
        <v>3429</v>
      </c>
      <c r="E1780" s="5">
        <v>3</v>
      </c>
      <c r="G1780" s="4" t="s">
        <v>3447</v>
      </c>
      <c r="H1780" s="305" t="s">
        <v>1952</v>
      </c>
      <c r="I1780" s="432" t="s">
        <v>3450</v>
      </c>
      <c r="K1780" t="s">
        <v>1434</v>
      </c>
      <c r="L1780" t="s">
        <v>669</v>
      </c>
      <c r="M1780" t="s">
        <v>2333</v>
      </c>
    </row>
    <row r="1781" spans="1:15">
      <c r="A1781" s="5">
        <v>1780</v>
      </c>
      <c r="B1781" t="str">
        <f t="shared" si="201"/>
        <v>TO</v>
      </c>
      <c r="C1781" t="str">
        <f t="shared" si="202"/>
        <v>KB</v>
      </c>
      <c r="D1781" t="s">
        <v>3429</v>
      </c>
      <c r="E1781" s="5">
        <v>3</v>
      </c>
      <c r="G1781" s="4" t="s">
        <v>3447</v>
      </c>
      <c r="H1781" s="305" t="s">
        <v>1958</v>
      </c>
      <c r="I1781" s="432" t="s">
        <v>3451</v>
      </c>
      <c r="K1781" t="s">
        <v>1434</v>
      </c>
      <c r="L1781" t="s">
        <v>669</v>
      </c>
      <c r="M1781" t="s">
        <v>2333</v>
      </c>
      <c r="O1781" s="4"/>
    </row>
    <row r="1782" spans="1:15">
      <c r="A1782" s="5">
        <v>1781</v>
      </c>
      <c r="B1782" t="str">
        <f t="shared" si="201"/>
        <v>TO</v>
      </c>
      <c r="C1782" t="str">
        <f t="shared" si="202"/>
        <v>KB</v>
      </c>
      <c r="D1782" t="s">
        <v>3429</v>
      </c>
      <c r="E1782" s="5">
        <v>3</v>
      </c>
      <c r="G1782" s="4" t="s">
        <v>3447</v>
      </c>
      <c r="H1782" s="305" t="s">
        <v>1959</v>
      </c>
      <c r="I1782" s="432" t="s">
        <v>3452</v>
      </c>
      <c r="K1782" t="s">
        <v>1434</v>
      </c>
      <c r="L1782" t="s">
        <v>669</v>
      </c>
      <c r="M1782" t="s">
        <v>2333</v>
      </c>
      <c r="O1782" s="4"/>
    </row>
    <row r="1783" spans="1:15" ht="21.6">
      <c r="A1783" s="5">
        <v>1782</v>
      </c>
      <c r="B1783" t="str">
        <f t="shared" ref="B1783:B1788" si="203">MID(G1783,8,2)</f>
        <v>TO</v>
      </c>
      <c r="C1783" t="str">
        <f t="shared" ref="C1783:C1788" si="204">MID(G1783,11,2)</f>
        <v>KB</v>
      </c>
      <c r="D1783" t="s">
        <v>3429</v>
      </c>
      <c r="E1783" s="5">
        <v>3</v>
      </c>
      <c r="G1783" s="4" t="s">
        <v>3453</v>
      </c>
      <c r="H1783" s="313" t="s">
        <v>3454</v>
      </c>
      <c r="I1783" s="432" t="s">
        <v>3455</v>
      </c>
      <c r="K1783" t="s">
        <v>1434</v>
      </c>
      <c r="L1783" t="s">
        <v>669</v>
      </c>
      <c r="M1783" t="s">
        <v>2333</v>
      </c>
      <c r="N1783" t="s">
        <v>3456</v>
      </c>
      <c r="O1783" s="4"/>
    </row>
    <row r="1784" spans="1:15" ht="21.6">
      <c r="A1784" s="5">
        <v>1783</v>
      </c>
      <c r="B1784" t="str">
        <f t="shared" ref="B1784:B1787" si="205">MID(G1784,8,2)</f>
        <v>TO</v>
      </c>
      <c r="C1784" t="str">
        <f t="shared" ref="C1784:C1787" si="206">MID(G1784,11,2)</f>
        <v>KB</v>
      </c>
      <c r="D1784" t="s">
        <v>3429</v>
      </c>
      <c r="E1784" s="5">
        <v>3</v>
      </c>
      <c r="G1784" s="4" t="s">
        <v>3453</v>
      </c>
      <c r="H1784" s="313" t="s">
        <v>3457</v>
      </c>
      <c r="I1784" s="432" t="s">
        <v>3458</v>
      </c>
      <c r="K1784" t="s">
        <v>1434</v>
      </c>
      <c r="L1784" t="s">
        <v>669</v>
      </c>
      <c r="M1784" t="s">
        <v>2333</v>
      </c>
      <c r="O1784" s="4"/>
    </row>
    <row r="1785" spans="1:15" ht="21.6">
      <c r="A1785" s="5">
        <v>1784</v>
      </c>
      <c r="B1785" t="str">
        <f t="shared" si="205"/>
        <v>TO</v>
      </c>
      <c r="C1785" t="str">
        <f t="shared" si="206"/>
        <v>KB</v>
      </c>
      <c r="D1785" t="s">
        <v>3429</v>
      </c>
      <c r="E1785" s="5">
        <v>3</v>
      </c>
      <c r="G1785" s="4" t="s">
        <v>3453</v>
      </c>
      <c r="H1785" s="313" t="s">
        <v>3459</v>
      </c>
      <c r="I1785" s="432" t="s">
        <v>3460</v>
      </c>
      <c r="K1785" t="s">
        <v>1434</v>
      </c>
      <c r="L1785" t="s">
        <v>669</v>
      </c>
      <c r="M1785" t="s">
        <v>2333</v>
      </c>
      <c r="O1785" s="4"/>
    </row>
    <row r="1786" spans="1:15" ht="21.6">
      <c r="A1786" s="5">
        <v>1785</v>
      </c>
      <c r="B1786" t="str">
        <f t="shared" si="205"/>
        <v>TO</v>
      </c>
      <c r="C1786" t="str">
        <f t="shared" si="206"/>
        <v>KB</v>
      </c>
      <c r="D1786" t="s">
        <v>3429</v>
      </c>
      <c r="E1786" s="5">
        <v>3</v>
      </c>
      <c r="G1786" s="4" t="s">
        <v>3453</v>
      </c>
      <c r="H1786" s="313" t="s">
        <v>3461</v>
      </c>
      <c r="I1786" s="432" t="s">
        <v>3462</v>
      </c>
      <c r="K1786" t="s">
        <v>1434</v>
      </c>
      <c r="L1786" t="s">
        <v>669</v>
      </c>
      <c r="M1786" t="s">
        <v>2333</v>
      </c>
      <c r="O1786" s="4"/>
    </row>
    <row r="1787" spans="1:15" ht="21.6">
      <c r="A1787" s="5">
        <v>1786</v>
      </c>
      <c r="B1787" t="str">
        <f t="shared" si="205"/>
        <v>TO</v>
      </c>
      <c r="C1787" t="str">
        <f t="shared" si="206"/>
        <v>KB</v>
      </c>
      <c r="D1787" t="s">
        <v>3328</v>
      </c>
      <c r="E1787" s="5">
        <v>3</v>
      </c>
      <c r="G1787" s="4" t="s">
        <v>3453</v>
      </c>
      <c r="H1787" s="313" t="s">
        <v>3463</v>
      </c>
      <c r="I1787" s="438" t="s">
        <v>2159</v>
      </c>
      <c r="K1787" t="s">
        <v>659</v>
      </c>
      <c r="L1787" t="s">
        <v>669</v>
      </c>
      <c r="M1787" t="s">
        <v>2333</v>
      </c>
      <c r="O1787" s="4"/>
    </row>
    <row r="1788" spans="1:15" ht="21.6">
      <c r="A1788" s="5">
        <v>1787</v>
      </c>
      <c r="B1788" t="str">
        <f t="shared" si="203"/>
        <v>MH</v>
      </c>
      <c r="C1788" t="str">
        <f t="shared" si="204"/>
        <v>KB</v>
      </c>
      <c r="D1788" t="s">
        <v>3429</v>
      </c>
      <c r="E1788" s="5">
        <v>1</v>
      </c>
      <c r="G1788" s="451" t="s">
        <v>3464</v>
      </c>
      <c r="H1788" s="313" t="s">
        <v>3464</v>
      </c>
      <c r="I1788" s="438"/>
      <c r="K1788" t="s">
        <v>1434</v>
      </c>
      <c r="L1788" t="s">
        <v>669</v>
      </c>
      <c r="M1788"/>
      <c r="N1788" t="s">
        <v>3465</v>
      </c>
      <c r="O1788" s="4"/>
    </row>
    <row r="1789" spans="1:15" ht="21.6">
      <c r="A1789" s="5">
        <v>1788</v>
      </c>
      <c r="B1789" t="str">
        <f t="shared" ref="B1789" si="207">MID(G1789,8,2)</f>
        <v>TO</v>
      </c>
      <c r="C1789" t="str">
        <f t="shared" ref="C1789" si="208">MID(G1789,11,2)</f>
        <v>KB</v>
      </c>
      <c r="D1789" t="s">
        <v>3429</v>
      </c>
      <c r="E1789" s="5"/>
      <c r="G1789" s="4" t="s">
        <v>3466</v>
      </c>
      <c r="H1789" s="313" t="s">
        <v>3467</v>
      </c>
      <c r="I1789" s="438" t="s">
        <v>3468</v>
      </c>
      <c r="K1789" t="s">
        <v>1434</v>
      </c>
      <c r="L1789" t="s">
        <v>669</v>
      </c>
      <c r="M1789" t="s">
        <v>2333</v>
      </c>
      <c r="O1789" s="4"/>
    </row>
    <row r="1790" spans="1:15">
      <c r="A1790" s="5">
        <v>1789</v>
      </c>
      <c r="B1790" t="str">
        <f t="shared" ref="B1790:B1806" si="209">MID(G1790,8,2)</f>
        <v>TO</v>
      </c>
      <c r="C1790" t="str">
        <f t="shared" ref="C1790:C1806" si="210">MID(G1790,11,2)</f>
        <v>KB</v>
      </c>
      <c r="D1790" t="s">
        <v>3429</v>
      </c>
      <c r="E1790" s="5"/>
      <c r="G1790" s="4" t="s">
        <v>3466</v>
      </c>
      <c r="H1790" s="306" t="s">
        <v>3469</v>
      </c>
      <c r="I1790" s="438" t="s">
        <v>3198</v>
      </c>
      <c r="K1790" t="s">
        <v>1434</v>
      </c>
      <c r="L1790" t="s">
        <v>669</v>
      </c>
      <c r="M1790" t="s">
        <v>2333</v>
      </c>
    </row>
    <row r="1791" spans="1:15">
      <c r="A1791" s="5">
        <v>1790</v>
      </c>
      <c r="B1791" t="str">
        <f t="shared" si="209"/>
        <v>TO</v>
      </c>
      <c r="C1791" t="str">
        <f t="shared" si="210"/>
        <v>KB</v>
      </c>
      <c r="D1791" t="s">
        <v>3429</v>
      </c>
      <c r="E1791" s="5"/>
      <c r="G1791" s="4" t="s">
        <v>3466</v>
      </c>
      <c r="H1791" s="305" t="s">
        <v>3204</v>
      </c>
      <c r="I1791" s="438" t="s">
        <v>2110</v>
      </c>
      <c r="K1791" t="s">
        <v>659</v>
      </c>
      <c r="L1791" t="s">
        <v>669</v>
      </c>
      <c r="M1791" t="s">
        <v>2333</v>
      </c>
    </row>
    <row r="1792" spans="1:15">
      <c r="A1792" s="5">
        <v>1791</v>
      </c>
      <c r="B1792" t="str">
        <f t="shared" ref="B1792" si="211">MID(G1792,8,2)</f>
        <v>TO</v>
      </c>
      <c r="C1792" t="str">
        <f t="shared" ref="C1792" si="212">MID(G1792,11,2)</f>
        <v>KB</v>
      </c>
      <c r="D1792" t="s">
        <v>3379</v>
      </c>
      <c r="E1792" s="5"/>
      <c r="G1792" s="4" t="s">
        <v>3470</v>
      </c>
      <c r="H1792" s="305" t="s">
        <v>492</v>
      </c>
      <c r="I1792" s="438" t="s">
        <v>2899</v>
      </c>
      <c r="K1792" t="s">
        <v>659</v>
      </c>
      <c r="L1792" t="s">
        <v>2137</v>
      </c>
      <c r="M1792" t="s">
        <v>2333</v>
      </c>
    </row>
    <row r="1793" spans="1:14" ht="21.6">
      <c r="A1793" s="5">
        <v>1792</v>
      </c>
      <c r="B1793" t="s">
        <v>96</v>
      </c>
      <c r="C1793" t="str">
        <f t="shared" ref="C1793:C1799" si="213">MID(G1793,11,2)</f>
        <v>KB</v>
      </c>
      <c r="D1793" t="s">
        <v>3429</v>
      </c>
      <c r="E1793" s="5"/>
      <c r="G1793" s="4" t="s">
        <v>3471</v>
      </c>
      <c r="H1793" s="313" t="s">
        <v>3211</v>
      </c>
      <c r="I1793" s="438" t="s">
        <v>3212</v>
      </c>
      <c r="K1793" t="s">
        <v>659</v>
      </c>
      <c r="L1793" t="s">
        <v>669</v>
      </c>
      <c r="M1793" t="s">
        <v>2333</v>
      </c>
      <c r="N1793" t="s">
        <v>3472</v>
      </c>
    </row>
    <row r="1794" spans="1:14" ht="21.6">
      <c r="A1794" s="5">
        <v>1793</v>
      </c>
      <c r="B1794" t="s">
        <v>96</v>
      </c>
      <c r="C1794" t="str">
        <f t="shared" si="213"/>
        <v>KB</v>
      </c>
      <c r="D1794" t="s">
        <v>3379</v>
      </c>
      <c r="E1794" s="5"/>
      <c r="G1794" s="4" t="s">
        <v>3473</v>
      </c>
      <c r="H1794" s="313" t="s">
        <v>1046</v>
      </c>
      <c r="I1794" s="438" t="s">
        <v>3213</v>
      </c>
      <c r="K1794" t="s">
        <v>659</v>
      </c>
      <c r="L1794" t="s">
        <v>669</v>
      </c>
      <c r="M1794" t="s">
        <v>2333</v>
      </c>
      <c r="N1794" t="s">
        <v>3472</v>
      </c>
    </row>
    <row r="1795" spans="1:14" ht="43.2">
      <c r="A1795" s="5">
        <v>1794</v>
      </c>
      <c r="B1795" t="s">
        <v>96</v>
      </c>
      <c r="C1795" t="str">
        <f t="shared" si="213"/>
        <v>KB</v>
      </c>
      <c r="D1795" t="s">
        <v>3379</v>
      </c>
      <c r="E1795" s="5"/>
      <c r="G1795" s="4" t="s">
        <v>3473</v>
      </c>
      <c r="H1795" s="313" t="s">
        <v>2527</v>
      </c>
      <c r="I1795" s="438" t="s">
        <v>2528</v>
      </c>
      <c r="K1795" t="s">
        <v>659</v>
      </c>
      <c r="L1795" t="s">
        <v>669</v>
      </c>
      <c r="M1795" t="s">
        <v>2333</v>
      </c>
      <c r="N1795" t="s">
        <v>3472</v>
      </c>
    </row>
    <row r="1796" spans="1:14" ht="36" customHeight="1">
      <c r="A1796" s="5">
        <v>1795</v>
      </c>
      <c r="B1796" t="s">
        <v>96</v>
      </c>
      <c r="C1796" t="str">
        <f t="shared" si="213"/>
        <v>KB</v>
      </c>
      <c r="D1796" t="s">
        <v>3379</v>
      </c>
      <c r="E1796" s="5"/>
      <c r="G1796" s="4" t="s">
        <v>3471</v>
      </c>
      <c r="H1796" s="306" t="s">
        <v>511</v>
      </c>
      <c r="I1796" s="438" t="s">
        <v>2415</v>
      </c>
      <c r="K1796" t="s">
        <v>659</v>
      </c>
      <c r="L1796" t="s">
        <v>669</v>
      </c>
      <c r="M1796" t="s">
        <v>2392</v>
      </c>
      <c r="N1796" s="281" t="s">
        <v>3474</v>
      </c>
    </row>
    <row r="1797" spans="1:14">
      <c r="A1797" s="5">
        <v>1796</v>
      </c>
      <c r="B1797" t="s">
        <v>96</v>
      </c>
      <c r="C1797" t="str">
        <f t="shared" si="213"/>
        <v>KB</v>
      </c>
      <c r="D1797" t="s">
        <v>3379</v>
      </c>
      <c r="E1797" s="5"/>
      <c r="G1797" s="4" t="s">
        <v>3473</v>
      </c>
      <c r="H1797" s="306" t="s">
        <v>3214</v>
      </c>
      <c r="I1797" s="438" t="s">
        <v>3215</v>
      </c>
      <c r="K1797" t="s">
        <v>659</v>
      </c>
      <c r="L1797" t="s">
        <v>669</v>
      </c>
      <c r="M1797" t="s">
        <v>2333</v>
      </c>
      <c r="N1797" t="s">
        <v>3472</v>
      </c>
    </row>
    <row r="1798" spans="1:14">
      <c r="A1798" s="5">
        <v>1797</v>
      </c>
      <c r="B1798" t="s">
        <v>96</v>
      </c>
      <c r="C1798" t="str">
        <f t="shared" si="213"/>
        <v>KB</v>
      </c>
      <c r="D1798" t="s">
        <v>3379</v>
      </c>
      <c r="E1798" s="5"/>
      <c r="G1798" s="4" t="s">
        <v>3473</v>
      </c>
      <c r="H1798" s="306" t="s">
        <v>3216</v>
      </c>
      <c r="I1798" s="438" t="s">
        <v>3217</v>
      </c>
      <c r="K1798" t="s">
        <v>659</v>
      </c>
      <c r="L1798" t="s">
        <v>669</v>
      </c>
      <c r="M1798" t="s">
        <v>2333</v>
      </c>
      <c r="N1798" t="s">
        <v>3472</v>
      </c>
    </row>
    <row r="1799" spans="1:14">
      <c r="A1799" s="5">
        <v>1798</v>
      </c>
      <c r="B1799" t="str">
        <f t="shared" ref="B1799" si="214">MID(G1799,8,2)</f>
        <v>TO</v>
      </c>
      <c r="C1799" t="str">
        <f t="shared" si="213"/>
        <v>KB</v>
      </c>
      <c r="D1799" t="s">
        <v>3475</v>
      </c>
      <c r="E1799" s="5"/>
      <c r="G1799" s="4" t="s">
        <v>3476</v>
      </c>
      <c r="H1799" s="305" t="s">
        <v>1627</v>
      </c>
      <c r="I1799" s="438" t="s">
        <v>3209</v>
      </c>
      <c r="K1799" t="s">
        <v>659</v>
      </c>
      <c r="L1799" t="s">
        <v>669</v>
      </c>
      <c r="M1799" t="s">
        <v>2333</v>
      </c>
    </row>
    <row r="1800" spans="1:14">
      <c r="A1800" s="5">
        <v>1799</v>
      </c>
      <c r="B1800" t="str">
        <f t="shared" si="209"/>
        <v>TO</v>
      </c>
      <c r="C1800" t="str">
        <f t="shared" si="210"/>
        <v>KB</v>
      </c>
      <c r="D1800" t="s">
        <v>3475</v>
      </c>
      <c r="E1800" s="5"/>
      <c r="G1800" s="4" t="s">
        <v>3476</v>
      </c>
      <c r="H1800" s="306" t="s">
        <v>3477</v>
      </c>
      <c r="I1800" s="450" t="s">
        <v>3478</v>
      </c>
      <c r="K1800" t="s">
        <v>659</v>
      </c>
      <c r="L1800" t="s">
        <v>669</v>
      </c>
      <c r="M1800" t="s">
        <v>2333</v>
      </c>
    </row>
    <row r="1801" spans="1:14" ht="21.6">
      <c r="A1801" s="5">
        <v>1800</v>
      </c>
      <c r="B1801" t="str">
        <f t="shared" si="209"/>
        <v>TO</v>
      </c>
      <c r="C1801" t="str">
        <f t="shared" si="210"/>
        <v>KB</v>
      </c>
      <c r="D1801" t="s">
        <v>3475</v>
      </c>
      <c r="E1801" s="5"/>
      <c r="G1801" s="4" t="s">
        <v>3476</v>
      </c>
      <c r="H1801" s="327" t="s">
        <v>3479</v>
      </c>
      <c r="I1801" s="450" t="s">
        <v>3480</v>
      </c>
      <c r="K1801" t="s">
        <v>1434</v>
      </c>
      <c r="L1801" t="s">
        <v>669</v>
      </c>
      <c r="M1801" t="s">
        <v>2333</v>
      </c>
    </row>
    <row r="1802" spans="1:14" ht="21.6">
      <c r="A1802" s="5">
        <v>1801</v>
      </c>
      <c r="B1802" t="str">
        <f t="shared" si="209"/>
        <v>TO</v>
      </c>
      <c r="C1802" t="str">
        <f t="shared" si="210"/>
        <v>KB</v>
      </c>
      <c r="D1802" t="s">
        <v>3475</v>
      </c>
      <c r="E1802" s="5"/>
      <c r="G1802" s="4" t="s">
        <v>3476</v>
      </c>
      <c r="H1802" s="327" t="s">
        <v>3481</v>
      </c>
      <c r="I1802" s="450" t="s">
        <v>3482</v>
      </c>
      <c r="K1802" t="s">
        <v>1434</v>
      </c>
      <c r="L1802" t="s">
        <v>669</v>
      </c>
      <c r="M1802" t="s">
        <v>2333</v>
      </c>
    </row>
    <row r="1803" spans="1:14" ht="21.6">
      <c r="A1803" s="5">
        <v>1802</v>
      </c>
      <c r="B1803" t="str">
        <f t="shared" si="209"/>
        <v>TO</v>
      </c>
      <c r="C1803" t="str">
        <f t="shared" si="210"/>
        <v>KB</v>
      </c>
      <c r="D1803" t="s">
        <v>3475</v>
      </c>
      <c r="E1803" s="5"/>
      <c r="G1803" s="4" t="s">
        <v>3476</v>
      </c>
      <c r="H1803" s="327" t="s">
        <v>3483</v>
      </c>
      <c r="I1803" s="450" t="s">
        <v>3484</v>
      </c>
      <c r="K1803" t="s">
        <v>1434</v>
      </c>
      <c r="L1803" t="s">
        <v>669</v>
      </c>
      <c r="M1803" t="s">
        <v>2333</v>
      </c>
    </row>
    <row r="1804" spans="1:14" ht="21.6">
      <c r="A1804" s="5">
        <v>1803</v>
      </c>
      <c r="B1804" t="str">
        <f t="shared" si="209"/>
        <v>TO</v>
      </c>
      <c r="C1804" t="str">
        <f t="shared" si="210"/>
        <v>KB</v>
      </c>
      <c r="D1804" t="s">
        <v>3475</v>
      </c>
      <c r="E1804" s="5"/>
      <c r="G1804" s="4" t="s">
        <v>3476</v>
      </c>
      <c r="H1804" s="327" t="s">
        <v>1809</v>
      </c>
      <c r="I1804" s="450" t="s">
        <v>3485</v>
      </c>
      <c r="K1804" t="s">
        <v>659</v>
      </c>
      <c r="L1804" t="s">
        <v>669</v>
      </c>
      <c r="M1804" t="s">
        <v>2333</v>
      </c>
    </row>
    <row r="1805" spans="1:14" ht="21.6">
      <c r="A1805" s="5">
        <v>1804</v>
      </c>
      <c r="B1805" t="str">
        <f t="shared" si="209"/>
        <v>TO</v>
      </c>
      <c r="C1805" t="str">
        <f t="shared" si="210"/>
        <v>KB</v>
      </c>
      <c r="D1805" t="s">
        <v>3475</v>
      </c>
      <c r="E1805" s="5"/>
      <c r="G1805" s="4" t="s">
        <v>3486</v>
      </c>
      <c r="H1805" s="327" t="s">
        <v>3487</v>
      </c>
      <c r="I1805" s="450" t="s">
        <v>3488</v>
      </c>
      <c r="K1805" t="s">
        <v>1434</v>
      </c>
      <c r="L1805" t="s">
        <v>669</v>
      </c>
      <c r="M1805" t="s">
        <v>2333</v>
      </c>
    </row>
    <row r="1806" spans="1:14" ht="64.8">
      <c r="A1806" s="5">
        <v>1805</v>
      </c>
      <c r="B1806" t="str">
        <f t="shared" si="209"/>
        <v>TO</v>
      </c>
      <c r="C1806" t="str">
        <f t="shared" si="210"/>
        <v>KB</v>
      </c>
      <c r="D1806" t="s">
        <v>3475</v>
      </c>
      <c r="E1806" s="5"/>
      <c r="G1806" s="4" t="s">
        <v>3486</v>
      </c>
      <c r="H1806" s="327" t="s">
        <v>3489</v>
      </c>
      <c r="I1806" s="450" t="s">
        <v>3490</v>
      </c>
      <c r="K1806" t="s">
        <v>1434</v>
      </c>
      <c r="L1806" t="s">
        <v>669</v>
      </c>
      <c r="M1806" t="s">
        <v>2333</v>
      </c>
    </row>
    <row r="1807" spans="1:14" ht="43.2">
      <c r="A1807" s="5">
        <v>1806</v>
      </c>
      <c r="B1807" t="str">
        <f t="shared" si="185"/>
        <v>TO</v>
      </c>
      <c r="C1807" t="str">
        <f t="shared" si="186"/>
        <v>KB</v>
      </c>
      <c r="D1807" t="s">
        <v>3475</v>
      </c>
      <c r="E1807" s="5"/>
      <c r="G1807" s="4" t="s">
        <v>3486</v>
      </c>
      <c r="H1807" s="327" t="s">
        <v>3491</v>
      </c>
      <c r="I1807" s="450" t="s">
        <v>3492</v>
      </c>
      <c r="K1807" t="s">
        <v>1434</v>
      </c>
      <c r="L1807" t="s">
        <v>669</v>
      </c>
      <c r="M1807" t="s">
        <v>2333</v>
      </c>
    </row>
    <row r="1808" spans="1:14" ht="21.6">
      <c r="A1808" s="5">
        <v>1807</v>
      </c>
      <c r="B1808" t="str">
        <f t="shared" si="185"/>
        <v>TO</v>
      </c>
      <c r="C1808" t="str">
        <f t="shared" si="186"/>
        <v>KB</v>
      </c>
      <c r="D1808" t="s">
        <v>3475</v>
      </c>
      <c r="E1808" s="5"/>
      <c r="G1808" s="4" t="s">
        <v>3486</v>
      </c>
      <c r="H1808" s="327" t="s">
        <v>3493</v>
      </c>
      <c r="I1808" s="450" t="s">
        <v>3494</v>
      </c>
      <c r="K1808" t="s">
        <v>659</v>
      </c>
      <c r="L1808" t="s">
        <v>669</v>
      </c>
      <c r="M1808" t="s">
        <v>2333</v>
      </c>
    </row>
    <row r="1809" spans="1:15" ht="43.2">
      <c r="A1809" s="5">
        <v>1808</v>
      </c>
      <c r="B1809" t="str">
        <f t="shared" si="185"/>
        <v>TO</v>
      </c>
      <c r="C1809" t="str">
        <f t="shared" si="186"/>
        <v>KB</v>
      </c>
      <c r="D1809" t="s">
        <v>3475</v>
      </c>
      <c r="E1809" s="5"/>
      <c r="G1809" s="4" t="s">
        <v>3486</v>
      </c>
      <c r="H1809" s="327" t="s">
        <v>3495</v>
      </c>
      <c r="I1809" s="450" t="s">
        <v>3496</v>
      </c>
      <c r="K1809" t="s">
        <v>1434</v>
      </c>
      <c r="L1809" t="s">
        <v>669</v>
      </c>
      <c r="M1809" t="s">
        <v>2333</v>
      </c>
    </row>
    <row r="1810" spans="1:15" ht="36">
      <c r="A1810" s="5">
        <v>1809</v>
      </c>
      <c r="B1810" t="str">
        <f t="shared" si="185"/>
        <v>TO</v>
      </c>
      <c r="C1810" t="str">
        <f t="shared" si="186"/>
        <v>KB</v>
      </c>
      <c r="D1810" t="s">
        <v>3475</v>
      </c>
      <c r="E1810" s="5"/>
      <c r="G1810" s="4" t="s">
        <v>3486</v>
      </c>
      <c r="H1810" s="306" t="s">
        <v>2593</v>
      </c>
      <c r="I1810" s="432" t="s">
        <v>3497</v>
      </c>
      <c r="K1810" t="s">
        <v>659</v>
      </c>
      <c r="L1810" t="s">
        <v>669</v>
      </c>
      <c r="M1810" t="s">
        <v>2333</v>
      </c>
    </row>
    <row r="1811" spans="1:15">
      <c r="A1811" s="5">
        <v>1810</v>
      </c>
      <c r="B1811" t="str">
        <f t="shared" si="185"/>
        <v>TO</v>
      </c>
      <c r="C1811" t="str">
        <f t="shared" si="186"/>
        <v>KB</v>
      </c>
      <c r="D1811" t="s">
        <v>3379</v>
      </c>
      <c r="E1811" s="5"/>
      <c r="G1811" s="4" t="s">
        <v>3498</v>
      </c>
      <c r="H1811" s="306" t="s">
        <v>3499</v>
      </c>
      <c r="I1811" s="432" t="s">
        <v>3500</v>
      </c>
      <c r="K1811" t="s">
        <v>1434</v>
      </c>
      <c r="L1811" t="s">
        <v>669</v>
      </c>
      <c r="M1811" t="s">
        <v>2333</v>
      </c>
      <c r="O1811" s="4"/>
    </row>
    <row r="1812" spans="1:15">
      <c r="A1812" s="5">
        <v>1811</v>
      </c>
      <c r="B1812" t="str">
        <f t="shared" ref="B1812:B1825" si="215">MID(G1812,8,2)</f>
        <v>TO</v>
      </c>
      <c r="C1812" t="str">
        <f t="shared" ref="C1812:C1825" si="216">MID(G1812,11,2)</f>
        <v>KB</v>
      </c>
      <c r="D1812" t="s">
        <v>3379</v>
      </c>
      <c r="E1812" s="5"/>
      <c r="G1812" s="4" t="s">
        <v>3498</v>
      </c>
      <c r="H1812" s="306" t="s">
        <v>3501</v>
      </c>
      <c r="I1812" s="432" t="s">
        <v>3502</v>
      </c>
      <c r="K1812" t="s">
        <v>659</v>
      </c>
      <c r="L1812" t="s">
        <v>669</v>
      </c>
      <c r="M1812" t="s">
        <v>2333</v>
      </c>
      <c r="O1812" s="4"/>
    </row>
    <row r="1813" spans="1:15">
      <c r="A1813" s="5">
        <v>1812</v>
      </c>
      <c r="B1813" t="str">
        <f t="shared" si="215"/>
        <v>TO</v>
      </c>
      <c r="C1813" t="str">
        <f t="shared" si="216"/>
        <v>KB</v>
      </c>
      <c r="D1813" t="s">
        <v>3379</v>
      </c>
      <c r="E1813" s="5"/>
      <c r="G1813" s="4" t="s">
        <v>3498</v>
      </c>
      <c r="H1813" s="306" t="s">
        <v>1436</v>
      </c>
      <c r="I1813" s="432" t="s">
        <v>3503</v>
      </c>
      <c r="K1813" t="s">
        <v>659</v>
      </c>
      <c r="L1813" t="s">
        <v>669</v>
      </c>
      <c r="M1813" t="s">
        <v>2333</v>
      </c>
      <c r="O1813" s="4"/>
    </row>
    <row r="1814" spans="1:15">
      <c r="A1814" s="5">
        <v>1813</v>
      </c>
      <c r="B1814" t="str">
        <f t="shared" si="215"/>
        <v>TO</v>
      </c>
      <c r="C1814" t="str">
        <f t="shared" si="216"/>
        <v>KB</v>
      </c>
      <c r="D1814" t="s">
        <v>3379</v>
      </c>
      <c r="E1814" s="5"/>
      <c r="G1814" s="4" t="s">
        <v>3498</v>
      </c>
      <c r="H1814" s="306" t="s">
        <v>3504</v>
      </c>
      <c r="I1814" s="432" t="s">
        <v>3505</v>
      </c>
      <c r="K1814" t="s">
        <v>1434</v>
      </c>
      <c r="L1814" t="s">
        <v>669</v>
      </c>
      <c r="M1814" t="s">
        <v>2333</v>
      </c>
      <c r="O1814" s="4"/>
    </row>
    <row r="1815" spans="1:15">
      <c r="A1815" s="5">
        <v>1814</v>
      </c>
      <c r="B1815" t="str">
        <f t="shared" si="215"/>
        <v>TO</v>
      </c>
      <c r="C1815" t="str">
        <f t="shared" si="216"/>
        <v>KB</v>
      </c>
      <c r="D1815" t="s">
        <v>3379</v>
      </c>
      <c r="E1815" s="5"/>
      <c r="G1815" s="4" t="s">
        <v>3498</v>
      </c>
      <c r="H1815" s="317" t="s">
        <v>3506</v>
      </c>
      <c r="I1815" s="432" t="s">
        <v>3507</v>
      </c>
      <c r="K1815" t="s">
        <v>1434</v>
      </c>
      <c r="L1815" t="s">
        <v>669</v>
      </c>
      <c r="M1815" t="s">
        <v>2333</v>
      </c>
      <c r="N1815" t="s">
        <v>3508</v>
      </c>
    </row>
    <row r="1816" spans="1:15">
      <c r="A1816" s="5">
        <v>1815</v>
      </c>
      <c r="B1816" t="str">
        <f t="shared" si="215"/>
        <v>TO</v>
      </c>
      <c r="C1816" t="str">
        <f t="shared" si="216"/>
        <v>KB</v>
      </c>
      <c r="D1816" t="s">
        <v>3379</v>
      </c>
      <c r="E1816" s="5"/>
      <c r="G1816" s="4" t="s">
        <v>3509</v>
      </c>
      <c r="H1816" s="317" t="s">
        <v>3510</v>
      </c>
      <c r="I1816" s="432" t="s">
        <v>3511</v>
      </c>
      <c r="K1816" t="s">
        <v>659</v>
      </c>
      <c r="L1816" t="s">
        <v>669</v>
      </c>
      <c r="M1816" t="s">
        <v>2333</v>
      </c>
    </row>
    <row r="1817" spans="1:15">
      <c r="A1817" s="5">
        <v>1816</v>
      </c>
      <c r="B1817" t="str">
        <f t="shared" si="215"/>
        <v>TO</v>
      </c>
      <c r="C1817" t="str">
        <f t="shared" si="216"/>
        <v>KB</v>
      </c>
      <c r="D1817" t="s">
        <v>3379</v>
      </c>
      <c r="E1817" s="5"/>
      <c r="G1817" s="4" t="s">
        <v>3509</v>
      </c>
      <c r="H1817" s="317" t="s">
        <v>3512</v>
      </c>
      <c r="I1817" s="432" t="s">
        <v>3513</v>
      </c>
      <c r="K1817" t="s">
        <v>1434</v>
      </c>
      <c r="L1817" t="s">
        <v>669</v>
      </c>
      <c r="M1817" t="s">
        <v>2333</v>
      </c>
    </row>
    <row r="1818" spans="1:15">
      <c r="A1818" s="5">
        <v>1817</v>
      </c>
      <c r="B1818" t="str">
        <f t="shared" si="215"/>
        <v>TO</v>
      </c>
      <c r="C1818" t="str">
        <f t="shared" si="216"/>
        <v>KB</v>
      </c>
      <c r="D1818" t="s">
        <v>3379</v>
      </c>
      <c r="E1818" s="5"/>
      <c r="G1818" s="4" t="s">
        <v>3509</v>
      </c>
      <c r="H1818" s="317" t="s">
        <v>266</v>
      </c>
      <c r="I1818" s="432" t="s">
        <v>3514</v>
      </c>
      <c r="K1818" t="s">
        <v>659</v>
      </c>
      <c r="L1818" t="s">
        <v>669</v>
      </c>
      <c r="M1818" t="s">
        <v>2333</v>
      </c>
    </row>
    <row r="1819" spans="1:15">
      <c r="A1819" s="5">
        <v>1818</v>
      </c>
      <c r="B1819" t="str">
        <f t="shared" si="215"/>
        <v>TO</v>
      </c>
      <c r="C1819" t="str">
        <f t="shared" si="216"/>
        <v>KB</v>
      </c>
      <c r="D1819" t="s">
        <v>3379</v>
      </c>
      <c r="E1819" s="5"/>
      <c r="G1819" s="4" t="s">
        <v>3509</v>
      </c>
      <c r="H1819" s="317" t="s">
        <v>390</v>
      </c>
      <c r="I1819" s="432" t="s">
        <v>2605</v>
      </c>
      <c r="K1819" t="s">
        <v>659</v>
      </c>
      <c r="L1819" t="s">
        <v>669</v>
      </c>
      <c r="M1819" t="s">
        <v>2333</v>
      </c>
    </row>
    <row r="1820" spans="1:15">
      <c r="A1820" s="5">
        <v>1819</v>
      </c>
      <c r="B1820" t="str">
        <f t="shared" si="215"/>
        <v>TO</v>
      </c>
      <c r="C1820" t="str">
        <f t="shared" si="216"/>
        <v>KB</v>
      </c>
      <c r="D1820" t="s">
        <v>3379</v>
      </c>
      <c r="E1820" s="5"/>
      <c r="G1820" s="4" t="s">
        <v>3509</v>
      </c>
      <c r="H1820" s="306" t="s">
        <v>3515</v>
      </c>
      <c r="I1820" s="432" t="s">
        <v>2607</v>
      </c>
      <c r="K1820" t="s">
        <v>659</v>
      </c>
      <c r="L1820" t="s">
        <v>669</v>
      </c>
      <c r="M1820" t="s">
        <v>2333</v>
      </c>
    </row>
    <row r="1821" spans="1:15" ht="21.6">
      <c r="A1821" s="5">
        <v>1820</v>
      </c>
      <c r="B1821" t="str">
        <f t="shared" si="215"/>
        <v>TO</v>
      </c>
      <c r="C1821" t="str">
        <f t="shared" si="216"/>
        <v>KB</v>
      </c>
      <c r="D1821" t="s">
        <v>3379</v>
      </c>
      <c r="E1821" s="5"/>
      <c r="G1821" s="4" t="s">
        <v>3516</v>
      </c>
      <c r="H1821" s="327" t="s">
        <v>2896</v>
      </c>
      <c r="I1821" s="450" t="s">
        <v>2897</v>
      </c>
      <c r="K1821" t="s">
        <v>659</v>
      </c>
      <c r="L1821" t="s">
        <v>669</v>
      </c>
      <c r="M1821" t="s">
        <v>2333</v>
      </c>
    </row>
    <row r="1822" spans="1:15" ht="21.6">
      <c r="A1822" s="5">
        <v>1821</v>
      </c>
      <c r="B1822" t="str">
        <f t="shared" si="215"/>
        <v>TO</v>
      </c>
      <c r="C1822" t="str">
        <f t="shared" si="216"/>
        <v>KB</v>
      </c>
      <c r="D1822" t="s">
        <v>3379</v>
      </c>
      <c r="E1822" s="5"/>
      <c r="G1822" s="4" t="s">
        <v>3516</v>
      </c>
      <c r="H1822" s="327" t="s">
        <v>3517</v>
      </c>
      <c r="I1822" s="450" t="s">
        <v>2728</v>
      </c>
      <c r="K1822" t="s">
        <v>659</v>
      </c>
      <c r="L1822" t="s">
        <v>669</v>
      </c>
      <c r="M1822" t="s">
        <v>2333</v>
      </c>
    </row>
    <row r="1823" spans="1:15" ht="21.6">
      <c r="A1823" s="5">
        <v>1822</v>
      </c>
      <c r="B1823" t="str">
        <f t="shared" si="215"/>
        <v>TO</v>
      </c>
      <c r="C1823" t="str">
        <f t="shared" si="216"/>
        <v>KB</v>
      </c>
      <c r="D1823" t="s">
        <v>3379</v>
      </c>
      <c r="E1823" s="5"/>
      <c r="G1823" s="4" t="s">
        <v>3516</v>
      </c>
      <c r="H1823" s="327" t="s">
        <v>3518</v>
      </c>
      <c r="I1823" s="450" t="s">
        <v>3519</v>
      </c>
      <c r="K1823" t="s">
        <v>1434</v>
      </c>
      <c r="L1823" t="s">
        <v>669</v>
      </c>
      <c r="M1823" t="s">
        <v>2333</v>
      </c>
    </row>
    <row r="1824" spans="1:15">
      <c r="A1824" s="5">
        <v>1823</v>
      </c>
      <c r="B1824" t="str">
        <f t="shared" si="215"/>
        <v>TO</v>
      </c>
      <c r="C1824" t="str">
        <f t="shared" si="216"/>
        <v>KB</v>
      </c>
      <c r="D1824" t="s">
        <v>3379</v>
      </c>
      <c r="E1824" s="5"/>
      <c r="G1824" s="4" t="s">
        <v>3516</v>
      </c>
      <c r="H1824" s="306" t="s">
        <v>3520</v>
      </c>
      <c r="I1824" s="432" t="s">
        <v>3521</v>
      </c>
      <c r="K1824" t="s">
        <v>1434</v>
      </c>
      <c r="L1824" t="s">
        <v>669</v>
      </c>
      <c r="M1824" t="s">
        <v>2333</v>
      </c>
    </row>
    <row r="1825" spans="1:14">
      <c r="A1825" s="5">
        <v>1824</v>
      </c>
      <c r="B1825" t="str">
        <f t="shared" si="215"/>
        <v>TO</v>
      </c>
      <c r="C1825" t="str">
        <f t="shared" si="216"/>
        <v>KB</v>
      </c>
      <c r="D1825" t="s">
        <v>3379</v>
      </c>
      <c r="E1825" s="5"/>
      <c r="G1825" s="4" t="s">
        <v>3516</v>
      </c>
      <c r="H1825" s="306" t="s">
        <v>2719</v>
      </c>
      <c r="I1825" s="432" t="s">
        <v>3522</v>
      </c>
      <c r="K1825" t="s">
        <v>659</v>
      </c>
      <c r="L1825" t="s">
        <v>669</v>
      </c>
      <c r="M1825" t="s">
        <v>2333</v>
      </c>
    </row>
    <row r="1826" spans="1:14">
      <c r="A1826" s="5">
        <v>1825</v>
      </c>
      <c r="B1826" t="str">
        <f t="shared" si="185"/>
        <v>TO</v>
      </c>
      <c r="C1826" t="str">
        <f t="shared" si="186"/>
        <v>KB</v>
      </c>
      <c r="D1826" t="s">
        <v>3379</v>
      </c>
      <c r="E1826" s="5"/>
      <c r="G1826" s="4" t="s">
        <v>3523</v>
      </c>
      <c r="H1826" s="306" t="s">
        <v>289</v>
      </c>
      <c r="I1826" s="432" t="s">
        <v>3524</v>
      </c>
      <c r="K1826" t="s">
        <v>1434</v>
      </c>
      <c r="L1826" t="s">
        <v>669</v>
      </c>
      <c r="M1826" t="s">
        <v>2333</v>
      </c>
    </row>
    <row r="1827" spans="1:14">
      <c r="A1827" s="5">
        <v>1826</v>
      </c>
      <c r="B1827" t="str">
        <f t="shared" si="185"/>
        <v>TO</v>
      </c>
      <c r="C1827" t="str">
        <f t="shared" si="186"/>
        <v>KB</v>
      </c>
      <c r="D1827" t="s">
        <v>3379</v>
      </c>
      <c r="E1827" s="5"/>
      <c r="G1827" s="4" t="s">
        <v>3523</v>
      </c>
      <c r="H1827" s="305" t="s">
        <v>1960</v>
      </c>
      <c r="I1827" s="432" t="s">
        <v>3525</v>
      </c>
      <c r="K1827" t="s">
        <v>659</v>
      </c>
      <c r="L1827" t="s">
        <v>669</v>
      </c>
      <c r="M1827" t="s">
        <v>2333</v>
      </c>
    </row>
    <row r="1828" spans="1:14">
      <c r="A1828" s="5">
        <v>1827</v>
      </c>
      <c r="B1828" t="str">
        <f t="shared" si="185"/>
        <v>TO</v>
      </c>
      <c r="C1828" t="str">
        <f t="shared" si="186"/>
        <v>KB</v>
      </c>
      <c r="D1828" t="s">
        <v>3379</v>
      </c>
      <c r="E1828" s="5"/>
      <c r="G1828" s="4" t="s">
        <v>3523</v>
      </c>
      <c r="H1828" s="305" t="s">
        <v>1961</v>
      </c>
      <c r="I1828" s="432" t="s">
        <v>3526</v>
      </c>
      <c r="K1828" t="s">
        <v>659</v>
      </c>
      <c r="L1828" t="s">
        <v>669</v>
      </c>
      <c r="M1828" t="s">
        <v>2333</v>
      </c>
    </row>
    <row r="1829" spans="1:14">
      <c r="A1829" s="5">
        <v>1828</v>
      </c>
      <c r="B1829" t="str">
        <f t="shared" si="185"/>
        <v>TO</v>
      </c>
      <c r="C1829" t="str">
        <f t="shared" si="186"/>
        <v>KB</v>
      </c>
      <c r="D1829" t="s">
        <v>3379</v>
      </c>
      <c r="E1829" s="5"/>
      <c r="G1829" s="4" t="s">
        <v>3523</v>
      </c>
      <c r="H1829" s="305" t="s">
        <v>1962</v>
      </c>
      <c r="I1829" s="432" t="s">
        <v>3527</v>
      </c>
      <c r="K1829" t="s">
        <v>659</v>
      </c>
      <c r="L1829" t="s">
        <v>669</v>
      </c>
      <c r="M1829" t="s">
        <v>2333</v>
      </c>
    </row>
    <row r="1830" spans="1:14">
      <c r="A1830" s="5">
        <v>1829</v>
      </c>
      <c r="B1830" t="str">
        <f t="shared" si="185"/>
        <v>TO</v>
      </c>
      <c r="C1830" t="str">
        <f t="shared" si="186"/>
        <v>KB</v>
      </c>
      <c r="D1830" t="s">
        <v>3379</v>
      </c>
      <c r="E1830" s="5"/>
      <c r="G1830" s="4" t="s">
        <v>3523</v>
      </c>
      <c r="H1830" s="305" t="s">
        <v>1963</v>
      </c>
      <c r="I1830" s="432" t="s">
        <v>3528</v>
      </c>
      <c r="K1830" t="s">
        <v>659</v>
      </c>
      <c r="L1830" t="s">
        <v>669</v>
      </c>
      <c r="M1830" t="s">
        <v>2333</v>
      </c>
    </row>
    <row r="1831" spans="1:14">
      <c r="A1831" s="5">
        <v>1830</v>
      </c>
      <c r="B1831" t="str">
        <f t="shared" si="185"/>
        <v>TO</v>
      </c>
      <c r="C1831" t="str">
        <f t="shared" si="186"/>
        <v>KB</v>
      </c>
      <c r="D1831" t="s">
        <v>3379</v>
      </c>
      <c r="E1831" s="5"/>
      <c r="G1831" s="4" t="s">
        <v>3529</v>
      </c>
      <c r="H1831" s="305" t="s">
        <v>1964</v>
      </c>
      <c r="I1831" s="432" t="s">
        <v>3530</v>
      </c>
      <c r="K1831" t="s">
        <v>659</v>
      </c>
      <c r="L1831" t="s">
        <v>669</v>
      </c>
      <c r="M1831" t="s">
        <v>2333</v>
      </c>
    </row>
    <row r="1832" spans="1:14">
      <c r="A1832" s="5">
        <v>1831</v>
      </c>
      <c r="B1832" t="str">
        <f t="shared" si="185"/>
        <v>TO</v>
      </c>
      <c r="C1832" t="str">
        <f t="shared" si="186"/>
        <v>KB</v>
      </c>
      <c r="D1832" t="s">
        <v>3379</v>
      </c>
      <c r="E1832" s="5"/>
      <c r="G1832" s="4" t="s">
        <v>3529</v>
      </c>
      <c r="H1832" s="305" t="s">
        <v>1965</v>
      </c>
      <c r="I1832" s="432" t="s">
        <v>3531</v>
      </c>
      <c r="K1832" t="s">
        <v>659</v>
      </c>
      <c r="L1832" t="s">
        <v>669</v>
      </c>
      <c r="M1832" t="s">
        <v>2333</v>
      </c>
    </row>
    <row r="1833" spans="1:14">
      <c r="A1833" s="5">
        <v>1832</v>
      </c>
      <c r="B1833" t="str">
        <f t="shared" si="185"/>
        <v>TO</v>
      </c>
      <c r="C1833" t="str">
        <f t="shared" si="186"/>
        <v>KB</v>
      </c>
      <c r="D1833" t="s">
        <v>3379</v>
      </c>
      <c r="E1833" s="5"/>
      <c r="G1833" s="4" t="s">
        <v>3529</v>
      </c>
      <c r="H1833" s="305" t="s">
        <v>1966</v>
      </c>
      <c r="I1833" s="432" t="s">
        <v>3532</v>
      </c>
      <c r="K1833" t="s">
        <v>659</v>
      </c>
      <c r="L1833" t="s">
        <v>669</v>
      </c>
      <c r="M1833" t="s">
        <v>2333</v>
      </c>
    </row>
    <row r="1834" spans="1:14">
      <c r="A1834" s="5">
        <v>1833</v>
      </c>
      <c r="B1834" t="str">
        <f t="shared" si="185"/>
        <v>TO</v>
      </c>
      <c r="C1834" t="str">
        <f t="shared" si="186"/>
        <v>KB</v>
      </c>
      <c r="D1834" t="s">
        <v>3379</v>
      </c>
      <c r="E1834" s="5"/>
      <c r="G1834" s="4" t="s">
        <v>3529</v>
      </c>
      <c r="H1834" s="306" t="s">
        <v>2117</v>
      </c>
      <c r="I1834" s="432" t="s">
        <v>3533</v>
      </c>
      <c r="K1834" t="s">
        <v>659</v>
      </c>
      <c r="L1834" t="s">
        <v>669</v>
      </c>
      <c r="M1834" t="s">
        <v>2333</v>
      </c>
    </row>
    <row r="1835" spans="1:14">
      <c r="A1835" s="5">
        <v>1834</v>
      </c>
      <c r="B1835" t="str">
        <f t="shared" si="185"/>
        <v>TO</v>
      </c>
      <c r="C1835" t="str">
        <f t="shared" si="186"/>
        <v>KB</v>
      </c>
      <c r="D1835" t="s">
        <v>3379</v>
      </c>
      <c r="E1835" s="5"/>
      <c r="G1835" s="4" t="s">
        <v>3529</v>
      </c>
      <c r="H1835" s="306" t="s">
        <v>2395</v>
      </c>
      <c r="I1835" s="438" t="s">
        <v>2473</v>
      </c>
      <c r="K1835" t="s">
        <v>659</v>
      </c>
      <c r="L1835" t="s">
        <v>669</v>
      </c>
      <c r="M1835" t="s">
        <v>2333</v>
      </c>
    </row>
    <row r="1836" spans="1:14">
      <c r="A1836" s="5">
        <v>1835</v>
      </c>
      <c r="B1836" t="str">
        <f t="shared" si="185"/>
        <v>TO</v>
      </c>
      <c r="C1836" t="str">
        <f t="shared" si="186"/>
        <v>KB</v>
      </c>
      <c r="D1836" t="s">
        <v>3475</v>
      </c>
      <c r="E1836" s="5"/>
      <c r="G1836" s="4" t="s">
        <v>3534</v>
      </c>
      <c r="H1836" s="306" t="s">
        <v>1763</v>
      </c>
      <c r="I1836" s="438" t="s">
        <v>2477</v>
      </c>
      <c r="K1836" t="s">
        <v>659</v>
      </c>
      <c r="L1836" t="s">
        <v>669</v>
      </c>
      <c r="M1836" t="s">
        <v>2333</v>
      </c>
    </row>
    <row r="1837" spans="1:14">
      <c r="A1837" s="5">
        <v>1836</v>
      </c>
      <c r="B1837" t="str">
        <f t="shared" si="185"/>
        <v>TO</v>
      </c>
      <c r="C1837" t="str">
        <f t="shared" si="186"/>
        <v>KB</v>
      </c>
      <c r="D1837" t="s">
        <v>3475</v>
      </c>
      <c r="E1837" s="5"/>
      <c r="G1837" s="4" t="s">
        <v>3534</v>
      </c>
      <c r="H1837" s="306" t="s">
        <v>1782</v>
      </c>
      <c r="I1837" s="432" t="s">
        <v>3535</v>
      </c>
      <c r="K1837" t="s">
        <v>659</v>
      </c>
      <c r="L1837" t="s">
        <v>669</v>
      </c>
      <c r="M1837" t="s">
        <v>2333</v>
      </c>
    </row>
    <row r="1838" spans="1:14">
      <c r="A1838" s="5">
        <v>1837</v>
      </c>
      <c r="B1838" t="str">
        <f t="shared" ref="B1838:B1841" si="217">MID(G1838,8,2)</f>
        <v>TO</v>
      </c>
      <c r="C1838" t="str">
        <f t="shared" ref="C1838:C1841" si="218">MID(G1838,11,2)</f>
        <v>KB</v>
      </c>
      <c r="D1838" t="s">
        <v>3475</v>
      </c>
      <c r="E1838" s="5"/>
      <c r="G1838" s="4" t="s">
        <v>3534</v>
      </c>
      <c r="H1838" s="306" t="s">
        <v>3536</v>
      </c>
      <c r="I1838" s="432" t="s">
        <v>2452</v>
      </c>
      <c r="K1838" t="s">
        <v>659</v>
      </c>
      <c r="L1838" t="s">
        <v>669</v>
      </c>
      <c r="M1838" t="s">
        <v>2392</v>
      </c>
      <c r="N1838" t="s">
        <v>2140</v>
      </c>
    </row>
    <row r="1839" spans="1:14">
      <c r="A1839" s="5">
        <v>1838</v>
      </c>
      <c r="B1839" t="str">
        <f t="shared" si="217"/>
        <v>TO</v>
      </c>
      <c r="C1839" t="str">
        <f t="shared" si="218"/>
        <v>KB</v>
      </c>
      <c r="D1839" t="s">
        <v>3475</v>
      </c>
      <c r="E1839" s="5"/>
      <c r="G1839" s="4" t="s">
        <v>3534</v>
      </c>
      <c r="H1839" s="306" t="s">
        <v>3537</v>
      </c>
      <c r="I1839" s="432" t="s">
        <v>3538</v>
      </c>
      <c r="K1839" t="s">
        <v>1434</v>
      </c>
      <c r="L1839" t="s">
        <v>669</v>
      </c>
      <c r="M1839" t="s">
        <v>2333</v>
      </c>
    </row>
    <row r="1840" spans="1:14">
      <c r="A1840" s="5">
        <v>1839</v>
      </c>
      <c r="B1840" t="str">
        <f t="shared" si="217"/>
        <v>TO</v>
      </c>
      <c r="C1840" t="str">
        <f t="shared" si="218"/>
        <v>KB</v>
      </c>
      <c r="D1840" t="s">
        <v>3475</v>
      </c>
      <c r="E1840" s="5"/>
      <c r="G1840" s="4" t="s">
        <v>3534</v>
      </c>
      <c r="H1840" s="306" t="s">
        <v>3539</v>
      </c>
      <c r="I1840" s="432" t="s">
        <v>3540</v>
      </c>
      <c r="K1840" t="s">
        <v>1434</v>
      </c>
      <c r="L1840" t="s">
        <v>669</v>
      </c>
      <c r="M1840" t="s">
        <v>2333</v>
      </c>
    </row>
    <row r="1841" spans="1:15">
      <c r="A1841" s="5">
        <v>1840</v>
      </c>
      <c r="B1841" t="str">
        <f t="shared" si="217"/>
        <v>TO</v>
      </c>
      <c r="C1841" t="str">
        <f t="shared" si="218"/>
        <v>KB</v>
      </c>
      <c r="D1841" t="s">
        <v>3475</v>
      </c>
      <c r="E1841" s="5"/>
      <c r="G1841" s="4" t="s">
        <v>3541</v>
      </c>
      <c r="H1841" s="306" t="s">
        <v>3542</v>
      </c>
      <c r="I1841" s="432" t="s">
        <v>3543</v>
      </c>
      <c r="K1841" t="s">
        <v>1434</v>
      </c>
      <c r="L1841" t="s">
        <v>669</v>
      </c>
      <c r="M1841" t="s">
        <v>2333</v>
      </c>
    </row>
    <row r="1842" spans="1:15">
      <c r="A1842" s="5">
        <v>1841</v>
      </c>
      <c r="B1842" t="str">
        <f t="shared" ref="B1842:B1847" si="219">MID(G1842,8,2)</f>
        <v>TO</v>
      </c>
      <c r="C1842" t="str">
        <f t="shared" ref="C1842:C1847" si="220">MID(G1842,11,2)</f>
        <v>KB</v>
      </c>
      <c r="D1842" t="s">
        <v>3475</v>
      </c>
      <c r="E1842" s="5"/>
      <c r="G1842" s="4" t="s">
        <v>3541</v>
      </c>
      <c r="H1842" s="306" t="s">
        <v>2664</v>
      </c>
      <c r="I1842" s="432" t="s">
        <v>2665</v>
      </c>
      <c r="K1842" t="s">
        <v>659</v>
      </c>
      <c r="L1842" t="s">
        <v>669</v>
      </c>
      <c r="M1842" t="s">
        <v>2333</v>
      </c>
    </row>
    <row r="1843" spans="1:15" ht="36">
      <c r="A1843" s="5">
        <v>1842</v>
      </c>
      <c r="B1843" t="str">
        <f t="shared" si="219"/>
        <v>TO</v>
      </c>
      <c r="C1843" t="str">
        <f t="shared" si="220"/>
        <v>KB</v>
      </c>
      <c r="D1843" t="s">
        <v>3475</v>
      </c>
      <c r="E1843" s="5"/>
      <c r="G1843" s="4" t="s">
        <v>3541</v>
      </c>
      <c r="H1843" s="306" t="s">
        <v>3544</v>
      </c>
      <c r="I1843" s="432" t="s">
        <v>3545</v>
      </c>
      <c r="K1843" t="s">
        <v>659</v>
      </c>
      <c r="L1843" t="s">
        <v>669</v>
      </c>
      <c r="M1843" t="s">
        <v>2333</v>
      </c>
    </row>
    <row r="1844" spans="1:15">
      <c r="A1844" s="5">
        <v>1843</v>
      </c>
      <c r="B1844" t="str">
        <f t="shared" si="219"/>
        <v>TO</v>
      </c>
      <c r="C1844" t="str">
        <f t="shared" si="220"/>
        <v>KB</v>
      </c>
      <c r="D1844" t="s">
        <v>3475</v>
      </c>
      <c r="E1844" s="5"/>
      <c r="G1844" s="4" t="s">
        <v>3541</v>
      </c>
      <c r="H1844" s="306" t="s">
        <v>3546</v>
      </c>
      <c r="I1844" s="432" t="s">
        <v>3547</v>
      </c>
      <c r="K1844" t="s">
        <v>1434</v>
      </c>
      <c r="L1844" t="s">
        <v>669</v>
      </c>
      <c r="M1844" t="s">
        <v>2333</v>
      </c>
    </row>
    <row r="1845" spans="1:15">
      <c r="A1845" s="5">
        <v>1844</v>
      </c>
      <c r="B1845" t="str">
        <f t="shared" si="219"/>
        <v>TO</v>
      </c>
      <c r="C1845" t="str">
        <f t="shared" si="220"/>
        <v>KB</v>
      </c>
      <c r="D1845" t="s">
        <v>3475</v>
      </c>
      <c r="E1845" s="5"/>
      <c r="G1845" s="4" t="s">
        <v>3541</v>
      </c>
      <c r="H1845" s="306" t="s">
        <v>1724</v>
      </c>
      <c r="I1845" s="432" t="s">
        <v>3548</v>
      </c>
      <c r="K1845" t="s">
        <v>659</v>
      </c>
      <c r="L1845" t="s">
        <v>669</v>
      </c>
      <c r="M1845" t="s">
        <v>2333</v>
      </c>
    </row>
    <row r="1846" spans="1:15">
      <c r="A1846" s="5">
        <v>1845</v>
      </c>
      <c r="B1846" t="str">
        <f t="shared" si="219"/>
        <v>TO</v>
      </c>
      <c r="C1846" t="str">
        <f t="shared" si="220"/>
        <v>KB</v>
      </c>
      <c r="D1846" t="s">
        <v>3475</v>
      </c>
      <c r="E1846" s="5"/>
      <c r="G1846" s="4" t="s">
        <v>3541</v>
      </c>
      <c r="H1846" s="306" t="s">
        <v>1718</v>
      </c>
      <c r="I1846" s="432" t="s">
        <v>2217</v>
      </c>
      <c r="K1846" t="s">
        <v>659</v>
      </c>
      <c r="L1846" t="s">
        <v>669</v>
      </c>
      <c r="M1846" t="s">
        <v>2333</v>
      </c>
    </row>
    <row r="1847" spans="1:15">
      <c r="A1847" s="5">
        <v>1846</v>
      </c>
      <c r="B1847" t="str">
        <f t="shared" si="219"/>
        <v>TO</v>
      </c>
      <c r="C1847" t="str">
        <f t="shared" si="220"/>
        <v>KB</v>
      </c>
      <c r="D1847" t="s">
        <v>3475</v>
      </c>
      <c r="E1847" s="5"/>
      <c r="G1847" s="4" t="s">
        <v>3541</v>
      </c>
      <c r="H1847" s="306" t="s">
        <v>1488</v>
      </c>
      <c r="I1847" s="432" t="s">
        <v>3549</v>
      </c>
      <c r="K1847" t="s">
        <v>659</v>
      </c>
      <c r="L1847" t="s">
        <v>669</v>
      </c>
      <c r="M1847" t="s">
        <v>2333</v>
      </c>
    </row>
    <row r="1848" spans="1:15">
      <c r="A1848" s="5">
        <v>1847</v>
      </c>
      <c r="B1848" t="str">
        <f t="shared" ref="B1848:B1862" si="221">MID(G1848,8,2)</f>
        <v>TO</v>
      </c>
      <c r="C1848" t="str">
        <f t="shared" ref="C1848:C1862" si="222">MID(G1848,11,2)</f>
        <v>WP</v>
      </c>
      <c r="D1848" t="s">
        <v>3475</v>
      </c>
      <c r="E1848" s="5"/>
      <c r="G1848" s="4" t="s">
        <v>3550</v>
      </c>
      <c r="H1848" s="306" t="s">
        <v>3551</v>
      </c>
      <c r="K1848" t="s">
        <v>2841</v>
      </c>
      <c r="L1848" t="s">
        <v>669</v>
      </c>
      <c r="M1848" t="s">
        <v>1424</v>
      </c>
      <c r="N1848" t="s">
        <v>3552</v>
      </c>
      <c r="O1848" s="4"/>
    </row>
    <row r="1849" spans="1:15">
      <c r="A1849" s="5">
        <v>1848</v>
      </c>
      <c r="B1849" t="str">
        <f t="shared" si="221"/>
        <v>TO</v>
      </c>
      <c r="C1849" t="str">
        <f t="shared" si="222"/>
        <v>Ap</v>
      </c>
      <c r="D1849" t="s">
        <v>3475</v>
      </c>
      <c r="E1849" s="5"/>
      <c r="G1849" s="4" t="s">
        <v>3553</v>
      </c>
      <c r="H1849" s="305" t="s">
        <v>3554</v>
      </c>
      <c r="K1849" t="s">
        <v>659</v>
      </c>
      <c r="L1849" t="s">
        <v>669</v>
      </c>
      <c r="M1849" t="s">
        <v>1424</v>
      </c>
      <c r="O1849" s="4"/>
    </row>
    <row r="1850" spans="1:15">
      <c r="A1850" s="5">
        <v>1849</v>
      </c>
      <c r="B1850" t="str">
        <f t="shared" ref="B1850:B1851" si="223">MID(G1850,8,2)</f>
        <v>TO</v>
      </c>
      <c r="C1850" t="str">
        <f t="shared" ref="C1850:C1851" si="224">MID(G1850,11,2)</f>
        <v>Ap</v>
      </c>
      <c r="D1850" t="s">
        <v>3475</v>
      </c>
      <c r="E1850" s="5"/>
      <c r="G1850" s="4" t="s">
        <v>3555</v>
      </c>
      <c r="H1850" s="305" t="s">
        <v>3556</v>
      </c>
      <c r="L1850" t="s">
        <v>669</v>
      </c>
      <c r="M1850" t="s">
        <v>1424</v>
      </c>
      <c r="O1850" s="4"/>
    </row>
    <row r="1851" spans="1:15">
      <c r="A1851" s="5">
        <v>1850</v>
      </c>
      <c r="B1851" t="str">
        <f t="shared" si="223"/>
        <v>TO</v>
      </c>
      <c r="C1851" t="str">
        <f t="shared" si="224"/>
        <v>Ap</v>
      </c>
      <c r="D1851" t="s">
        <v>3475</v>
      </c>
      <c r="E1851" s="5"/>
      <c r="G1851" s="4" t="s">
        <v>3553</v>
      </c>
      <c r="H1851" s="305" t="s">
        <v>3557</v>
      </c>
      <c r="L1851" t="s">
        <v>669</v>
      </c>
      <c r="M1851" t="s">
        <v>1424</v>
      </c>
      <c r="O1851" s="4"/>
    </row>
    <row r="1852" spans="1:15">
      <c r="A1852" s="5">
        <v>1851</v>
      </c>
      <c r="B1852" t="str">
        <f t="shared" si="221"/>
        <v>TO</v>
      </c>
      <c r="C1852" t="str">
        <f t="shared" si="222"/>
        <v>KB</v>
      </c>
      <c r="D1852" t="s">
        <v>3475</v>
      </c>
      <c r="E1852" s="5"/>
      <c r="G1852" s="4" t="s">
        <v>3558</v>
      </c>
      <c r="H1852" s="305" t="s">
        <v>3559</v>
      </c>
      <c r="I1852" s="432" t="s">
        <v>3560</v>
      </c>
      <c r="K1852" t="s">
        <v>1434</v>
      </c>
      <c r="L1852" t="s">
        <v>669</v>
      </c>
      <c r="M1852" t="s">
        <v>2333</v>
      </c>
      <c r="O1852" s="4"/>
    </row>
    <row r="1853" spans="1:15">
      <c r="A1853" s="5">
        <v>1852</v>
      </c>
      <c r="B1853" t="str">
        <f t="shared" si="221"/>
        <v>TO</v>
      </c>
      <c r="C1853" t="str">
        <f t="shared" si="222"/>
        <v>KB</v>
      </c>
      <c r="D1853" t="s">
        <v>3475</v>
      </c>
      <c r="E1853" s="5"/>
      <c r="G1853" s="4" t="s">
        <v>3558</v>
      </c>
      <c r="H1853" s="305" t="s">
        <v>3561</v>
      </c>
      <c r="I1853" s="432" t="s">
        <v>3562</v>
      </c>
      <c r="K1853" t="s">
        <v>659</v>
      </c>
      <c r="L1853" t="s">
        <v>669</v>
      </c>
      <c r="M1853" t="s">
        <v>2333</v>
      </c>
      <c r="O1853" s="4"/>
    </row>
    <row r="1854" spans="1:15">
      <c r="A1854" s="5">
        <v>1853</v>
      </c>
      <c r="B1854" t="str">
        <f t="shared" si="221"/>
        <v>TO</v>
      </c>
      <c r="C1854" t="str">
        <f t="shared" si="222"/>
        <v>KB</v>
      </c>
      <c r="D1854" t="s">
        <v>3475</v>
      </c>
      <c r="E1854" s="5"/>
      <c r="G1854" s="4" t="s">
        <v>3558</v>
      </c>
      <c r="H1854" s="305" t="s">
        <v>3563</v>
      </c>
      <c r="I1854" s="432" t="s">
        <v>3564</v>
      </c>
      <c r="K1854" t="s">
        <v>1434</v>
      </c>
      <c r="L1854" t="s">
        <v>669</v>
      </c>
      <c r="M1854" t="s">
        <v>2333</v>
      </c>
      <c r="O1854" s="4"/>
    </row>
    <row r="1855" spans="1:15">
      <c r="A1855" s="5">
        <v>1854</v>
      </c>
      <c r="B1855" t="str">
        <f t="shared" si="221"/>
        <v>TO</v>
      </c>
      <c r="C1855" t="str">
        <f t="shared" si="222"/>
        <v>KB</v>
      </c>
      <c r="D1855" t="s">
        <v>3475</v>
      </c>
      <c r="E1855" s="5"/>
      <c r="G1855" s="4" t="s">
        <v>3558</v>
      </c>
      <c r="H1855" s="305" t="s">
        <v>3565</v>
      </c>
      <c r="I1855" s="432" t="s">
        <v>3566</v>
      </c>
      <c r="K1855" t="s">
        <v>1434</v>
      </c>
      <c r="L1855" t="s">
        <v>669</v>
      </c>
      <c r="M1855" t="s">
        <v>2333</v>
      </c>
      <c r="O1855" s="4"/>
    </row>
    <row r="1856" spans="1:15" ht="36">
      <c r="A1856" s="5">
        <v>1855</v>
      </c>
      <c r="B1856" t="str">
        <f t="shared" si="221"/>
        <v>MH</v>
      </c>
      <c r="C1856" t="str">
        <f t="shared" si="222"/>
        <v>KB</v>
      </c>
      <c r="D1856" t="s">
        <v>3475</v>
      </c>
      <c r="E1856" s="5"/>
      <c r="G1856" s="4" t="s">
        <v>3567</v>
      </c>
      <c r="H1856" s="305" t="s">
        <v>3568</v>
      </c>
      <c r="I1856" s="432" t="s">
        <v>3569</v>
      </c>
      <c r="K1856" t="s">
        <v>659</v>
      </c>
      <c r="L1856" t="s">
        <v>669</v>
      </c>
      <c r="M1856" t="s">
        <v>2043</v>
      </c>
      <c r="N1856" t="s">
        <v>3570</v>
      </c>
      <c r="O1856" s="4"/>
    </row>
    <row r="1857" spans="1:15">
      <c r="A1857" s="5">
        <v>1856</v>
      </c>
      <c r="B1857" t="str">
        <f t="shared" si="221"/>
        <v>MH</v>
      </c>
      <c r="C1857" t="str">
        <f t="shared" si="222"/>
        <v>KB</v>
      </c>
      <c r="D1857" t="s">
        <v>3475</v>
      </c>
      <c r="E1857" s="5"/>
      <c r="G1857" s="4" t="s">
        <v>3567</v>
      </c>
      <c r="H1857" s="305" t="s">
        <v>1963</v>
      </c>
      <c r="I1857" s="432" t="s">
        <v>3528</v>
      </c>
      <c r="K1857" t="s">
        <v>659</v>
      </c>
      <c r="L1857" t="s">
        <v>669</v>
      </c>
      <c r="M1857" t="s">
        <v>2043</v>
      </c>
      <c r="N1857" t="s">
        <v>3570</v>
      </c>
      <c r="O1857" s="4"/>
    </row>
    <row r="1858" spans="1:15">
      <c r="A1858" s="5">
        <v>1857</v>
      </c>
      <c r="B1858" t="str">
        <f t="shared" si="221"/>
        <v>MH</v>
      </c>
      <c r="C1858" t="str">
        <f t="shared" si="222"/>
        <v>KB</v>
      </c>
      <c r="D1858" t="s">
        <v>3475</v>
      </c>
      <c r="E1858" s="5"/>
      <c r="G1858" s="4" t="s">
        <v>3567</v>
      </c>
      <c r="H1858" s="305" t="s">
        <v>1961</v>
      </c>
      <c r="I1858" s="432" t="s">
        <v>3526</v>
      </c>
      <c r="K1858" t="s">
        <v>659</v>
      </c>
      <c r="L1858" t="s">
        <v>669</v>
      </c>
      <c r="M1858" t="s">
        <v>2043</v>
      </c>
      <c r="N1858" t="s">
        <v>3570</v>
      </c>
      <c r="O1858" s="4"/>
    </row>
    <row r="1859" spans="1:15">
      <c r="A1859" s="5">
        <v>1858</v>
      </c>
      <c r="B1859" t="str">
        <f t="shared" si="221"/>
        <v>MH</v>
      </c>
      <c r="C1859" t="str">
        <f t="shared" si="222"/>
        <v>KB</v>
      </c>
      <c r="D1859" t="s">
        <v>3475</v>
      </c>
      <c r="E1859" s="5"/>
      <c r="G1859" s="4" t="s">
        <v>3567</v>
      </c>
      <c r="H1859" s="305" t="s">
        <v>1960</v>
      </c>
      <c r="I1859" s="432" t="s">
        <v>3525</v>
      </c>
      <c r="K1859" t="s">
        <v>659</v>
      </c>
      <c r="L1859" t="s">
        <v>669</v>
      </c>
      <c r="M1859" t="s">
        <v>2043</v>
      </c>
      <c r="N1859" t="s">
        <v>3570</v>
      </c>
      <c r="O1859" s="4"/>
    </row>
    <row r="1860" spans="1:15">
      <c r="A1860" s="5">
        <v>1859</v>
      </c>
      <c r="B1860" t="str">
        <f t="shared" ref="B1860" si="225">MID(G1860,8,2)</f>
        <v>MH</v>
      </c>
      <c r="C1860" t="str">
        <f t="shared" ref="C1860" si="226">MID(G1860,11,2)</f>
        <v>KB</v>
      </c>
      <c r="D1860" t="s">
        <v>3475</v>
      </c>
      <c r="E1860" s="5"/>
      <c r="G1860" s="4" t="s">
        <v>3567</v>
      </c>
      <c r="H1860" s="306" t="s">
        <v>1756</v>
      </c>
      <c r="I1860" s="432" t="s">
        <v>2414</v>
      </c>
      <c r="K1860" t="s">
        <v>659</v>
      </c>
      <c r="L1860" t="s">
        <v>669</v>
      </c>
      <c r="M1860" t="s">
        <v>2043</v>
      </c>
      <c r="N1860" t="s">
        <v>3456</v>
      </c>
      <c r="O1860" s="4"/>
    </row>
    <row r="1861" spans="1:15">
      <c r="A1861" s="5">
        <v>1860</v>
      </c>
      <c r="B1861" t="str">
        <f t="shared" si="221"/>
        <v>TO</v>
      </c>
      <c r="C1861" t="str">
        <f t="shared" si="222"/>
        <v>KB</v>
      </c>
      <c r="D1861" t="s">
        <v>3475</v>
      </c>
      <c r="E1861" s="5"/>
      <c r="G1861" s="4" t="s">
        <v>3571</v>
      </c>
      <c r="H1861" s="305" t="s">
        <v>254</v>
      </c>
      <c r="I1861" s="432" t="s">
        <v>3572</v>
      </c>
      <c r="K1861" t="s">
        <v>659</v>
      </c>
      <c r="L1861" t="s">
        <v>3573</v>
      </c>
      <c r="M1861" t="s">
        <v>2392</v>
      </c>
      <c r="N1861" t="s">
        <v>3574</v>
      </c>
      <c r="O1861" s="4"/>
    </row>
    <row r="1862" spans="1:15">
      <c r="A1862" s="5">
        <v>1861</v>
      </c>
      <c r="B1862" t="str">
        <f t="shared" si="221"/>
        <v>TO</v>
      </c>
      <c r="C1862" t="str">
        <f t="shared" si="222"/>
        <v>KB</v>
      </c>
      <c r="D1862" t="s">
        <v>3475</v>
      </c>
      <c r="E1862" s="5"/>
      <c r="G1862" s="4" t="s">
        <v>3571</v>
      </c>
      <c r="H1862" s="305" t="s">
        <v>501</v>
      </c>
      <c r="I1862" s="432" t="s">
        <v>3575</v>
      </c>
      <c r="K1862" t="s">
        <v>659</v>
      </c>
      <c r="L1862" t="s">
        <v>3573</v>
      </c>
      <c r="M1862" t="s">
        <v>2392</v>
      </c>
      <c r="N1862" t="s">
        <v>3456</v>
      </c>
      <c r="O1862" s="4"/>
    </row>
    <row r="1863" spans="1:15">
      <c r="A1863" s="5">
        <v>1862</v>
      </c>
      <c r="B1863" t="str">
        <f>MID(G1863,8,2)</f>
        <v>TO</v>
      </c>
      <c r="C1863" t="str">
        <f>MID(G1863,11,2)</f>
        <v>KB</v>
      </c>
      <c r="D1863" t="s">
        <v>3475</v>
      </c>
      <c r="E1863" s="5"/>
      <c r="G1863" s="4" t="s">
        <v>3576</v>
      </c>
      <c r="H1863" s="305" t="s">
        <v>498</v>
      </c>
      <c r="I1863" s="432" t="s">
        <v>3031</v>
      </c>
      <c r="K1863" t="s">
        <v>659</v>
      </c>
      <c r="L1863" t="s">
        <v>669</v>
      </c>
      <c r="M1863" t="s">
        <v>2333</v>
      </c>
      <c r="O1863" s="4"/>
    </row>
    <row r="1864" spans="1:15">
      <c r="A1864" s="5">
        <v>1863</v>
      </c>
      <c r="B1864" t="str">
        <f t="shared" ref="B1864:B1887" si="227">MID(G1864,8,2)</f>
        <v>TO</v>
      </c>
      <c r="C1864" t="str">
        <f t="shared" ref="C1864:C1887" si="228">MID(G1864,11,2)</f>
        <v>KB</v>
      </c>
      <c r="D1864" t="s">
        <v>3475</v>
      </c>
      <c r="E1864" s="5"/>
      <c r="G1864" s="4" t="s">
        <v>3577</v>
      </c>
      <c r="H1864" s="305" t="s">
        <v>3578</v>
      </c>
      <c r="I1864" s="432" t="s">
        <v>3045</v>
      </c>
      <c r="K1864" t="s">
        <v>659</v>
      </c>
      <c r="L1864" t="s">
        <v>669</v>
      </c>
      <c r="M1864" t="s">
        <v>2333</v>
      </c>
      <c r="O1864" s="4"/>
    </row>
    <row r="1865" spans="1:15">
      <c r="A1865" s="5">
        <v>1864</v>
      </c>
      <c r="B1865" t="str">
        <f t="shared" si="227"/>
        <v>TO</v>
      </c>
      <c r="C1865" t="str">
        <f t="shared" si="228"/>
        <v>KB</v>
      </c>
      <c r="D1865" t="s">
        <v>3475</v>
      </c>
      <c r="E1865" s="5"/>
      <c r="G1865" s="4" t="s">
        <v>3579</v>
      </c>
      <c r="H1865" s="306" t="s">
        <v>3580</v>
      </c>
      <c r="I1865" s="432" t="s">
        <v>3581</v>
      </c>
      <c r="K1865" t="s">
        <v>659</v>
      </c>
      <c r="L1865" t="s">
        <v>669</v>
      </c>
      <c r="M1865" t="s">
        <v>2333</v>
      </c>
      <c r="O1865" s="4"/>
    </row>
    <row r="1866" spans="1:15">
      <c r="A1866" s="5">
        <v>1865</v>
      </c>
      <c r="B1866" t="str">
        <f t="shared" si="227"/>
        <v>TO</v>
      </c>
      <c r="C1866" t="str">
        <f t="shared" si="228"/>
        <v>KB</v>
      </c>
      <c r="D1866" t="s">
        <v>3475</v>
      </c>
      <c r="E1866" s="5"/>
      <c r="G1866" s="4" t="s">
        <v>3577</v>
      </c>
      <c r="H1866" s="305" t="s">
        <v>3582</v>
      </c>
      <c r="I1866" s="432" t="s">
        <v>3583</v>
      </c>
      <c r="K1866" t="s">
        <v>1434</v>
      </c>
      <c r="L1866" t="s">
        <v>669</v>
      </c>
      <c r="M1866" t="s">
        <v>2333</v>
      </c>
      <c r="O1866" s="4"/>
    </row>
    <row r="1867" spans="1:15">
      <c r="A1867" s="5">
        <v>1866</v>
      </c>
      <c r="B1867" t="str">
        <f t="shared" si="227"/>
        <v>TO</v>
      </c>
      <c r="C1867" t="str">
        <f t="shared" si="228"/>
        <v>KB</v>
      </c>
      <c r="D1867" t="s">
        <v>3475</v>
      </c>
      <c r="E1867" s="5"/>
      <c r="G1867" s="4" t="s">
        <v>3579</v>
      </c>
      <c r="H1867" s="305" t="s">
        <v>1967</v>
      </c>
      <c r="I1867" s="432" t="s">
        <v>3584</v>
      </c>
      <c r="K1867" t="s">
        <v>659</v>
      </c>
      <c r="L1867" t="s">
        <v>669</v>
      </c>
      <c r="M1867" t="s">
        <v>2333</v>
      </c>
      <c r="O1867" s="4"/>
    </row>
    <row r="1868" spans="1:15">
      <c r="A1868" s="5">
        <v>1867</v>
      </c>
      <c r="B1868" t="str">
        <f t="shared" si="227"/>
        <v>TO</v>
      </c>
      <c r="C1868" t="str">
        <f t="shared" si="228"/>
        <v>KB</v>
      </c>
      <c r="D1868" t="s">
        <v>3475</v>
      </c>
      <c r="E1868" s="5"/>
      <c r="G1868" s="4" t="s">
        <v>3579</v>
      </c>
      <c r="H1868" s="305" t="s">
        <v>1969</v>
      </c>
      <c r="I1868" s="432" t="s">
        <v>3585</v>
      </c>
      <c r="K1868" t="s">
        <v>659</v>
      </c>
      <c r="L1868" t="s">
        <v>669</v>
      </c>
      <c r="M1868" t="s">
        <v>2333</v>
      </c>
      <c r="O1868" s="4"/>
    </row>
    <row r="1869" spans="1:15">
      <c r="A1869" s="5">
        <v>1868</v>
      </c>
      <c r="B1869" t="str">
        <f t="shared" si="227"/>
        <v>TO</v>
      </c>
      <c r="C1869" t="str">
        <f t="shared" si="228"/>
        <v>KB</v>
      </c>
      <c r="D1869" t="s">
        <v>3475</v>
      </c>
      <c r="E1869" s="5"/>
      <c r="G1869" s="4" t="s">
        <v>3586</v>
      </c>
      <c r="H1869" s="305" t="s">
        <v>1974</v>
      </c>
      <c r="I1869" s="432" t="s">
        <v>3587</v>
      </c>
      <c r="K1869" t="s">
        <v>1434</v>
      </c>
      <c r="L1869" t="s">
        <v>669</v>
      </c>
      <c r="M1869" t="s">
        <v>2333</v>
      </c>
      <c r="O1869" s="4"/>
    </row>
    <row r="1870" spans="1:15">
      <c r="A1870" s="5">
        <v>1869</v>
      </c>
      <c r="B1870" t="str">
        <f t="shared" si="227"/>
        <v>TO</v>
      </c>
      <c r="C1870" t="str">
        <f t="shared" si="228"/>
        <v>KB</v>
      </c>
      <c r="D1870" t="s">
        <v>3475</v>
      </c>
      <c r="E1870" s="5"/>
      <c r="G1870" s="4" t="s">
        <v>3588</v>
      </c>
      <c r="H1870" s="305" t="s">
        <v>1975</v>
      </c>
      <c r="I1870" s="432" t="s">
        <v>3589</v>
      </c>
      <c r="K1870" t="s">
        <v>1434</v>
      </c>
      <c r="L1870" t="s">
        <v>669</v>
      </c>
      <c r="M1870" t="s">
        <v>2333</v>
      </c>
      <c r="O1870" s="4"/>
    </row>
    <row r="1871" spans="1:15">
      <c r="A1871" s="5">
        <v>1870</v>
      </c>
      <c r="B1871" t="str">
        <f t="shared" si="227"/>
        <v>TO</v>
      </c>
      <c r="C1871" t="str">
        <f t="shared" si="228"/>
        <v>KB</v>
      </c>
      <c r="D1871" t="s">
        <v>3475</v>
      </c>
      <c r="E1871" s="5"/>
      <c r="G1871" s="4" t="s">
        <v>3588</v>
      </c>
      <c r="H1871" s="305" t="s">
        <v>1976</v>
      </c>
      <c r="I1871" s="432" t="s">
        <v>3590</v>
      </c>
      <c r="K1871" t="s">
        <v>1434</v>
      </c>
      <c r="L1871" t="s">
        <v>669</v>
      </c>
      <c r="M1871" t="s">
        <v>2333</v>
      </c>
      <c r="O1871" s="4"/>
    </row>
    <row r="1872" spans="1:15">
      <c r="A1872" s="5">
        <v>1871</v>
      </c>
      <c r="B1872" t="str">
        <f t="shared" si="227"/>
        <v>TO</v>
      </c>
      <c r="C1872" t="str">
        <f t="shared" si="228"/>
        <v>KB</v>
      </c>
      <c r="D1872" t="s">
        <v>3475</v>
      </c>
      <c r="E1872" s="5"/>
      <c r="G1872" s="4" t="s">
        <v>3588</v>
      </c>
      <c r="H1872" s="305" t="s">
        <v>1977</v>
      </c>
      <c r="I1872" s="432" t="s">
        <v>3591</v>
      </c>
      <c r="K1872" t="s">
        <v>1434</v>
      </c>
      <c r="L1872" t="s">
        <v>669</v>
      </c>
      <c r="M1872" t="s">
        <v>2333</v>
      </c>
      <c r="O1872" s="4"/>
    </row>
    <row r="1873" spans="1:15">
      <c r="A1873" s="5">
        <v>1872</v>
      </c>
      <c r="B1873" t="str">
        <f t="shared" si="227"/>
        <v>TO</v>
      </c>
      <c r="C1873" t="str">
        <f t="shared" si="228"/>
        <v>KB</v>
      </c>
      <c r="D1873" t="s">
        <v>3475</v>
      </c>
      <c r="E1873" s="5"/>
      <c r="G1873" s="4" t="s">
        <v>3588</v>
      </c>
      <c r="H1873" s="305" t="s">
        <v>1979</v>
      </c>
      <c r="I1873" s="432" t="s">
        <v>3592</v>
      </c>
      <c r="K1873" t="s">
        <v>1434</v>
      </c>
      <c r="L1873" t="s">
        <v>669</v>
      </c>
      <c r="M1873" t="s">
        <v>2333</v>
      </c>
      <c r="O1873" s="4"/>
    </row>
    <row r="1874" spans="1:15">
      <c r="A1874" s="5">
        <v>1873</v>
      </c>
      <c r="B1874" t="str">
        <f t="shared" si="227"/>
        <v>TO</v>
      </c>
      <c r="C1874" t="str">
        <f t="shared" si="228"/>
        <v>KB</v>
      </c>
      <c r="D1874" t="s">
        <v>3475</v>
      </c>
      <c r="E1874" s="5"/>
      <c r="G1874" s="4" t="s">
        <v>3588</v>
      </c>
      <c r="H1874" s="305" t="s">
        <v>1980</v>
      </c>
      <c r="I1874" s="432" t="s">
        <v>3593</v>
      </c>
      <c r="K1874" t="s">
        <v>1434</v>
      </c>
      <c r="L1874" t="s">
        <v>669</v>
      </c>
      <c r="M1874" t="s">
        <v>2333</v>
      </c>
      <c r="O1874" s="4"/>
    </row>
    <row r="1875" spans="1:15">
      <c r="A1875" s="5">
        <v>1874</v>
      </c>
      <c r="B1875" t="str">
        <f t="shared" si="227"/>
        <v>TO</v>
      </c>
      <c r="C1875" t="str">
        <f t="shared" si="228"/>
        <v>KB</v>
      </c>
      <c r="D1875" t="s">
        <v>3475</v>
      </c>
      <c r="E1875" s="5"/>
      <c r="G1875" s="4" t="s">
        <v>3594</v>
      </c>
      <c r="H1875" s="305" t="s">
        <v>1981</v>
      </c>
      <c r="I1875" s="432" t="s">
        <v>3595</v>
      </c>
      <c r="K1875" t="s">
        <v>1434</v>
      </c>
      <c r="L1875" t="s">
        <v>669</v>
      </c>
      <c r="M1875" t="s">
        <v>2333</v>
      </c>
      <c r="O1875" s="4"/>
    </row>
    <row r="1876" spans="1:15">
      <c r="A1876" s="5">
        <v>1875</v>
      </c>
      <c r="B1876" t="str">
        <f t="shared" si="227"/>
        <v>TO</v>
      </c>
      <c r="C1876" t="str">
        <f t="shared" si="228"/>
        <v>KB</v>
      </c>
      <c r="D1876" t="s">
        <v>3475</v>
      </c>
      <c r="E1876" s="5"/>
      <c r="G1876" s="4" t="s">
        <v>3596</v>
      </c>
      <c r="H1876" s="305" t="s">
        <v>1982</v>
      </c>
      <c r="I1876" s="432" t="s">
        <v>3597</v>
      </c>
      <c r="K1876" t="s">
        <v>1434</v>
      </c>
      <c r="L1876" t="s">
        <v>669</v>
      </c>
      <c r="M1876" t="s">
        <v>2333</v>
      </c>
      <c r="O1876" s="4"/>
    </row>
    <row r="1877" spans="1:15">
      <c r="A1877" s="5">
        <v>1876</v>
      </c>
      <c r="B1877" t="str">
        <f t="shared" si="227"/>
        <v>TO</v>
      </c>
      <c r="C1877" t="str">
        <f t="shared" si="228"/>
        <v>KB</v>
      </c>
      <c r="D1877" t="s">
        <v>3475</v>
      </c>
      <c r="E1877" s="5"/>
      <c r="G1877" s="4" t="s">
        <v>3596</v>
      </c>
      <c r="H1877" s="305" t="s">
        <v>1983</v>
      </c>
      <c r="I1877" s="432" t="s">
        <v>3598</v>
      </c>
      <c r="K1877" t="s">
        <v>659</v>
      </c>
      <c r="L1877" t="s">
        <v>2137</v>
      </c>
      <c r="M1877" t="s">
        <v>2137</v>
      </c>
      <c r="N1877" t="s">
        <v>1788</v>
      </c>
      <c r="O1877" s="4"/>
    </row>
    <row r="1878" spans="1:15">
      <c r="A1878" s="5">
        <v>1877</v>
      </c>
      <c r="B1878" t="str">
        <f t="shared" si="227"/>
        <v>TO</v>
      </c>
      <c r="C1878" t="str">
        <f t="shared" si="228"/>
        <v>KB</v>
      </c>
      <c r="D1878" t="s">
        <v>3599</v>
      </c>
      <c r="E1878" s="5"/>
      <c r="G1878" s="4" t="s">
        <v>3600</v>
      </c>
      <c r="H1878" s="305" t="s">
        <v>1985</v>
      </c>
      <c r="I1878" s="432" t="s">
        <v>3601</v>
      </c>
      <c r="K1878" t="s">
        <v>1434</v>
      </c>
      <c r="L1878" t="s">
        <v>669</v>
      </c>
      <c r="M1878" t="s">
        <v>2333</v>
      </c>
      <c r="O1878" s="4"/>
    </row>
    <row r="1879" spans="1:15">
      <c r="A1879" s="5">
        <v>1878</v>
      </c>
      <c r="B1879" t="str">
        <f t="shared" si="227"/>
        <v>TO</v>
      </c>
      <c r="C1879" t="str">
        <f t="shared" si="228"/>
        <v>KB</v>
      </c>
      <c r="D1879" t="s">
        <v>3599</v>
      </c>
      <c r="E1879" s="5"/>
      <c r="G1879" s="4" t="s">
        <v>3600</v>
      </c>
      <c r="H1879" s="305" t="s">
        <v>1986</v>
      </c>
      <c r="I1879" s="432" t="s">
        <v>3602</v>
      </c>
      <c r="K1879" t="s">
        <v>1434</v>
      </c>
      <c r="L1879" t="s">
        <v>669</v>
      </c>
      <c r="M1879" t="s">
        <v>2333</v>
      </c>
      <c r="O1879" s="4"/>
    </row>
    <row r="1880" spans="1:15">
      <c r="A1880" s="5">
        <v>1879</v>
      </c>
      <c r="B1880" t="str">
        <f t="shared" si="227"/>
        <v>TO</v>
      </c>
      <c r="C1880" t="str">
        <f t="shared" si="228"/>
        <v>KB</v>
      </c>
      <c r="D1880" t="s">
        <v>3599</v>
      </c>
      <c r="E1880" s="5"/>
      <c r="G1880" s="4" t="s">
        <v>3600</v>
      </c>
      <c r="H1880" s="305" t="s">
        <v>1987</v>
      </c>
      <c r="I1880" s="432" t="s">
        <v>3603</v>
      </c>
      <c r="K1880" t="s">
        <v>1434</v>
      </c>
      <c r="L1880" t="s">
        <v>669</v>
      </c>
      <c r="M1880" t="s">
        <v>2333</v>
      </c>
      <c r="O1880" s="4"/>
    </row>
    <row r="1881" spans="1:15">
      <c r="A1881" s="5">
        <v>1880</v>
      </c>
      <c r="B1881" t="str">
        <f t="shared" si="227"/>
        <v>TO</v>
      </c>
      <c r="C1881" t="str">
        <f t="shared" si="228"/>
        <v>KB</v>
      </c>
      <c r="D1881" t="s">
        <v>3599</v>
      </c>
      <c r="E1881" s="5"/>
      <c r="G1881" s="4" t="s">
        <v>3600</v>
      </c>
      <c r="H1881" s="305" t="s">
        <v>1988</v>
      </c>
      <c r="I1881" s="432" t="s">
        <v>3604</v>
      </c>
      <c r="K1881" t="s">
        <v>1434</v>
      </c>
      <c r="L1881" t="s">
        <v>669</v>
      </c>
      <c r="M1881" t="s">
        <v>2333</v>
      </c>
      <c r="O1881" s="4"/>
    </row>
    <row r="1882" spans="1:15">
      <c r="A1882" s="5">
        <v>1881</v>
      </c>
      <c r="B1882" t="str">
        <f t="shared" si="227"/>
        <v>TO</v>
      </c>
      <c r="C1882" t="str">
        <f t="shared" si="228"/>
        <v>KB</v>
      </c>
      <c r="D1882" t="s">
        <v>3599</v>
      </c>
      <c r="E1882" s="5"/>
      <c r="G1882" s="4" t="s">
        <v>3600</v>
      </c>
      <c r="H1882" s="306" t="s">
        <v>1722</v>
      </c>
      <c r="I1882" s="432" t="s">
        <v>3605</v>
      </c>
      <c r="K1882" t="s">
        <v>659</v>
      </c>
      <c r="L1882" t="s">
        <v>669</v>
      </c>
      <c r="M1882" t="s">
        <v>2333</v>
      </c>
      <c r="O1882" s="4"/>
    </row>
    <row r="1883" spans="1:15">
      <c r="A1883" s="5">
        <v>1882</v>
      </c>
      <c r="B1883" t="str">
        <f t="shared" si="227"/>
        <v>TO</v>
      </c>
      <c r="C1883" t="str">
        <f t="shared" si="228"/>
        <v>KB</v>
      </c>
      <c r="D1883" t="s">
        <v>3599</v>
      </c>
      <c r="E1883" s="5"/>
      <c r="G1883" s="4" t="s">
        <v>3606</v>
      </c>
      <c r="H1883" s="306" t="s">
        <v>1725</v>
      </c>
      <c r="I1883" s="432" t="s">
        <v>3607</v>
      </c>
      <c r="K1883" t="s">
        <v>659</v>
      </c>
      <c r="L1883" t="s">
        <v>669</v>
      </c>
      <c r="M1883" t="s">
        <v>2333</v>
      </c>
      <c r="O1883" s="4"/>
    </row>
    <row r="1884" spans="1:15">
      <c r="A1884" s="5">
        <v>1883</v>
      </c>
      <c r="B1884" t="str">
        <f t="shared" si="227"/>
        <v>TO</v>
      </c>
      <c r="C1884" t="str">
        <f t="shared" si="228"/>
        <v>KB</v>
      </c>
      <c r="D1884" t="s">
        <v>3599</v>
      </c>
      <c r="E1884" s="5"/>
      <c r="G1884" s="4" t="s">
        <v>3608</v>
      </c>
      <c r="H1884" s="306" t="s">
        <v>3609</v>
      </c>
      <c r="I1884" s="432" t="s">
        <v>3045</v>
      </c>
      <c r="K1884" t="s">
        <v>659</v>
      </c>
      <c r="L1884" t="s">
        <v>2137</v>
      </c>
      <c r="M1884" t="s">
        <v>2137</v>
      </c>
      <c r="N1884" t="s">
        <v>1788</v>
      </c>
    </row>
    <row r="1885" spans="1:15">
      <c r="A1885" s="5">
        <v>1884</v>
      </c>
      <c r="B1885" t="str">
        <f t="shared" ref="B1885:B1886" si="229">MID(G1885,8,2)</f>
        <v>TO</v>
      </c>
      <c r="C1885" t="str">
        <f t="shared" ref="C1885:C1886" si="230">MID(G1885,11,2)</f>
        <v>KB</v>
      </c>
      <c r="D1885" t="s">
        <v>3599</v>
      </c>
      <c r="E1885" s="5"/>
      <c r="G1885" s="4" t="s">
        <v>3610</v>
      </c>
      <c r="H1885" s="306" t="s">
        <v>3611</v>
      </c>
      <c r="I1885" s="432" t="s">
        <v>3612</v>
      </c>
      <c r="K1885" t="s">
        <v>1434</v>
      </c>
      <c r="L1885" t="s">
        <v>669</v>
      </c>
      <c r="M1885" t="s">
        <v>2333</v>
      </c>
    </row>
    <row r="1886" spans="1:15">
      <c r="A1886" s="5">
        <v>1885</v>
      </c>
      <c r="B1886" t="str">
        <f t="shared" si="229"/>
        <v>TO</v>
      </c>
      <c r="C1886" t="str">
        <f t="shared" si="230"/>
        <v>KB</v>
      </c>
      <c r="D1886" t="s">
        <v>3599</v>
      </c>
      <c r="E1886" s="5"/>
      <c r="G1886" s="4" t="s">
        <v>3610</v>
      </c>
      <c r="H1886" s="306" t="s">
        <v>3613</v>
      </c>
      <c r="I1886" s="432" t="s">
        <v>3614</v>
      </c>
      <c r="K1886" t="s">
        <v>1434</v>
      </c>
      <c r="L1886" t="s">
        <v>669</v>
      </c>
      <c r="M1886" t="s">
        <v>2333</v>
      </c>
    </row>
    <row r="1887" spans="1:15" ht="36">
      <c r="A1887" s="5">
        <v>1886</v>
      </c>
      <c r="B1887" t="str">
        <f t="shared" si="227"/>
        <v>MH</v>
      </c>
      <c r="C1887" t="str">
        <f t="shared" si="228"/>
        <v>KB</v>
      </c>
      <c r="D1887" t="s">
        <v>3599</v>
      </c>
      <c r="E1887" s="5"/>
      <c r="G1887" s="4" t="s">
        <v>3615</v>
      </c>
      <c r="H1887" s="306" t="s">
        <v>289</v>
      </c>
      <c r="I1887" s="432" t="s">
        <v>3569</v>
      </c>
      <c r="K1887" t="s">
        <v>659</v>
      </c>
      <c r="L1887" t="s">
        <v>669</v>
      </c>
      <c r="M1887" t="s">
        <v>2333</v>
      </c>
      <c r="N1887" t="s">
        <v>496</v>
      </c>
    </row>
    <row r="1888" spans="1:15">
      <c r="A1888" s="5">
        <v>1887</v>
      </c>
      <c r="B1888" t="str">
        <f t="shared" ref="B1888:B1892" si="231">MID(G1888,8,2)</f>
        <v>TO</v>
      </c>
      <c r="C1888" t="str">
        <f t="shared" ref="C1888:C1902" si="232">MID(G1888,11,2)</f>
        <v>KB</v>
      </c>
      <c r="D1888" t="s">
        <v>3599</v>
      </c>
      <c r="E1888" s="5"/>
      <c r="G1888" s="4" t="s">
        <v>3616</v>
      </c>
      <c r="H1888" s="305" t="s">
        <v>3617</v>
      </c>
      <c r="I1888" s="438" t="s">
        <v>2462</v>
      </c>
      <c r="K1888" t="s">
        <v>659</v>
      </c>
      <c r="L1888" t="s">
        <v>669</v>
      </c>
      <c r="M1888" t="s">
        <v>2333</v>
      </c>
      <c r="N1888" t="s">
        <v>3618</v>
      </c>
    </row>
    <row r="1889" spans="1:15">
      <c r="A1889" s="5">
        <v>1888</v>
      </c>
      <c r="B1889" t="str">
        <f t="shared" si="231"/>
        <v>TO</v>
      </c>
      <c r="C1889" t="str">
        <f t="shared" si="232"/>
        <v>KB</v>
      </c>
      <c r="D1889" t="s">
        <v>3599</v>
      </c>
      <c r="E1889" s="5"/>
      <c r="G1889" s="4" t="s">
        <v>3616</v>
      </c>
      <c r="H1889" s="306" t="s">
        <v>3619</v>
      </c>
      <c r="I1889" s="438" t="s">
        <v>3620</v>
      </c>
      <c r="K1889" t="s">
        <v>1434</v>
      </c>
      <c r="L1889" t="s">
        <v>669</v>
      </c>
      <c r="M1889" t="s">
        <v>2333</v>
      </c>
      <c r="N1889" t="s">
        <v>3621</v>
      </c>
    </row>
    <row r="1890" spans="1:15">
      <c r="A1890" s="5">
        <v>1889</v>
      </c>
      <c r="B1890" t="str">
        <f t="shared" si="231"/>
        <v>TO</v>
      </c>
      <c r="C1890" t="str">
        <f t="shared" si="232"/>
        <v>KB</v>
      </c>
      <c r="D1890" t="s">
        <v>3599</v>
      </c>
      <c r="E1890" s="5"/>
      <c r="G1890" s="4" t="s">
        <v>3616</v>
      </c>
      <c r="H1890" s="306" t="s">
        <v>1325</v>
      </c>
      <c r="I1890" s="432" t="s">
        <v>3622</v>
      </c>
      <c r="K1890" t="s">
        <v>659</v>
      </c>
      <c r="L1890" t="s">
        <v>669</v>
      </c>
      <c r="M1890" t="s">
        <v>2333</v>
      </c>
      <c r="N1890" t="s">
        <v>3623</v>
      </c>
    </row>
    <row r="1891" spans="1:15" ht="21.6">
      <c r="A1891" s="5">
        <v>1890</v>
      </c>
      <c r="B1891" t="str">
        <f t="shared" si="231"/>
        <v>TO</v>
      </c>
      <c r="C1891" t="str">
        <f t="shared" si="232"/>
        <v>KB</v>
      </c>
      <c r="D1891" t="s">
        <v>3599</v>
      </c>
      <c r="E1891" s="5"/>
      <c r="G1891" s="4" t="s">
        <v>3624</v>
      </c>
      <c r="H1891" s="313" t="s">
        <v>2136</v>
      </c>
      <c r="I1891" s="438" t="s">
        <v>2698</v>
      </c>
      <c r="K1891" t="s">
        <v>659</v>
      </c>
      <c r="L1891" t="s">
        <v>669</v>
      </c>
      <c r="M1891" t="s">
        <v>2333</v>
      </c>
    </row>
    <row r="1892" spans="1:15">
      <c r="A1892" s="5">
        <v>1891</v>
      </c>
      <c r="B1892" t="str">
        <f t="shared" si="231"/>
        <v>TO</v>
      </c>
      <c r="C1892" t="str">
        <f t="shared" si="232"/>
        <v>KB</v>
      </c>
      <c r="D1892" t="s">
        <v>3599</v>
      </c>
      <c r="E1892" s="5"/>
      <c r="G1892" s="4" t="s">
        <v>3625</v>
      </c>
      <c r="H1892" s="305" t="s">
        <v>254</v>
      </c>
      <c r="I1892" s="432" t="s">
        <v>3572</v>
      </c>
      <c r="K1892" t="s">
        <v>659</v>
      </c>
      <c r="L1892" t="s">
        <v>669</v>
      </c>
      <c r="M1892" t="s">
        <v>2333</v>
      </c>
    </row>
    <row r="1893" spans="1:15">
      <c r="A1893" s="5">
        <v>1892</v>
      </c>
      <c r="B1893" t="str">
        <f t="shared" ref="B1893:B1902" si="233">MID(G1893,8,2)</f>
        <v>MH</v>
      </c>
      <c r="C1893" t="str">
        <f t="shared" si="232"/>
        <v>KB</v>
      </c>
      <c r="D1893" t="s">
        <v>3599</v>
      </c>
      <c r="E1893" s="5"/>
      <c r="G1893" s="4" t="s">
        <v>3626</v>
      </c>
      <c r="H1893" s="305" t="s">
        <v>501</v>
      </c>
      <c r="I1893" s="432" t="s">
        <v>3575</v>
      </c>
      <c r="K1893" t="s">
        <v>659</v>
      </c>
      <c r="L1893" t="s">
        <v>669</v>
      </c>
      <c r="M1893" t="s">
        <v>2333</v>
      </c>
      <c r="N1893" t="s">
        <v>3627</v>
      </c>
    </row>
    <row r="1894" spans="1:15">
      <c r="A1894" s="5">
        <v>1893</v>
      </c>
      <c r="B1894" t="str">
        <f t="shared" ref="B1894" si="234">MID(G1894,8,2)</f>
        <v>MH</v>
      </c>
      <c r="C1894" t="str">
        <f t="shared" ref="C1894" si="235">MID(G1894,11,2)</f>
        <v>KB</v>
      </c>
      <c r="D1894" t="s">
        <v>3599</v>
      </c>
      <c r="E1894" s="5"/>
      <c r="G1894" s="4" t="s">
        <v>3628</v>
      </c>
      <c r="H1894" s="305" t="s">
        <v>502</v>
      </c>
      <c r="I1894" s="432" t="s">
        <v>3629</v>
      </c>
      <c r="K1894" t="s">
        <v>659</v>
      </c>
      <c r="L1894" t="s">
        <v>669</v>
      </c>
      <c r="M1894" t="s">
        <v>2333</v>
      </c>
      <c r="N1894" t="s">
        <v>3630</v>
      </c>
      <c r="O1894" t="s">
        <v>3631</v>
      </c>
    </row>
    <row r="1895" spans="1:15">
      <c r="A1895" s="5">
        <v>1894</v>
      </c>
      <c r="B1895" t="str">
        <f t="shared" ref="B1895" si="236">MID(G1895,8,2)</f>
        <v>MH</v>
      </c>
      <c r="C1895" t="str">
        <f t="shared" ref="C1895" si="237">MID(G1895,11,2)</f>
        <v>KB</v>
      </c>
      <c r="D1895" t="s">
        <v>3599</v>
      </c>
      <c r="E1895" s="5"/>
      <c r="G1895" s="4" t="s">
        <v>3632</v>
      </c>
      <c r="H1895" s="305" t="s">
        <v>502</v>
      </c>
      <c r="I1895" s="432" t="s">
        <v>3629</v>
      </c>
      <c r="K1895" t="s">
        <v>659</v>
      </c>
      <c r="L1895" t="s">
        <v>669</v>
      </c>
      <c r="M1895" t="s">
        <v>2333</v>
      </c>
    </row>
    <row r="1896" spans="1:15">
      <c r="A1896" s="5">
        <v>1895</v>
      </c>
      <c r="B1896" t="str">
        <f t="shared" ref="B1896:B1897" si="238">MID(G1896,8,2)</f>
        <v>TO</v>
      </c>
      <c r="C1896" t="str">
        <f t="shared" ref="C1896:C1897" si="239">MID(G1896,11,2)</f>
        <v>KB</v>
      </c>
      <c r="D1896" t="s">
        <v>3599</v>
      </c>
      <c r="E1896" s="5">
        <v>1</v>
      </c>
      <c r="G1896" s="4" t="s">
        <v>3633</v>
      </c>
      <c r="H1896" s="305" t="s">
        <v>623</v>
      </c>
      <c r="I1896" s="432" t="s">
        <v>2671</v>
      </c>
      <c r="K1896" t="s">
        <v>659</v>
      </c>
      <c r="L1896" t="s">
        <v>669</v>
      </c>
      <c r="M1896" t="s">
        <v>2333</v>
      </c>
    </row>
    <row r="1897" spans="1:15" ht="30.6" customHeight="1">
      <c r="A1897" s="5">
        <v>1896</v>
      </c>
      <c r="B1897" t="str">
        <f t="shared" si="238"/>
        <v>TO</v>
      </c>
      <c r="C1897" t="str">
        <f t="shared" si="239"/>
        <v>KB</v>
      </c>
      <c r="D1897" t="s">
        <v>3599</v>
      </c>
      <c r="E1897" s="5">
        <v>1</v>
      </c>
      <c r="G1897" s="4" t="s">
        <v>3634</v>
      </c>
      <c r="H1897" s="305" t="s">
        <v>3635</v>
      </c>
      <c r="I1897" s="432" t="s">
        <v>3636</v>
      </c>
      <c r="K1897" t="s">
        <v>1434</v>
      </c>
      <c r="L1897" t="s">
        <v>669</v>
      </c>
      <c r="M1897" t="s">
        <v>2333</v>
      </c>
    </row>
    <row r="1898" spans="1:15">
      <c r="A1898" s="5">
        <v>1897</v>
      </c>
      <c r="B1898" t="str">
        <f t="shared" ref="B1898" si="240">MID(G1898,8,2)</f>
        <v>TO</v>
      </c>
      <c r="C1898" t="str">
        <f t="shared" ref="C1898" si="241">MID(G1898,11,2)</f>
        <v>KB</v>
      </c>
      <c r="D1898" t="s">
        <v>3637</v>
      </c>
      <c r="E1898" s="5">
        <v>1</v>
      </c>
      <c r="G1898" s="4" t="s">
        <v>3638</v>
      </c>
      <c r="H1898" s="328" t="s">
        <v>510</v>
      </c>
      <c r="I1898" s="432" t="s">
        <v>3639</v>
      </c>
      <c r="K1898" t="s">
        <v>659</v>
      </c>
      <c r="L1898" t="s">
        <v>669</v>
      </c>
      <c r="M1898" t="s">
        <v>2333</v>
      </c>
      <c r="N1898" t="s">
        <v>3640</v>
      </c>
    </row>
    <row r="1899" spans="1:15">
      <c r="A1899" s="5">
        <v>1898</v>
      </c>
      <c r="B1899" t="str">
        <f t="shared" si="233"/>
        <v>TO</v>
      </c>
      <c r="C1899" t="str">
        <f t="shared" si="232"/>
        <v>KB</v>
      </c>
      <c r="D1899" t="s">
        <v>3599</v>
      </c>
      <c r="E1899" s="5">
        <v>1</v>
      </c>
      <c r="G1899" s="4" t="s">
        <v>3641</v>
      </c>
      <c r="H1899" s="305" t="s">
        <v>3642</v>
      </c>
      <c r="I1899" s="432" t="s">
        <v>3643</v>
      </c>
      <c r="K1899" t="s">
        <v>659</v>
      </c>
      <c r="L1899" t="s">
        <v>669</v>
      </c>
      <c r="M1899" t="s">
        <v>2333</v>
      </c>
    </row>
    <row r="1900" spans="1:15" ht="36">
      <c r="A1900" s="5">
        <v>1899</v>
      </c>
      <c r="B1900" t="str">
        <f t="shared" ref="B1900:B1901" si="242">MID(G1900,8,2)</f>
        <v>TO</v>
      </c>
      <c r="C1900" t="str">
        <f t="shared" ref="C1900:C1901" si="243">MID(G1900,11,2)</f>
        <v>KB</v>
      </c>
      <c r="D1900" t="s">
        <v>3599</v>
      </c>
      <c r="E1900" s="5">
        <v>1</v>
      </c>
      <c r="G1900" s="4" t="s">
        <v>3644</v>
      </c>
      <c r="H1900" s="306" t="s">
        <v>3645</v>
      </c>
      <c r="I1900" s="432" t="s">
        <v>3646</v>
      </c>
      <c r="K1900" t="s">
        <v>659</v>
      </c>
      <c r="L1900" t="s">
        <v>669</v>
      </c>
      <c r="M1900" t="s">
        <v>2333</v>
      </c>
    </row>
    <row r="1901" spans="1:15">
      <c r="A1901" s="5">
        <v>1900</v>
      </c>
      <c r="B1901" t="str">
        <f t="shared" si="242"/>
        <v>TO</v>
      </c>
      <c r="C1901" t="str">
        <f t="shared" si="243"/>
        <v>KB</v>
      </c>
      <c r="D1901" t="s">
        <v>3599</v>
      </c>
      <c r="E1901" s="5">
        <v>1</v>
      </c>
      <c r="G1901" s="4" t="s">
        <v>3641</v>
      </c>
      <c r="H1901" s="305" t="s">
        <v>3647</v>
      </c>
      <c r="I1901" s="432" t="s">
        <v>3648</v>
      </c>
      <c r="K1901" t="s">
        <v>659</v>
      </c>
      <c r="L1901" t="s">
        <v>669</v>
      </c>
      <c r="M1901" t="s">
        <v>2333</v>
      </c>
    </row>
    <row r="1902" spans="1:15">
      <c r="A1902" s="5">
        <v>1901</v>
      </c>
      <c r="B1902" t="str">
        <f t="shared" si="233"/>
        <v>TO</v>
      </c>
      <c r="C1902" t="str">
        <f t="shared" si="232"/>
        <v>KB</v>
      </c>
      <c r="D1902" t="s">
        <v>3599</v>
      </c>
      <c r="E1902" s="5">
        <v>2</v>
      </c>
      <c r="G1902" s="4" t="s">
        <v>3649</v>
      </c>
      <c r="H1902" s="305" t="s">
        <v>3650</v>
      </c>
      <c r="I1902" s="432" t="s">
        <v>3651</v>
      </c>
      <c r="K1902" t="s">
        <v>659</v>
      </c>
      <c r="L1902" t="s">
        <v>669</v>
      </c>
      <c r="M1902" t="s">
        <v>2333</v>
      </c>
    </row>
    <row r="1903" spans="1:15">
      <c r="A1903" s="5">
        <v>1902</v>
      </c>
      <c r="B1903" t="str">
        <f t="shared" ref="B1903:B1907" si="244">MID(G1903,8,2)</f>
        <v>TO</v>
      </c>
      <c r="C1903" t="str">
        <f t="shared" ref="C1903:C1907" si="245">MID(G1903,11,2)</f>
        <v>KB</v>
      </c>
      <c r="D1903" t="s">
        <v>3599</v>
      </c>
      <c r="E1903" s="5">
        <v>2</v>
      </c>
      <c r="G1903" s="4" t="s">
        <v>3649</v>
      </c>
      <c r="H1903" s="305" t="s">
        <v>2874</v>
      </c>
      <c r="I1903" s="432" t="s">
        <v>2875</v>
      </c>
      <c r="K1903" t="s">
        <v>659</v>
      </c>
      <c r="L1903" t="s">
        <v>669</v>
      </c>
      <c r="M1903" t="s">
        <v>2333</v>
      </c>
    </row>
    <row r="1904" spans="1:15">
      <c r="A1904" s="5">
        <v>1903</v>
      </c>
      <c r="B1904" t="str">
        <f t="shared" si="244"/>
        <v>TO</v>
      </c>
      <c r="C1904" t="str">
        <f t="shared" si="245"/>
        <v>KB</v>
      </c>
      <c r="D1904" t="s">
        <v>3599</v>
      </c>
      <c r="E1904" s="5">
        <v>2</v>
      </c>
      <c r="G1904" s="4" t="s">
        <v>3649</v>
      </c>
      <c r="H1904" s="306" t="s">
        <v>3652</v>
      </c>
      <c r="I1904" s="432" t="s">
        <v>3653</v>
      </c>
      <c r="K1904" t="s">
        <v>659</v>
      </c>
      <c r="L1904" t="s">
        <v>669</v>
      </c>
      <c r="M1904" t="s">
        <v>2333</v>
      </c>
    </row>
    <row r="1905" spans="1:15">
      <c r="A1905" s="5">
        <v>1904</v>
      </c>
      <c r="B1905" t="str">
        <f t="shared" si="244"/>
        <v>TO</v>
      </c>
      <c r="C1905" t="str">
        <f t="shared" si="245"/>
        <v>KB</v>
      </c>
      <c r="D1905" t="s">
        <v>3599</v>
      </c>
      <c r="E1905" s="5">
        <v>2</v>
      </c>
      <c r="G1905" s="4" t="s">
        <v>3649</v>
      </c>
      <c r="H1905" s="306" t="s">
        <v>3654</v>
      </c>
      <c r="I1905" s="432" t="s">
        <v>2820</v>
      </c>
      <c r="K1905" t="s">
        <v>659</v>
      </c>
      <c r="L1905" t="s">
        <v>669</v>
      </c>
      <c r="M1905" t="s">
        <v>2392</v>
      </c>
      <c r="N1905" t="s">
        <v>3655</v>
      </c>
    </row>
    <row r="1906" spans="1:15">
      <c r="A1906" s="5">
        <v>1905</v>
      </c>
      <c r="B1906" t="str">
        <f t="shared" si="244"/>
        <v>TO</v>
      </c>
      <c r="C1906" t="str">
        <f t="shared" si="245"/>
        <v>KB</v>
      </c>
      <c r="D1906" t="s">
        <v>3599</v>
      </c>
      <c r="E1906" s="5">
        <v>2</v>
      </c>
      <c r="G1906" s="4" t="s">
        <v>3649</v>
      </c>
      <c r="H1906" s="306" t="s">
        <v>1540</v>
      </c>
      <c r="I1906" s="432" t="s">
        <v>3412</v>
      </c>
      <c r="K1906" t="s">
        <v>659</v>
      </c>
      <c r="L1906" t="s">
        <v>669</v>
      </c>
      <c r="M1906" t="s">
        <v>2333</v>
      </c>
    </row>
    <row r="1907" spans="1:15">
      <c r="A1907" s="5">
        <v>1906</v>
      </c>
      <c r="B1907" t="str">
        <f t="shared" si="244"/>
        <v>TO</v>
      </c>
      <c r="C1907" t="str">
        <f t="shared" si="245"/>
        <v>KB</v>
      </c>
      <c r="D1907" t="s">
        <v>3599</v>
      </c>
      <c r="E1907" s="5">
        <v>2</v>
      </c>
      <c r="G1907" s="4" t="s">
        <v>3649</v>
      </c>
      <c r="H1907" s="306" t="s">
        <v>3422</v>
      </c>
      <c r="I1907" s="432" t="s">
        <v>3598</v>
      </c>
      <c r="K1907" t="s">
        <v>1434</v>
      </c>
      <c r="L1907" t="s">
        <v>669</v>
      </c>
      <c r="M1907" t="s">
        <v>2333</v>
      </c>
    </row>
    <row r="1908" spans="1:15">
      <c r="A1908" s="5">
        <v>1907</v>
      </c>
      <c r="B1908" t="str">
        <f t="shared" ref="B1908:B1932" si="246">MID(G1908,8,2)</f>
        <v>TO</v>
      </c>
      <c r="C1908" t="str">
        <f t="shared" ref="C1908:C1916" si="247">MID(G1908,11,2)</f>
        <v>KB</v>
      </c>
      <c r="D1908" t="s">
        <v>3599</v>
      </c>
      <c r="E1908" s="5">
        <v>1</v>
      </c>
      <c r="G1908" s="4" t="s">
        <v>3656</v>
      </c>
      <c r="H1908" s="305" t="s">
        <v>508</v>
      </c>
      <c r="I1908" s="432" t="s">
        <v>3657</v>
      </c>
      <c r="K1908" t="s">
        <v>1434</v>
      </c>
      <c r="L1908" t="s">
        <v>669</v>
      </c>
      <c r="M1908" t="s">
        <v>2333</v>
      </c>
      <c r="N1908" t="s">
        <v>3658</v>
      </c>
    </row>
    <row r="1909" spans="1:15">
      <c r="A1909" s="5">
        <v>1908</v>
      </c>
      <c r="B1909" t="str">
        <f t="shared" ref="B1909:B1910" si="248">MID(G1909,8,2)</f>
        <v>TO</v>
      </c>
      <c r="C1909" t="str">
        <f t="shared" ref="C1909:C1910" si="249">MID(G1909,11,2)</f>
        <v>KB</v>
      </c>
      <c r="D1909" t="s">
        <v>3599</v>
      </c>
      <c r="E1909" s="5">
        <v>1</v>
      </c>
      <c r="G1909" s="4" t="s">
        <v>3656</v>
      </c>
      <c r="H1909" s="306" t="s">
        <v>533</v>
      </c>
      <c r="I1909" s="432" t="s">
        <v>3659</v>
      </c>
      <c r="K1909" t="s">
        <v>1434</v>
      </c>
      <c r="L1909" t="s">
        <v>669</v>
      </c>
      <c r="M1909" t="s">
        <v>2333</v>
      </c>
    </row>
    <row r="1910" spans="1:15">
      <c r="A1910" s="5">
        <v>1909</v>
      </c>
      <c r="B1910" t="str">
        <f t="shared" si="248"/>
        <v>TO</v>
      </c>
      <c r="C1910" t="str">
        <f t="shared" si="249"/>
        <v>KB</v>
      </c>
      <c r="D1910" t="s">
        <v>3599</v>
      </c>
      <c r="E1910" s="5">
        <v>1</v>
      </c>
      <c r="G1910" s="4" t="s">
        <v>3656</v>
      </c>
      <c r="H1910" s="305" t="s">
        <v>502</v>
      </c>
      <c r="I1910" s="432" t="s">
        <v>3629</v>
      </c>
      <c r="K1910" t="s">
        <v>659</v>
      </c>
      <c r="L1910" t="s">
        <v>669</v>
      </c>
      <c r="M1910" t="s">
        <v>2392</v>
      </c>
    </row>
    <row r="1911" spans="1:15" ht="21.6">
      <c r="A1911" s="5">
        <v>1910</v>
      </c>
      <c r="B1911" t="str">
        <f t="shared" si="246"/>
        <v>TO</v>
      </c>
      <c r="C1911" t="str">
        <f t="shared" si="247"/>
        <v>KB</v>
      </c>
      <c r="D1911" t="s">
        <v>3599</v>
      </c>
      <c r="E1911" s="5">
        <v>2</v>
      </c>
      <c r="G1911" s="4" t="s">
        <v>3660</v>
      </c>
      <c r="H1911" s="327" t="s">
        <v>568</v>
      </c>
      <c r="I1911" s="450" t="s">
        <v>3661</v>
      </c>
      <c r="K1911" t="s">
        <v>1434</v>
      </c>
      <c r="L1911" t="s">
        <v>669</v>
      </c>
      <c r="M1911" t="s">
        <v>2492</v>
      </c>
    </row>
    <row r="1912" spans="1:15">
      <c r="A1912" s="5">
        <v>1911</v>
      </c>
      <c r="B1912" t="str">
        <f t="shared" ref="B1912:B1913" si="250">MID(G1912,8,2)</f>
        <v>TO</v>
      </c>
      <c r="C1912" t="str">
        <f t="shared" ref="C1912:C1913" si="251">MID(G1912,11,2)</f>
        <v>KB</v>
      </c>
      <c r="D1912" t="s">
        <v>3599</v>
      </c>
      <c r="E1912" s="5">
        <v>2</v>
      </c>
      <c r="G1912" s="4" t="s">
        <v>3660</v>
      </c>
      <c r="H1912" s="306" t="s">
        <v>1731</v>
      </c>
      <c r="I1912" s="438" t="s">
        <v>3662</v>
      </c>
      <c r="K1912" t="s">
        <v>1434</v>
      </c>
      <c r="L1912" t="s">
        <v>669</v>
      </c>
      <c r="M1912" t="s">
        <v>2333</v>
      </c>
    </row>
    <row r="1913" spans="1:15">
      <c r="A1913" s="5">
        <v>1912</v>
      </c>
      <c r="B1913" t="str">
        <f t="shared" si="250"/>
        <v>TO</v>
      </c>
      <c r="C1913" t="str">
        <f t="shared" si="251"/>
        <v>KB</v>
      </c>
      <c r="D1913" t="s">
        <v>3599</v>
      </c>
      <c r="E1913" s="5">
        <v>2</v>
      </c>
      <c r="G1913" s="4" t="s">
        <v>3660</v>
      </c>
      <c r="H1913" s="306" t="s">
        <v>272</v>
      </c>
      <c r="I1913" s="432" t="s">
        <v>3663</v>
      </c>
      <c r="K1913" t="s">
        <v>659</v>
      </c>
      <c r="L1913" t="s">
        <v>669</v>
      </c>
      <c r="M1913" t="s">
        <v>2333</v>
      </c>
    </row>
    <row r="1914" spans="1:15">
      <c r="A1914" s="5">
        <v>1913</v>
      </c>
      <c r="B1914" t="str">
        <f>MID(G1914,8,2)</f>
        <v>TO</v>
      </c>
      <c r="C1914" t="str">
        <f>MID(G1914,11,2)</f>
        <v>KB</v>
      </c>
      <c r="D1914" t="s">
        <v>3599</v>
      </c>
      <c r="E1914" s="5">
        <v>3</v>
      </c>
      <c r="G1914" s="4" t="s">
        <v>3664</v>
      </c>
      <c r="H1914" s="306" t="s">
        <v>1313</v>
      </c>
      <c r="I1914" s="432" t="s">
        <v>3522</v>
      </c>
      <c r="K1914" t="s">
        <v>659</v>
      </c>
      <c r="L1914" t="s">
        <v>669</v>
      </c>
      <c r="M1914" t="s">
        <v>2333</v>
      </c>
    </row>
    <row r="1915" spans="1:15">
      <c r="A1915" s="5">
        <v>1914</v>
      </c>
      <c r="B1915" t="str">
        <f>MID(G1915,8,2)</f>
        <v>TO</v>
      </c>
      <c r="C1915" t="str">
        <f>MID(G1915,11,2)</f>
        <v>KB</v>
      </c>
      <c r="D1915" t="s">
        <v>3599</v>
      </c>
      <c r="E1915" s="5">
        <v>3</v>
      </c>
      <c r="G1915" s="4" t="s">
        <v>3664</v>
      </c>
      <c r="H1915" s="306" t="s">
        <v>3493</v>
      </c>
      <c r="I1915" s="432" t="s">
        <v>3665</v>
      </c>
      <c r="K1915" t="s">
        <v>659</v>
      </c>
      <c r="L1915" t="s">
        <v>669</v>
      </c>
      <c r="M1915" t="s">
        <v>2333</v>
      </c>
    </row>
    <row r="1916" spans="1:15">
      <c r="A1916" s="5">
        <v>1915</v>
      </c>
      <c r="B1916" t="str">
        <f t="shared" si="246"/>
        <v>TO</v>
      </c>
      <c r="C1916" t="str">
        <f t="shared" si="247"/>
        <v>KB</v>
      </c>
      <c r="D1916" t="s">
        <v>3599</v>
      </c>
      <c r="E1916" s="5">
        <v>3</v>
      </c>
      <c r="G1916" s="4" t="s">
        <v>3664</v>
      </c>
      <c r="H1916" s="306" t="s">
        <v>443</v>
      </c>
      <c r="I1916" s="438" t="s">
        <v>2948</v>
      </c>
      <c r="K1916" t="s">
        <v>659</v>
      </c>
      <c r="L1916" t="s">
        <v>669</v>
      </c>
      <c r="M1916" t="s">
        <v>2333</v>
      </c>
    </row>
    <row r="1917" spans="1:15" ht="36">
      <c r="A1917" s="5">
        <v>1916</v>
      </c>
      <c r="B1917" t="str">
        <f t="shared" ref="B1917" si="252">MID(G1917,8,2)</f>
        <v>TO</v>
      </c>
      <c r="C1917" t="str">
        <f t="shared" ref="C1917" si="253">MID(G1917,11,2)</f>
        <v>KB</v>
      </c>
      <c r="D1917" t="s">
        <v>3599</v>
      </c>
      <c r="E1917" s="5">
        <v>3</v>
      </c>
      <c r="G1917" s="4" t="s">
        <v>3664</v>
      </c>
      <c r="H1917" s="306" t="s">
        <v>3666</v>
      </c>
      <c r="I1917" s="438" t="s">
        <v>3667</v>
      </c>
      <c r="K1917" t="s">
        <v>659</v>
      </c>
      <c r="L1917" t="s">
        <v>669</v>
      </c>
      <c r="M1917" t="s">
        <v>2333</v>
      </c>
    </row>
    <row r="1918" spans="1:15">
      <c r="A1918" s="5">
        <v>1917</v>
      </c>
      <c r="B1918" t="str">
        <f t="shared" ref="B1918" si="254">MID(G1918,8,2)</f>
        <v>TO</v>
      </c>
      <c r="C1918" t="str">
        <f t="shared" ref="C1918" si="255">MID(G1918,11,2)</f>
        <v>KB</v>
      </c>
      <c r="D1918" t="s">
        <v>3599</v>
      </c>
      <c r="E1918" s="5">
        <v>3</v>
      </c>
      <c r="G1918" s="4" t="s">
        <v>3664</v>
      </c>
      <c r="H1918" s="306" t="s">
        <v>3668</v>
      </c>
      <c r="I1918" s="438" t="s">
        <v>3669</v>
      </c>
      <c r="K1918" t="s">
        <v>1434</v>
      </c>
      <c r="L1918" t="s">
        <v>669</v>
      </c>
      <c r="M1918" t="s">
        <v>2492</v>
      </c>
      <c r="O1918" s="4"/>
    </row>
    <row r="1919" spans="1:15">
      <c r="A1919" s="5">
        <v>1918</v>
      </c>
      <c r="D1919" t="s">
        <v>3599</v>
      </c>
      <c r="E1919" s="5">
        <v>3</v>
      </c>
      <c r="G1919" s="4" t="s">
        <v>3664</v>
      </c>
      <c r="H1919" s="306" t="s">
        <v>2162</v>
      </c>
      <c r="I1919" s="438" t="s">
        <v>3670</v>
      </c>
      <c r="K1919" t="s">
        <v>659</v>
      </c>
      <c r="L1919" t="s">
        <v>669</v>
      </c>
      <c r="M1919" t="s">
        <v>2333</v>
      </c>
    </row>
    <row r="1920" spans="1:15">
      <c r="A1920" s="5">
        <v>1919</v>
      </c>
      <c r="B1920" t="str">
        <f t="shared" ref="B1920:B1921" si="256">MID(G1920,8,2)</f>
        <v>TO</v>
      </c>
      <c r="C1920" t="str">
        <f t="shared" ref="C1920" si="257">MID(G1920,11,2)</f>
        <v>KB</v>
      </c>
      <c r="D1920" t="s">
        <v>3599</v>
      </c>
      <c r="E1920" s="5">
        <v>3</v>
      </c>
      <c r="G1920" s="4" t="s">
        <v>3664</v>
      </c>
      <c r="H1920" s="306" t="s">
        <v>2277</v>
      </c>
      <c r="I1920" s="438" t="s">
        <v>2278</v>
      </c>
      <c r="K1920" t="s">
        <v>1434</v>
      </c>
      <c r="L1920" t="s">
        <v>669</v>
      </c>
      <c r="M1920" t="s">
        <v>2333</v>
      </c>
      <c r="O1920" s="4"/>
    </row>
    <row r="1921" spans="1:15" ht="36">
      <c r="A1921" s="5">
        <v>1920</v>
      </c>
      <c r="B1921" t="str">
        <f t="shared" si="256"/>
        <v>TO</v>
      </c>
      <c r="D1921" t="s">
        <v>3599</v>
      </c>
      <c r="E1921" s="5">
        <v>3</v>
      </c>
      <c r="G1921" s="4" t="s">
        <v>3664</v>
      </c>
      <c r="H1921" s="306" t="s">
        <v>3671</v>
      </c>
      <c r="I1921" s="438" t="s">
        <v>3672</v>
      </c>
      <c r="K1921" t="s">
        <v>1434</v>
      </c>
      <c r="L1921" t="s">
        <v>669</v>
      </c>
      <c r="M1921" t="s">
        <v>2333</v>
      </c>
    </row>
    <row r="1922" spans="1:15">
      <c r="A1922" s="5">
        <v>1921</v>
      </c>
      <c r="B1922" t="str">
        <f>MID(G1922,8,2)</f>
        <v>TO</v>
      </c>
      <c r="C1922" t="str">
        <f>MID(G1922,11,2)</f>
        <v>KB</v>
      </c>
      <c r="D1922" t="s">
        <v>3599</v>
      </c>
      <c r="E1922" s="5">
        <v>3</v>
      </c>
      <c r="G1922" s="4" t="s">
        <v>3673</v>
      </c>
      <c r="H1922" s="306" t="s">
        <v>3674</v>
      </c>
      <c r="I1922" s="432" t="s">
        <v>3675</v>
      </c>
      <c r="K1922" t="s">
        <v>659</v>
      </c>
      <c r="L1922" t="s">
        <v>669</v>
      </c>
      <c r="M1922" t="s">
        <v>2333</v>
      </c>
    </row>
    <row r="1923" spans="1:15" ht="36">
      <c r="A1923" s="5">
        <v>1922</v>
      </c>
      <c r="B1923" t="str">
        <f>MID(G1923,8,2)</f>
        <v>TO</v>
      </c>
      <c r="C1923" t="str">
        <f>MID(G1923,11,2)</f>
        <v>KB</v>
      </c>
      <c r="D1923" t="s">
        <v>3599</v>
      </c>
      <c r="E1923" s="5">
        <v>3</v>
      </c>
      <c r="G1923" s="4" t="s">
        <v>3673</v>
      </c>
      <c r="H1923" s="306" t="s">
        <v>3676</v>
      </c>
      <c r="I1923" s="432" t="s">
        <v>3677</v>
      </c>
      <c r="K1923" t="s">
        <v>659</v>
      </c>
      <c r="L1923" t="s">
        <v>669</v>
      </c>
      <c r="M1923" t="s">
        <v>2333</v>
      </c>
    </row>
    <row r="1924" spans="1:15" ht="36">
      <c r="A1924" s="5">
        <v>1923</v>
      </c>
      <c r="B1924" t="str">
        <f>MID(G1924,8,2)</f>
        <v>TO</v>
      </c>
      <c r="C1924" t="str">
        <f>MID(G1924,11,2)</f>
        <v>KB</v>
      </c>
      <c r="D1924" t="s">
        <v>3599</v>
      </c>
      <c r="E1924" s="5">
        <v>3</v>
      </c>
      <c r="G1924" s="4" t="s">
        <v>3673</v>
      </c>
      <c r="H1924" s="306" t="s">
        <v>3678</v>
      </c>
      <c r="I1924" s="432" t="s">
        <v>3134</v>
      </c>
      <c r="K1924" t="s">
        <v>1434</v>
      </c>
      <c r="L1924" t="s">
        <v>669</v>
      </c>
      <c r="M1924" t="s">
        <v>2333</v>
      </c>
    </row>
    <row r="1925" spans="1:15" ht="36">
      <c r="A1925" s="5">
        <v>1924</v>
      </c>
      <c r="B1925" t="str">
        <f>MID(G1925,8,2)</f>
        <v>TO</v>
      </c>
      <c r="C1925" t="str">
        <f>MID(G1925,11,2)</f>
        <v>KB</v>
      </c>
      <c r="D1925" t="s">
        <v>3599</v>
      </c>
      <c r="E1925" s="5">
        <v>3</v>
      </c>
      <c r="G1925" s="4" t="s">
        <v>3673</v>
      </c>
      <c r="H1925" s="306" t="s">
        <v>3679</v>
      </c>
      <c r="I1925" s="432" t="s">
        <v>3680</v>
      </c>
      <c r="K1925" t="s">
        <v>659</v>
      </c>
      <c r="L1925" t="s">
        <v>669</v>
      </c>
      <c r="M1925" t="s">
        <v>2333</v>
      </c>
    </row>
    <row r="1926" spans="1:15" ht="36">
      <c r="A1926" s="5">
        <v>1925</v>
      </c>
      <c r="B1926" t="str">
        <f t="shared" ref="B1926" si="258">MID(G1926,8,2)</f>
        <v>MH</v>
      </c>
      <c r="C1926" t="str">
        <f t="shared" ref="C1926" si="259">MID(G1926,11,2)</f>
        <v>KB</v>
      </c>
      <c r="D1926" t="s">
        <v>3599</v>
      </c>
      <c r="E1926" s="5">
        <v>1</v>
      </c>
      <c r="G1926" s="4" t="s">
        <v>3681</v>
      </c>
      <c r="H1926" s="306" t="s">
        <v>511</v>
      </c>
      <c r="I1926" s="438" t="s">
        <v>3682</v>
      </c>
      <c r="K1926" t="s">
        <v>659</v>
      </c>
      <c r="L1926" t="s">
        <v>2137</v>
      </c>
      <c r="M1926" t="s">
        <v>2137</v>
      </c>
      <c r="N1926" t="s">
        <v>3683</v>
      </c>
      <c r="O1926" s="4"/>
    </row>
    <row r="1927" spans="1:15" ht="36">
      <c r="A1927" s="5">
        <v>1926</v>
      </c>
      <c r="B1927" t="s">
        <v>114</v>
      </c>
      <c r="C1927" t="str">
        <f t="shared" ref="C1927" si="260">MID(G1927,11,2)</f>
        <v>KB</v>
      </c>
      <c r="D1927" t="s">
        <v>3599</v>
      </c>
      <c r="E1927" s="5">
        <v>2</v>
      </c>
      <c r="G1927" s="4" t="s">
        <v>3684</v>
      </c>
      <c r="H1927" s="306" t="s">
        <v>507</v>
      </c>
      <c r="I1927" s="432" t="s">
        <v>3685</v>
      </c>
      <c r="K1927" t="s">
        <v>659</v>
      </c>
      <c r="L1927" t="s">
        <v>669</v>
      </c>
      <c r="M1927" t="s">
        <v>1479</v>
      </c>
      <c r="N1927" t="s">
        <v>3686</v>
      </c>
    </row>
    <row r="1928" spans="1:15">
      <c r="A1928" s="5">
        <v>1927</v>
      </c>
      <c r="B1928" t="s">
        <v>114</v>
      </c>
      <c r="C1928" t="s">
        <v>112</v>
      </c>
      <c r="D1928" t="s">
        <v>3599</v>
      </c>
      <c r="E1928" s="5">
        <v>1</v>
      </c>
      <c r="G1928" s="4" t="s">
        <v>3687</v>
      </c>
      <c r="H1928" s="306" t="s">
        <v>3688</v>
      </c>
      <c r="I1928" s="432" t="s">
        <v>3689</v>
      </c>
      <c r="K1928" t="s">
        <v>1434</v>
      </c>
      <c r="L1928" t="s">
        <v>669</v>
      </c>
      <c r="M1928" t="s">
        <v>3690</v>
      </c>
    </row>
    <row r="1929" spans="1:15" ht="36">
      <c r="A1929" s="5">
        <v>1928</v>
      </c>
      <c r="B1929" t="s">
        <v>114</v>
      </c>
      <c r="C1929" t="str">
        <f t="shared" ref="C1929:C1930" si="261">MID(G1929,11,2)</f>
        <v>KB</v>
      </c>
      <c r="D1929" t="s">
        <v>3599</v>
      </c>
      <c r="E1929" s="5">
        <v>1</v>
      </c>
      <c r="G1929" s="4" t="s">
        <v>3691</v>
      </c>
      <c r="H1929" s="306" t="s">
        <v>508</v>
      </c>
      <c r="I1929" s="432" t="s">
        <v>3657</v>
      </c>
      <c r="K1929" t="s">
        <v>659</v>
      </c>
      <c r="L1929" t="s">
        <v>669</v>
      </c>
      <c r="M1929" t="s">
        <v>2333</v>
      </c>
      <c r="N1929" t="s">
        <v>3692</v>
      </c>
    </row>
    <row r="1930" spans="1:15">
      <c r="A1930" s="5">
        <v>1929</v>
      </c>
      <c r="B1930" t="str">
        <f t="shared" si="246"/>
        <v>TO</v>
      </c>
      <c r="C1930" t="str">
        <f t="shared" si="261"/>
        <v>KB</v>
      </c>
      <c r="D1930" t="s">
        <v>3637</v>
      </c>
      <c r="E1930" s="5">
        <v>2</v>
      </c>
      <c r="G1930" s="4" t="s">
        <v>3693</v>
      </c>
      <c r="H1930" s="306" t="s">
        <v>3694</v>
      </c>
      <c r="I1930" s="438" t="s">
        <v>3695</v>
      </c>
      <c r="K1930" t="s">
        <v>1434</v>
      </c>
      <c r="L1930" t="s">
        <v>669</v>
      </c>
      <c r="M1930" t="s">
        <v>2333</v>
      </c>
    </row>
    <row r="1931" spans="1:15">
      <c r="A1931" s="5">
        <v>1930</v>
      </c>
      <c r="B1931" t="str">
        <f t="shared" ref="B1931" si="262">MID(G1931,8,2)</f>
        <v>TO</v>
      </c>
      <c r="C1931" t="str">
        <f t="shared" ref="C1931" si="263">MID(G1931,11,2)</f>
        <v>KB</v>
      </c>
      <c r="D1931" t="s">
        <v>3637</v>
      </c>
      <c r="E1931" s="5">
        <v>2</v>
      </c>
      <c r="G1931" s="4" t="s">
        <v>3693</v>
      </c>
      <c r="H1931" s="306" t="s">
        <v>3696</v>
      </c>
      <c r="I1931" s="438" t="s">
        <v>3697</v>
      </c>
      <c r="K1931" t="s">
        <v>1434</v>
      </c>
      <c r="L1931" t="s">
        <v>669</v>
      </c>
      <c r="M1931" t="s">
        <v>2333</v>
      </c>
    </row>
    <row r="1932" spans="1:15" ht="36">
      <c r="A1932" s="5">
        <v>1931</v>
      </c>
      <c r="B1932" t="str">
        <f t="shared" si="246"/>
        <v>TO</v>
      </c>
      <c r="C1932" t="str">
        <f t="shared" ref="C1932" si="264">MID(G1932,11,2)</f>
        <v>KB</v>
      </c>
      <c r="D1932" t="s">
        <v>3637</v>
      </c>
      <c r="E1932" s="5">
        <v>1</v>
      </c>
      <c r="G1932" s="4" t="s">
        <v>3698</v>
      </c>
      <c r="H1932" s="306" t="s">
        <v>511</v>
      </c>
      <c r="I1932" s="432" t="s">
        <v>3682</v>
      </c>
      <c r="K1932" t="s">
        <v>659</v>
      </c>
      <c r="L1932" t="s">
        <v>669</v>
      </c>
      <c r="M1932" t="s">
        <v>2333</v>
      </c>
      <c r="N1932" t="s">
        <v>3683</v>
      </c>
    </row>
    <row r="1933" spans="1:15" ht="36">
      <c r="A1933" s="5">
        <v>1932</v>
      </c>
      <c r="B1933" t="str">
        <f t="shared" ref="B1933:B1935" si="265">MID(G1933,8,2)</f>
        <v>TO</v>
      </c>
      <c r="C1933" t="str">
        <f t="shared" ref="C1933:C1935" si="266">MID(G1933,11,2)</f>
        <v>We</v>
      </c>
      <c r="D1933" t="s">
        <v>3637</v>
      </c>
      <c r="E1933" s="5">
        <v>2</v>
      </c>
      <c r="G1933" s="4" t="s">
        <v>3699</v>
      </c>
      <c r="H1933" s="306" t="s">
        <v>3700</v>
      </c>
      <c r="K1933" t="s">
        <v>1434</v>
      </c>
      <c r="L1933" t="s">
        <v>669</v>
      </c>
      <c r="M1933" t="s">
        <v>1424</v>
      </c>
    </row>
    <row r="1934" spans="1:15" ht="36">
      <c r="A1934" s="5">
        <v>1933</v>
      </c>
      <c r="B1934" t="str">
        <f t="shared" si="265"/>
        <v>TO</v>
      </c>
      <c r="C1934" t="str">
        <f t="shared" si="266"/>
        <v>WP</v>
      </c>
      <c r="D1934" t="s">
        <v>3637</v>
      </c>
      <c r="E1934" s="5">
        <v>2</v>
      </c>
      <c r="G1934" s="4" t="s">
        <v>3701</v>
      </c>
      <c r="H1934" s="306" t="s">
        <v>513</v>
      </c>
      <c r="K1934" t="s">
        <v>1434</v>
      </c>
      <c r="L1934" t="s">
        <v>669</v>
      </c>
      <c r="M1934" t="s">
        <v>1424</v>
      </c>
    </row>
    <row r="1935" spans="1:15" ht="36">
      <c r="A1935" s="5">
        <v>1934</v>
      </c>
      <c r="B1935" t="str">
        <f t="shared" si="265"/>
        <v>MH</v>
      </c>
      <c r="C1935" t="str">
        <f t="shared" si="266"/>
        <v>Ed</v>
      </c>
      <c r="D1935" t="s">
        <v>3637</v>
      </c>
      <c r="E1935" s="5">
        <v>1</v>
      </c>
      <c r="G1935" s="4" t="s">
        <v>3702</v>
      </c>
      <c r="H1935" s="306" t="s">
        <v>3703</v>
      </c>
      <c r="K1935" t="s">
        <v>1434</v>
      </c>
      <c r="L1935" t="s">
        <v>669</v>
      </c>
      <c r="M1935" t="s">
        <v>1424</v>
      </c>
    </row>
    <row r="1936" spans="1:15" ht="36">
      <c r="A1936" s="5">
        <v>1935</v>
      </c>
      <c r="B1936" t="str">
        <f>MID(G1936,8,2)</f>
        <v>MH</v>
      </c>
      <c r="C1936" t="str">
        <f>MID(G1936,11,2)</f>
        <v>KB</v>
      </c>
      <c r="D1936" t="s">
        <v>3637</v>
      </c>
      <c r="E1936" s="5">
        <v>2</v>
      </c>
      <c r="G1936" s="4" t="s">
        <v>3704</v>
      </c>
      <c r="H1936" s="306" t="s">
        <v>510</v>
      </c>
      <c r="I1936" s="438" t="s">
        <v>3705</v>
      </c>
      <c r="K1936" t="s">
        <v>659</v>
      </c>
      <c r="L1936" t="s">
        <v>669</v>
      </c>
      <c r="M1936" t="s">
        <v>2333</v>
      </c>
      <c r="N1936" t="s">
        <v>3640</v>
      </c>
    </row>
    <row r="1937" spans="1:15">
      <c r="A1937" s="5">
        <v>1936</v>
      </c>
      <c r="B1937" t="str">
        <f>MID(G1937,8,2)</f>
        <v>TO</v>
      </c>
      <c r="C1937" t="str">
        <f>MID(G1937,11,2)</f>
        <v>KB</v>
      </c>
      <c r="D1937" t="s">
        <v>3637</v>
      </c>
      <c r="E1937" s="5"/>
      <c r="G1937" s="4" t="s">
        <v>3706</v>
      </c>
      <c r="H1937" s="306" t="s">
        <v>516</v>
      </c>
      <c r="I1937" s="432" t="s">
        <v>2526</v>
      </c>
      <c r="K1937" t="s">
        <v>659</v>
      </c>
      <c r="L1937" t="s">
        <v>669</v>
      </c>
      <c r="M1937" t="s">
        <v>2333</v>
      </c>
    </row>
    <row r="1938" spans="1:15">
      <c r="A1938" s="5">
        <v>1937</v>
      </c>
      <c r="B1938" t="str">
        <f t="shared" ref="B1938" si="267">MID(G1938,8,2)</f>
        <v>TO</v>
      </c>
      <c r="C1938" t="str">
        <f t="shared" ref="C1938" si="268">MID(G1938,11,2)</f>
        <v>KB</v>
      </c>
      <c r="D1938" t="s">
        <v>3637</v>
      </c>
      <c r="E1938" s="5">
        <v>3</v>
      </c>
      <c r="G1938" s="4" t="s">
        <v>3707</v>
      </c>
      <c r="H1938" s="306" t="s">
        <v>3582</v>
      </c>
      <c r="I1938" s="432" t="s">
        <v>3583</v>
      </c>
      <c r="K1938" t="s">
        <v>659</v>
      </c>
      <c r="L1938" t="s">
        <v>1999</v>
      </c>
      <c r="M1938" t="s">
        <v>2333</v>
      </c>
      <c r="N1938" t="s">
        <v>440</v>
      </c>
    </row>
    <row r="1939" spans="1:15">
      <c r="A1939" s="5">
        <v>1938</v>
      </c>
      <c r="B1939" t="str">
        <f>MID(G1939,8,2)</f>
        <v>TO</v>
      </c>
      <c r="C1939" t="str">
        <f>MID(G1939,11,2)</f>
        <v>KB</v>
      </c>
      <c r="D1939" t="s">
        <v>3637</v>
      </c>
      <c r="E1939" s="5">
        <v>3</v>
      </c>
      <c r="G1939" s="4" t="s">
        <v>3708</v>
      </c>
      <c r="H1939" s="305" t="s">
        <v>502</v>
      </c>
      <c r="I1939" s="432" t="s">
        <v>3629</v>
      </c>
      <c r="K1939" t="s">
        <v>659</v>
      </c>
      <c r="L1939" t="s">
        <v>669</v>
      </c>
      <c r="M1939" t="s">
        <v>2333</v>
      </c>
      <c r="O1939" t="s">
        <v>3709</v>
      </c>
    </row>
    <row r="1940" spans="1:15">
      <c r="A1940" s="5">
        <v>1939</v>
      </c>
      <c r="B1940" t="str">
        <f t="shared" ref="B1940:B1941" si="269">MID(G1940,8,2)</f>
        <v>TO</v>
      </c>
      <c r="C1940" t="str">
        <f t="shared" ref="C1940:C1941" si="270">MID(G1940,11,2)</f>
        <v>KB</v>
      </c>
      <c r="D1940" t="s">
        <v>3637</v>
      </c>
      <c r="E1940" s="5">
        <v>3</v>
      </c>
      <c r="G1940" s="4" t="s">
        <v>3708</v>
      </c>
      <c r="H1940" s="306" t="s">
        <v>297</v>
      </c>
      <c r="I1940" s="438" t="s">
        <v>2829</v>
      </c>
      <c r="K1940" t="s">
        <v>659</v>
      </c>
      <c r="L1940" t="s">
        <v>669</v>
      </c>
      <c r="M1940" t="s">
        <v>2333</v>
      </c>
      <c r="N1940" t="s">
        <v>3710</v>
      </c>
      <c r="O1940" t="s">
        <v>3709</v>
      </c>
    </row>
    <row r="1941" spans="1:15">
      <c r="A1941" s="5">
        <v>1940</v>
      </c>
      <c r="B1941" t="str">
        <f t="shared" si="269"/>
        <v>TO</v>
      </c>
      <c r="C1941" t="str">
        <f t="shared" si="270"/>
        <v>KB</v>
      </c>
      <c r="D1941" t="s">
        <v>3637</v>
      </c>
      <c r="E1941" s="5">
        <v>3</v>
      </c>
      <c r="G1941" s="4" t="s">
        <v>3708</v>
      </c>
      <c r="H1941" s="306" t="s">
        <v>2198</v>
      </c>
      <c r="I1941" s="438" t="s">
        <v>3711</v>
      </c>
      <c r="K1941" t="s">
        <v>659</v>
      </c>
      <c r="L1941" t="s">
        <v>669</v>
      </c>
      <c r="M1941" t="s">
        <v>2333</v>
      </c>
      <c r="O1941" t="s">
        <v>3709</v>
      </c>
    </row>
    <row r="1942" spans="1:15">
      <c r="A1942" s="5">
        <v>1941</v>
      </c>
      <c r="B1942" t="str">
        <f t="shared" ref="B1942" si="271">MID(G1942,8,2)</f>
        <v>TO</v>
      </c>
      <c r="C1942" t="str">
        <f t="shared" ref="C1942" si="272">MID(G1942,11,2)</f>
        <v>KB</v>
      </c>
      <c r="D1942" t="s">
        <v>3637</v>
      </c>
      <c r="E1942" s="5">
        <v>3</v>
      </c>
      <c r="G1942" s="4" t="s">
        <v>3708</v>
      </c>
      <c r="H1942" s="306" t="s">
        <v>1682</v>
      </c>
      <c r="I1942" s="438" t="s">
        <v>2256</v>
      </c>
      <c r="K1942" t="s">
        <v>659</v>
      </c>
      <c r="L1942" t="s">
        <v>669</v>
      </c>
      <c r="M1942" t="s">
        <v>2392</v>
      </c>
      <c r="N1942" t="s">
        <v>3712</v>
      </c>
    </row>
    <row r="1943" spans="1:15">
      <c r="A1943" s="5">
        <v>1942</v>
      </c>
      <c r="B1943" t="str">
        <f t="shared" ref="B1943" si="273">MID(G1943,8,2)</f>
        <v>TO</v>
      </c>
      <c r="C1943" t="str">
        <f t="shared" ref="C1943" si="274">MID(G1943,11,2)</f>
        <v>KB</v>
      </c>
      <c r="D1943" t="s">
        <v>3637</v>
      </c>
      <c r="E1943" s="5">
        <v>3</v>
      </c>
      <c r="G1943" s="4" t="s">
        <v>3713</v>
      </c>
      <c r="H1943" s="305" t="s">
        <v>3714</v>
      </c>
      <c r="I1943" s="438" t="s">
        <v>3715</v>
      </c>
      <c r="K1943" t="s">
        <v>1434</v>
      </c>
      <c r="L1943" t="s">
        <v>669</v>
      </c>
      <c r="M1943" t="s">
        <v>2333</v>
      </c>
      <c r="N1943" t="s">
        <v>3716</v>
      </c>
    </row>
    <row r="1944" spans="1:15">
      <c r="A1944" s="5">
        <v>1943</v>
      </c>
      <c r="B1944" t="str">
        <f t="shared" ref="B1944:B1948" si="275">MID(G1944,8,2)</f>
        <v>TO</v>
      </c>
      <c r="C1944" t="str">
        <f t="shared" ref="C1944:C1948" si="276">MID(G1944,11,2)</f>
        <v>KB</v>
      </c>
      <c r="D1944" t="s">
        <v>3637</v>
      </c>
      <c r="E1944" s="5">
        <v>3</v>
      </c>
      <c r="G1944" s="4" t="s">
        <v>3713</v>
      </c>
      <c r="H1944" s="306" t="s">
        <v>3717</v>
      </c>
      <c r="I1944" s="438" t="s">
        <v>3718</v>
      </c>
      <c r="K1944" t="s">
        <v>1434</v>
      </c>
      <c r="L1944" t="s">
        <v>669</v>
      </c>
      <c r="M1944" t="s">
        <v>2333</v>
      </c>
    </row>
    <row r="1945" spans="1:15">
      <c r="A1945" s="5">
        <v>1944</v>
      </c>
      <c r="B1945" t="str">
        <f t="shared" si="275"/>
        <v>TO</v>
      </c>
      <c r="C1945" t="str">
        <f t="shared" si="276"/>
        <v>KB</v>
      </c>
      <c r="D1945" t="s">
        <v>3637</v>
      </c>
      <c r="E1945" s="5">
        <v>3</v>
      </c>
      <c r="G1945" s="4" t="s">
        <v>3713</v>
      </c>
      <c r="H1945" s="306" t="s">
        <v>2388</v>
      </c>
      <c r="I1945" s="438" t="s">
        <v>3719</v>
      </c>
      <c r="K1945" t="s">
        <v>659</v>
      </c>
      <c r="L1945" t="s">
        <v>669</v>
      </c>
      <c r="M1945" t="s">
        <v>2333</v>
      </c>
      <c r="O1945" t="s">
        <v>3709</v>
      </c>
    </row>
    <row r="1946" spans="1:15">
      <c r="A1946" s="5">
        <v>1945</v>
      </c>
      <c r="B1946" t="str">
        <f t="shared" si="275"/>
        <v>TO</v>
      </c>
      <c r="C1946" t="str">
        <f t="shared" si="276"/>
        <v>KB</v>
      </c>
      <c r="D1946" t="s">
        <v>3637</v>
      </c>
      <c r="E1946" s="5">
        <v>3</v>
      </c>
      <c r="G1946" s="4" t="s">
        <v>3713</v>
      </c>
      <c r="H1946" s="306" t="s">
        <v>3000</v>
      </c>
      <c r="I1946" s="438" t="s">
        <v>3001</v>
      </c>
      <c r="K1946" t="s">
        <v>659</v>
      </c>
      <c r="L1946" t="s">
        <v>669</v>
      </c>
      <c r="M1946" t="s">
        <v>2333</v>
      </c>
      <c r="N1946" t="s">
        <v>3720</v>
      </c>
    </row>
    <row r="1947" spans="1:15">
      <c r="A1947" s="5">
        <v>1946</v>
      </c>
      <c r="B1947" t="str">
        <f t="shared" si="275"/>
        <v>TO</v>
      </c>
      <c r="C1947" t="str">
        <f t="shared" si="276"/>
        <v>KB</v>
      </c>
      <c r="D1947" t="s">
        <v>3637</v>
      </c>
      <c r="E1947" s="5">
        <v>3</v>
      </c>
      <c r="G1947" s="4" t="s">
        <v>3713</v>
      </c>
      <c r="H1947" s="305" t="s">
        <v>492</v>
      </c>
      <c r="I1947" s="438" t="s">
        <v>2899</v>
      </c>
      <c r="K1947" t="s">
        <v>659</v>
      </c>
      <c r="L1947" t="s">
        <v>669</v>
      </c>
      <c r="M1947" t="s">
        <v>2333</v>
      </c>
    </row>
    <row r="1948" spans="1:15">
      <c r="A1948" s="5">
        <v>1947</v>
      </c>
      <c r="B1948" t="str">
        <f t="shared" si="275"/>
        <v>TO</v>
      </c>
      <c r="C1948" t="str">
        <f t="shared" si="276"/>
        <v>KB</v>
      </c>
      <c r="D1948" t="s">
        <v>3637</v>
      </c>
      <c r="E1948" s="5">
        <v>3</v>
      </c>
      <c r="G1948" s="4" t="s">
        <v>3713</v>
      </c>
      <c r="H1948" s="317" t="s">
        <v>3510</v>
      </c>
      <c r="I1948" s="432" t="s">
        <v>2236</v>
      </c>
      <c r="K1948" t="s">
        <v>659</v>
      </c>
      <c r="L1948" t="s">
        <v>669</v>
      </c>
      <c r="M1948" t="s">
        <v>2333</v>
      </c>
    </row>
    <row r="1949" spans="1:15" ht="21.6">
      <c r="A1949" s="5">
        <v>1948</v>
      </c>
      <c r="B1949" t="str">
        <f t="shared" ref="B1949:B1960" si="277">MID(G1949,8,2)</f>
        <v>TO</v>
      </c>
      <c r="C1949" t="str">
        <f t="shared" ref="C1949:C1960" si="278">MID(G1949,11,2)</f>
        <v>KB</v>
      </c>
      <c r="D1949" t="s">
        <v>3637</v>
      </c>
      <c r="E1949" s="5">
        <v>3</v>
      </c>
      <c r="G1949" s="4" t="s">
        <v>3721</v>
      </c>
      <c r="H1949" s="313" t="s">
        <v>2180</v>
      </c>
      <c r="I1949" s="432" t="s">
        <v>2181</v>
      </c>
      <c r="K1949" t="s">
        <v>659</v>
      </c>
      <c r="L1949" t="s">
        <v>2137</v>
      </c>
      <c r="M1949"/>
    </row>
    <row r="1950" spans="1:15" ht="21.6">
      <c r="A1950" s="5">
        <v>1949</v>
      </c>
      <c r="B1950" t="str">
        <f t="shared" si="277"/>
        <v>TO</v>
      </c>
      <c r="C1950" t="str">
        <f t="shared" si="278"/>
        <v>KB</v>
      </c>
      <c r="D1950" t="s">
        <v>3637</v>
      </c>
      <c r="E1950" s="5">
        <v>3</v>
      </c>
      <c r="G1950" s="4" t="s">
        <v>3721</v>
      </c>
      <c r="H1950" s="313" t="s">
        <v>2183</v>
      </c>
      <c r="I1950" s="432" t="s">
        <v>2184</v>
      </c>
      <c r="K1950" t="s">
        <v>659</v>
      </c>
      <c r="L1950" t="s">
        <v>2137</v>
      </c>
      <c r="M1950"/>
    </row>
    <row r="1951" spans="1:15" ht="21.6">
      <c r="A1951" s="5">
        <v>1950</v>
      </c>
      <c r="B1951" t="str">
        <f t="shared" si="277"/>
        <v>TO</v>
      </c>
      <c r="C1951" t="str">
        <f t="shared" si="278"/>
        <v>KB</v>
      </c>
      <c r="D1951" t="s">
        <v>3637</v>
      </c>
      <c r="E1951" s="5">
        <v>3</v>
      </c>
      <c r="G1951" s="4" t="s">
        <v>3721</v>
      </c>
      <c r="H1951" s="313" t="s">
        <v>2185</v>
      </c>
      <c r="I1951" s="432" t="s">
        <v>2186</v>
      </c>
      <c r="K1951" t="s">
        <v>659</v>
      </c>
      <c r="L1951" t="s">
        <v>2137</v>
      </c>
      <c r="M1951"/>
    </row>
    <row r="1952" spans="1:15" ht="21.6">
      <c r="A1952" s="5">
        <v>1951</v>
      </c>
      <c r="B1952" t="str">
        <f t="shared" si="277"/>
        <v>TO</v>
      </c>
      <c r="C1952" t="str">
        <f t="shared" si="278"/>
        <v>KB</v>
      </c>
      <c r="D1952" t="s">
        <v>3637</v>
      </c>
      <c r="E1952" s="5">
        <v>3</v>
      </c>
      <c r="G1952" s="4" t="s">
        <v>3721</v>
      </c>
      <c r="H1952" s="313" t="s">
        <v>1692</v>
      </c>
      <c r="I1952" s="432" t="s">
        <v>2187</v>
      </c>
      <c r="K1952" t="s">
        <v>659</v>
      </c>
      <c r="L1952" t="s">
        <v>2137</v>
      </c>
      <c r="M1952"/>
    </row>
    <row r="1953" spans="1:14" ht="21.6">
      <c r="A1953" s="5">
        <v>1952</v>
      </c>
      <c r="B1953" t="str">
        <f t="shared" si="277"/>
        <v>TO</v>
      </c>
      <c r="C1953" t="str">
        <f t="shared" si="278"/>
        <v>KB</v>
      </c>
      <c r="D1953" t="s">
        <v>3637</v>
      </c>
      <c r="E1953" s="5">
        <v>3</v>
      </c>
      <c r="G1953" s="4" t="s">
        <v>3721</v>
      </c>
      <c r="H1953" s="313" t="s">
        <v>1741</v>
      </c>
      <c r="I1953" s="432" t="s">
        <v>2216</v>
      </c>
      <c r="K1953" t="s">
        <v>659</v>
      </c>
      <c r="L1953" t="s">
        <v>2137</v>
      </c>
      <c r="M1953"/>
    </row>
    <row r="1954" spans="1:14" ht="21.6">
      <c r="A1954" s="5">
        <v>1953</v>
      </c>
      <c r="B1954" t="str">
        <f t="shared" si="277"/>
        <v>TO</v>
      </c>
      <c r="C1954" t="str">
        <f t="shared" si="278"/>
        <v>KB</v>
      </c>
      <c r="D1954" t="s">
        <v>3637</v>
      </c>
      <c r="E1954" s="5">
        <v>3</v>
      </c>
      <c r="G1954" s="4" t="s">
        <v>3721</v>
      </c>
      <c r="H1954" s="313" t="s">
        <v>87</v>
      </c>
      <c r="I1954" s="432" t="s">
        <v>2188</v>
      </c>
      <c r="K1954" t="s">
        <v>659</v>
      </c>
      <c r="L1954" t="s">
        <v>2137</v>
      </c>
      <c r="M1954"/>
    </row>
    <row r="1955" spans="1:14" ht="43.2">
      <c r="A1955" s="5">
        <v>1954</v>
      </c>
      <c r="B1955" t="str">
        <f t="shared" si="277"/>
        <v>TO</v>
      </c>
      <c r="C1955" t="str">
        <f t="shared" si="278"/>
        <v>KB</v>
      </c>
      <c r="D1955" t="s">
        <v>3637</v>
      </c>
      <c r="E1955" s="5">
        <v>3</v>
      </c>
      <c r="G1955" s="4" t="s">
        <v>3721</v>
      </c>
      <c r="H1955" s="313" t="s">
        <v>2189</v>
      </c>
      <c r="I1955" s="432" t="s">
        <v>2190</v>
      </c>
      <c r="K1955" t="s">
        <v>659</v>
      </c>
      <c r="L1955" t="s">
        <v>2137</v>
      </c>
      <c r="M1955"/>
    </row>
    <row r="1956" spans="1:14" ht="21.6">
      <c r="A1956" s="5">
        <v>1955</v>
      </c>
      <c r="B1956" t="str">
        <f t="shared" si="277"/>
        <v>TO</v>
      </c>
      <c r="C1956" t="str">
        <f t="shared" si="278"/>
        <v>KB</v>
      </c>
      <c r="D1956" t="s">
        <v>3637</v>
      </c>
      <c r="E1956" s="5">
        <v>3</v>
      </c>
      <c r="G1956" s="4" t="s">
        <v>3721</v>
      </c>
      <c r="H1956" s="313" t="s">
        <v>522</v>
      </c>
      <c r="I1956" s="432" t="s">
        <v>2191</v>
      </c>
      <c r="K1956" t="s">
        <v>659</v>
      </c>
      <c r="L1956" t="s">
        <v>2137</v>
      </c>
      <c r="M1956"/>
    </row>
    <row r="1957" spans="1:14" ht="21.6">
      <c r="A1957" s="5">
        <v>1956</v>
      </c>
      <c r="B1957" t="str">
        <f t="shared" si="277"/>
        <v>TO</v>
      </c>
      <c r="C1957" t="str">
        <f t="shared" si="278"/>
        <v>KB</v>
      </c>
      <c r="D1957" t="s">
        <v>3637</v>
      </c>
      <c r="E1957" s="5">
        <v>3</v>
      </c>
      <c r="G1957" s="4" t="s">
        <v>3721</v>
      </c>
      <c r="H1957" s="313" t="s">
        <v>2192</v>
      </c>
      <c r="I1957" s="432" t="s">
        <v>2193</v>
      </c>
      <c r="K1957" t="s">
        <v>659</v>
      </c>
      <c r="L1957" t="s">
        <v>2137</v>
      </c>
      <c r="M1957"/>
    </row>
    <row r="1958" spans="1:14">
      <c r="A1958" s="5">
        <v>1957</v>
      </c>
      <c r="B1958" t="str">
        <f t="shared" si="277"/>
        <v>TO</v>
      </c>
      <c r="C1958" t="str">
        <f t="shared" si="278"/>
        <v>KB</v>
      </c>
      <c r="D1958" t="s">
        <v>3637</v>
      </c>
      <c r="E1958" s="5">
        <v>2</v>
      </c>
      <c r="G1958" s="4" t="s">
        <v>3722</v>
      </c>
      <c r="H1958" s="306" t="s">
        <v>3723</v>
      </c>
      <c r="I1958" s="432" t="s">
        <v>3724</v>
      </c>
      <c r="K1958" t="s">
        <v>659</v>
      </c>
      <c r="L1958" t="s">
        <v>2137</v>
      </c>
      <c r="M1958"/>
      <c r="N1958" t="s">
        <v>3725</v>
      </c>
    </row>
    <row r="1959" spans="1:14">
      <c r="A1959" s="5">
        <v>1958</v>
      </c>
      <c r="B1959" t="str">
        <f t="shared" si="277"/>
        <v>TO</v>
      </c>
      <c r="C1959" t="str">
        <f t="shared" si="278"/>
        <v>KB</v>
      </c>
      <c r="D1959" t="s">
        <v>3637</v>
      </c>
      <c r="E1959" s="5">
        <v>2</v>
      </c>
      <c r="G1959" s="4" t="s">
        <v>3726</v>
      </c>
      <c r="H1959" s="306" t="s">
        <v>1763</v>
      </c>
      <c r="I1959" s="438" t="s">
        <v>2421</v>
      </c>
      <c r="K1959" t="s">
        <v>659</v>
      </c>
      <c r="L1959" t="s">
        <v>2137</v>
      </c>
      <c r="M1959"/>
    </row>
    <row r="1960" spans="1:14">
      <c r="A1960" s="5">
        <v>1959</v>
      </c>
      <c r="B1960" t="str">
        <f t="shared" si="277"/>
        <v>TO</v>
      </c>
      <c r="C1960" t="str">
        <f t="shared" si="278"/>
        <v>KB</v>
      </c>
      <c r="D1960" t="s">
        <v>3637</v>
      </c>
      <c r="E1960" s="5">
        <v>3</v>
      </c>
      <c r="G1960" s="4" t="s">
        <v>3727</v>
      </c>
      <c r="H1960" s="306" t="s">
        <v>3728</v>
      </c>
      <c r="I1960" s="432" t="s">
        <v>3729</v>
      </c>
      <c r="K1960" t="s">
        <v>1434</v>
      </c>
      <c r="L1960" t="s">
        <v>669</v>
      </c>
      <c r="M1960" t="s">
        <v>2333</v>
      </c>
    </row>
    <row r="1961" spans="1:14" ht="36">
      <c r="A1961" s="5">
        <v>1960</v>
      </c>
      <c r="B1961" t="str">
        <f t="shared" ref="B1961:B1963" si="279">MID(G1961,8,2)</f>
        <v>TO</v>
      </c>
      <c r="C1961" t="str">
        <f t="shared" ref="C1961:C1963" si="280">MID(G1961,11,2)</f>
        <v>KB</v>
      </c>
      <c r="D1961" t="s">
        <v>3637</v>
      </c>
      <c r="E1961" s="5">
        <v>3</v>
      </c>
      <c r="G1961" s="4" t="s">
        <v>3727</v>
      </c>
      <c r="H1961" s="306" t="s">
        <v>5437</v>
      </c>
      <c r="I1961" s="432" t="s">
        <v>2517</v>
      </c>
      <c r="K1961" t="s">
        <v>659</v>
      </c>
      <c r="L1961" t="s">
        <v>669</v>
      </c>
      <c r="M1961" t="s">
        <v>2333</v>
      </c>
    </row>
    <row r="1962" spans="1:14">
      <c r="A1962" s="5">
        <v>1961</v>
      </c>
      <c r="B1962" t="str">
        <f t="shared" si="279"/>
        <v>TO</v>
      </c>
      <c r="C1962" t="str">
        <f t="shared" si="280"/>
        <v>KB</v>
      </c>
      <c r="D1962" t="s">
        <v>3637</v>
      </c>
      <c r="E1962" s="5">
        <v>3</v>
      </c>
      <c r="G1962" s="4" t="s">
        <v>3727</v>
      </c>
      <c r="H1962" s="306" t="s">
        <v>3731</v>
      </c>
      <c r="I1962" s="432" t="s">
        <v>3732</v>
      </c>
      <c r="K1962" t="s">
        <v>1434</v>
      </c>
      <c r="L1962" t="s">
        <v>669</v>
      </c>
      <c r="M1962" t="s">
        <v>3733</v>
      </c>
    </row>
    <row r="1963" spans="1:14">
      <c r="A1963" s="5">
        <v>1962</v>
      </c>
      <c r="B1963" t="str">
        <f t="shared" si="279"/>
        <v>TO</v>
      </c>
      <c r="C1963" t="str">
        <f t="shared" si="280"/>
        <v>KB</v>
      </c>
      <c r="D1963" t="s">
        <v>3637</v>
      </c>
      <c r="E1963" s="5">
        <v>3</v>
      </c>
      <c r="G1963" s="4" t="s">
        <v>3727</v>
      </c>
      <c r="H1963" s="306" t="s">
        <v>532</v>
      </c>
      <c r="I1963" s="432" t="s">
        <v>3734</v>
      </c>
      <c r="K1963" t="s">
        <v>1434</v>
      </c>
      <c r="L1963" t="s">
        <v>669</v>
      </c>
      <c r="M1963" t="s">
        <v>2333</v>
      </c>
    </row>
    <row r="1964" spans="1:14">
      <c r="A1964" s="5">
        <v>1963</v>
      </c>
      <c r="B1964" t="str">
        <f t="shared" ref="B1964:B1970" si="281">MID(G1964,8,2)</f>
        <v/>
      </c>
      <c r="C1964" t="str">
        <f t="shared" ref="C1964:C1970" si="282">MID(G1964,11,2)</f>
        <v/>
      </c>
      <c r="D1964" t="s">
        <v>3637</v>
      </c>
      <c r="E1964" s="5">
        <v>3</v>
      </c>
      <c r="H1964" s="306" t="s">
        <v>3735</v>
      </c>
      <c r="I1964" s="432" t="s">
        <v>3736</v>
      </c>
      <c r="K1964" t="s">
        <v>659</v>
      </c>
      <c r="L1964" t="s">
        <v>2137</v>
      </c>
      <c r="M1964" t="s">
        <v>2137</v>
      </c>
      <c r="N1964" t="s">
        <v>3737</v>
      </c>
    </row>
    <row r="1965" spans="1:14">
      <c r="A1965" s="5">
        <v>1964</v>
      </c>
      <c r="B1965" t="str">
        <f t="shared" si="281"/>
        <v/>
      </c>
      <c r="C1965" t="str">
        <f t="shared" si="282"/>
        <v/>
      </c>
      <c r="D1965" t="s">
        <v>3637</v>
      </c>
      <c r="E1965" s="5">
        <v>3</v>
      </c>
      <c r="H1965" s="306" t="s">
        <v>3738</v>
      </c>
      <c r="I1965" s="432" t="s">
        <v>3739</v>
      </c>
      <c r="K1965" t="s">
        <v>659</v>
      </c>
      <c r="L1965" t="s">
        <v>2137</v>
      </c>
      <c r="M1965" t="s">
        <v>2137</v>
      </c>
      <c r="N1965" t="s">
        <v>3737</v>
      </c>
    </row>
    <row r="1966" spans="1:14" ht="36">
      <c r="A1966" s="5">
        <v>1965</v>
      </c>
      <c r="B1966" t="str">
        <f t="shared" si="281"/>
        <v/>
      </c>
      <c r="C1966" t="str">
        <f t="shared" si="282"/>
        <v/>
      </c>
      <c r="D1966" t="s">
        <v>3637</v>
      </c>
      <c r="H1966" s="306" t="s">
        <v>3740</v>
      </c>
      <c r="I1966" s="432" t="s">
        <v>3741</v>
      </c>
      <c r="K1966" t="s">
        <v>1434</v>
      </c>
      <c r="L1966" t="s">
        <v>2137</v>
      </c>
      <c r="M1966" t="s">
        <v>2137</v>
      </c>
      <c r="N1966" t="s">
        <v>3737</v>
      </c>
    </row>
    <row r="1967" spans="1:14">
      <c r="A1967" s="5">
        <v>1966</v>
      </c>
      <c r="B1967" t="str">
        <f t="shared" si="281"/>
        <v/>
      </c>
      <c r="C1967" t="str">
        <f t="shared" si="282"/>
        <v/>
      </c>
      <c r="D1967" t="s">
        <v>3637</v>
      </c>
      <c r="E1967" s="5">
        <v>3</v>
      </c>
      <c r="H1967" s="306" t="s">
        <v>515</v>
      </c>
      <c r="I1967" s="432" t="s">
        <v>3705</v>
      </c>
      <c r="K1967" t="s">
        <v>659</v>
      </c>
      <c r="L1967" t="s">
        <v>2137</v>
      </c>
      <c r="M1967" t="s">
        <v>2137</v>
      </c>
      <c r="N1967" t="s">
        <v>3737</v>
      </c>
    </row>
    <row r="1968" spans="1:14">
      <c r="A1968" s="5">
        <v>1967</v>
      </c>
      <c r="B1968" t="str">
        <f t="shared" si="281"/>
        <v/>
      </c>
      <c r="C1968" t="str">
        <f t="shared" si="282"/>
        <v/>
      </c>
      <c r="D1968" t="s">
        <v>3637</v>
      </c>
      <c r="E1968" s="5">
        <v>3</v>
      </c>
      <c r="H1968" s="306" t="s">
        <v>3742</v>
      </c>
      <c r="I1968" s="432" t="s">
        <v>3743</v>
      </c>
      <c r="K1968" t="s">
        <v>659</v>
      </c>
      <c r="L1968" t="s">
        <v>2137</v>
      </c>
      <c r="M1968" t="s">
        <v>2137</v>
      </c>
      <c r="N1968" t="s">
        <v>3737</v>
      </c>
    </row>
    <row r="1969" spans="1:15">
      <c r="A1969" s="5">
        <v>1968</v>
      </c>
      <c r="B1969" t="str">
        <f t="shared" si="281"/>
        <v/>
      </c>
      <c r="C1969" t="str">
        <f t="shared" si="282"/>
        <v/>
      </c>
      <c r="D1969" t="s">
        <v>3637</v>
      </c>
      <c r="E1969" s="5">
        <v>3</v>
      </c>
      <c r="H1969" s="306" t="s">
        <v>3744</v>
      </c>
      <c r="I1969" s="432" t="s">
        <v>3492</v>
      </c>
      <c r="K1969" t="s">
        <v>659</v>
      </c>
      <c r="L1969" t="s">
        <v>2137</v>
      </c>
      <c r="M1969" t="s">
        <v>2137</v>
      </c>
      <c r="N1969" t="s">
        <v>3737</v>
      </c>
    </row>
    <row r="1970" spans="1:15">
      <c r="A1970" s="5">
        <v>1969</v>
      </c>
      <c r="B1970" t="str">
        <f t="shared" si="281"/>
        <v/>
      </c>
      <c r="C1970" t="str">
        <f t="shared" si="282"/>
        <v/>
      </c>
      <c r="D1970" t="s">
        <v>3637</v>
      </c>
      <c r="E1970" s="5">
        <v>3</v>
      </c>
      <c r="H1970" s="306" t="s">
        <v>3745</v>
      </c>
      <c r="I1970" s="432" t="s">
        <v>3746</v>
      </c>
      <c r="K1970" t="s">
        <v>659</v>
      </c>
      <c r="L1970" t="s">
        <v>2137</v>
      </c>
      <c r="M1970" t="s">
        <v>2137</v>
      </c>
      <c r="N1970" t="s">
        <v>3737</v>
      </c>
    </row>
    <row r="1971" spans="1:15" ht="36">
      <c r="A1971" s="5">
        <v>1970</v>
      </c>
      <c r="B1971" t="str">
        <f t="shared" ref="B1971:B1987" si="283">MID(G1971,8,2)</f>
        <v>TO</v>
      </c>
      <c r="C1971" t="str">
        <f t="shared" ref="C1971:C1987" si="284">MID(G1971,11,2)</f>
        <v>KB</v>
      </c>
      <c r="D1971" t="s">
        <v>3637</v>
      </c>
      <c r="E1971" s="5">
        <v>1</v>
      </c>
      <c r="G1971" s="4" t="s">
        <v>3747</v>
      </c>
      <c r="H1971" s="306" t="s">
        <v>519</v>
      </c>
      <c r="I1971" s="432" t="s">
        <v>3748</v>
      </c>
      <c r="K1971" t="s">
        <v>1434</v>
      </c>
      <c r="L1971" t="s">
        <v>669</v>
      </c>
      <c r="M1971" t="s">
        <v>2333</v>
      </c>
      <c r="N1971" t="s">
        <v>3749</v>
      </c>
    </row>
    <row r="1972" spans="1:15" ht="36">
      <c r="A1972" s="5">
        <v>1971</v>
      </c>
      <c r="B1972" t="str">
        <f t="shared" si="283"/>
        <v>TO</v>
      </c>
      <c r="C1972" t="str">
        <f t="shared" si="284"/>
        <v>KB</v>
      </c>
      <c r="D1972" t="s">
        <v>3637</v>
      </c>
      <c r="E1972" s="5">
        <v>2</v>
      </c>
      <c r="G1972" s="4" t="s">
        <v>3750</v>
      </c>
      <c r="H1972" s="305" t="s">
        <v>520</v>
      </c>
      <c r="I1972" s="438" t="s">
        <v>3412</v>
      </c>
      <c r="K1972" t="s">
        <v>659</v>
      </c>
      <c r="L1972" t="s">
        <v>669</v>
      </c>
      <c r="M1972" t="s">
        <v>2392</v>
      </c>
      <c r="N1972" t="s">
        <v>440</v>
      </c>
    </row>
    <row r="1973" spans="1:15" ht="36">
      <c r="A1973" s="5">
        <v>1972</v>
      </c>
      <c r="B1973" t="str">
        <f t="shared" si="283"/>
        <v>TO</v>
      </c>
      <c r="C1973" t="str">
        <f t="shared" si="284"/>
        <v>KB</v>
      </c>
      <c r="D1973" t="s">
        <v>3751</v>
      </c>
      <c r="E1973" s="5">
        <v>1</v>
      </c>
      <c r="G1973" s="4" t="s">
        <v>3752</v>
      </c>
      <c r="H1973" s="306" t="s">
        <v>3753</v>
      </c>
      <c r="I1973" s="432" t="s">
        <v>3754</v>
      </c>
      <c r="K1973" t="s">
        <v>659</v>
      </c>
      <c r="L1973" t="s">
        <v>669</v>
      </c>
      <c r="M1973" t="s">
        <v>2333</v>
      </c>
      <c r="O1973" s="4"/>
    </row>
    <row r="1974" spans="1:15">
      <c r="A1974" s="5">
        <v>1973</v>
      </c>
      <c r="B1974" t="str">
        <f t="shared" ref="B1974" si="285">MID(G1974,8,2)</f>
        <v>MH</v>
      </c>
      <c r="C1974" t="str">
        <f t="shared" ref="C1974" si="286">MID(G1974,11,2)</f>
        <v>KB</v>
      </c>
      <c r="D1974" t="s">
        <v>3751</v>
      </c>
      <c r="E1974" s="5"/>
      <c r="G1974" s="4" t="s">
        <v>3755</v>
      </c>
      <c r="H1974" s="306" t="s">
        <v>3756</v>
      </c>
      <c r="I1974" s="432" t="s">
        <v>3757</v>
      </c>
      <c r="K1974" t="s">
        <v>659</v>
      </c>
      <c r="L1974" t="s">
        <v>669</v>
      </c>
      <c r="M1974" t="s">
        <v>2392</v>
      </c>
      <c r="N1974" t="s">
        <v>3758</v>
      </c>
      <c r="O1974" s="4"/>
    </row>
    <row r="1975" spans="1:15" ht="21.6">
      <c r="A1975" s="5">
        <v>1974</v>
      </c>
      <c r="B1975" t="str">
        <f>MID(G1975,8,2)</f>
        <v>TO</v>
      </c>
      <c r="C1975" t="str">
        <f>MID(G1975,11,2)</f>
        <v>KB</v>
      </c>
      <c r="D1975" t="s">
        <v>3751</v>
      </c>
      <c r="E1975" s="5">
        <v>3</v>
      </c>
      <c r="G1975" s="4" t="s">
        <v>3759</v>
      </c>
      <c r="H1975" s="313" t="s">
        <v>2180</v>
      </c>
      <c r="I1975" s="432" t="s">
        <v>3941</v>
      </c>
      <c r="K1975" t="s">
        <v>659</v>
      </c>
      <c r="L1975" t="s">
        <v>669</v>
      </c>
      <c r="M1975" t="s">
        <v>2333</v>
      </c>
    </row>
    <row r="1976" spans="1:15" ht="21.6">
      <c r="A1976" s="5">
        <v>1975</v>
      </c>
      <c r="B1976" t="str">
        <f t="shared" ref="B1976:B1983" si="287">MID(G1976,8,2)</f>
        <v>TO</v>
      </c>
      <c r="C1976" t="str">
        <f t="shared" ref="C1976:C1983" si="288">MID(G1976,11,2)</f>
        <v>KB</v>
      </c>
      <c r="D1976" t="s">
        <v>3751</v>
      </c>
      <c r="E1976" s="5">
        <v>3</v>
      </c>
      <c r="G1976" s="4" t="s">
        <v>3760</v>
      </c>
      <c r="H1976" s="313" t="s">
        <v>2183</v>
      </c>
      <c r="I1976" s="432" t="s">
        <v>2184</v>
      </c>
      <c r="K1976" t="s">
        <v>659</v>
      </c>
      <c r="L1976" t="s">
        <v>669</v>
      </c>
      <c r="M1976" t="s">
        <v>2492</v>
      </c>
    </row>
    <row r="1977" spans="1:15" ht="21.6">
      <c r="A1977" s="5">
        <v>1976</v>
      </c>
      <c r="B1977" t="str">
        <f t="shared" si="287"/>
        <v>TO</v>
      </c>
      <c r="C1977" t="str">
        <f t="shared" si="288"/>
        <v>KB</v>
      </c>
      <c r="D1977" t="s">
        <v>3751</v>
      </c>
      <c r="E1977" s="5">
        <v>3</v>
      </c>
      <c r="G1977" s="4" t="s">
        <v>3759</v>
      </c>
      <c r="H1977" s="313" t="s">
        <v>2185</v>
      </c>
      <c r="I1977" s="432" t="s">
        <v>2186</v>
      </c>
      <c r="K1977" t="s">
        <v>659</v>
      </c>
      <c r="L1977" t="s">
        <v>669</v>
      </c>
      <c r="M1977" t="s">
        <v>2333</v>
      </c>
    </row>
    <row r="1978" spans="1:15" ht="21.6">
      <c r="A1978" s="5">
        <v>1977</v>
      </c>
      <c r="B1978" t="str">
        <f t="shared" si="287"/>
        <v>TO</v>
      </c>
      <c r="C1978" t="str">
        <f t="shared" si="288"/>
        <v>KB</v>
      </c>
      <c r="D1978" t="s">
        <v>3751</v>
      </c>
      <c r="E1978" s="5">
        <v>3</v>
      </c>
      <c r="G1978" s="4" t="s">
        <v>3759</v>
      </c>
      <c r="H1978" s="313" t="s">
        <v>1692</v>
      </c>
      <c r="I1978" s="432" t="s">
        <v>2187</v>
      </c>
      <c r="K1978" t="s">
        <v>659</v>
      </c>
      <c r="L1978" t="s">
        <v>669</v>
      </c>
      <c r="M1978" t="s">
        <v>2333</v>
      </c>
    </row>
    <row r="1979" spans="1:15" ht="21.6">
      <c r="A1979" s="5">
        <v>1978</v>
      </c>
      <c r="B1979" t="str">
        <f t="shared" si="287"/>
        <v>TO</v>
      </c>
      <c r="C1979" t="str">
        <f t="shared" si="288"/>
        <v>KB</v>
      </c>
      <c r="D1979" t="s">
        <v>3751</v>
      </c>
      <c r="E1979" s="5">
        <v>3</v>
      </c>
      <c r="G1979" s="4" t="s">
        <v>3759</v>
      </c>
      <c r="H1979" s="313" t="s">
        <v>1741</v>
      </c>
      <c r="I1979" s="432" t="s">
        <v>2216</v>
      </c>
      <c r="K1979" t="s">
        <v>659</v>
      </c>
      <c r="L1979" t="s">
        <v>669</v>
      </c>
      <c r="M1979" t="s">
        <v>2333</v>
      </c>
    </row>
    <row r="1980" spans="1:15" ht="21.6">
      <c r="A1980" s="5">
        <v>1979</v>
      </c>
      <c r="B1980" t="str">
        <f t="shared" si="287"/>
        <v>TO</v>
      </c>
      <c r="C1980" t="str">
        <f t="shared" si="288"/>
        <v>KB</v>
      </c>
      <c r="D1980" t="s">
        <v>3751</v>
      </c>
      <c r="E1980" s="5">
        <v>3</v>
      </c>
      <c r="G1980" s="4" t="s">
        <v>3759</v>
      </c>
      <c r="H1980" s="313" t="s">
        <v>87</v>
      </c>
      <c r="I1980" s="432" t="s">
        <v>2188</v>
      </c>
      <c r="K1980" t="s">
        <v>659</v>
      </c>
      <c r="L1980" t="s">
        <v>669</v>
      </c>
      <c r="M1980" t="s">
        <v>2333</v>
      </c>
    </row>
    <row r="1981" spans="1:15" ht="43.2">
      <c r="A1981" s="5">
        <v>1980</v>
      </c>
      <c r="B1981" t="str">
        <f t="shared" si="287"/>
        <v>TO</v>
      </c>
      <c r="C1981" t="str">
        <f t="shared" si="288"/>
        <v>KB</v>
      </c>
      <c r="D1981" t="s">
        <v>3751</v>
      </c>
      <c r="E1981" s="5">
        <v>3</v>
      </c>
      <c r="G1981" s="4" t="s">
        <v>3759</v>
      </c>
      <c r="H1981" s="313" t="s">
        <v>2189</v>
      </c>
      <c r="I1981" s="432" t="s">
        <v>2190</v>
      </c>
      <c r="K1981" t="s">
        <v>659</v>
      </c>
      <c r="L1981" t="s">
        <v>669</v>
      </c>
      <c r="M1981" t="s">
        <v>2333</v>
      </c>
    </row>
    <row r="1982" spans="1:15" ht="21.6">
      <c r="A1982" s="5">
        <v>1981</v>
      </c>
      <c r="B1982" t="str">
        <f t="shared" si="287"/>
        <v>TO</v>
      </c>
      <c r="C1982" t="str">
        <f t="shared" si="288"/>
        <v>KB</v>
      </c>
      <c r="D1982" t="s">
        <v>3751</v>
      </c>
      <c r="E1982" s="5">
        <v>3</v>
      </c>
      <c r="G1982" s="4" t="s">
        <v>3759</v>
      </c>
      <c r="H1982" s="313" t="s">
        <v>522</v>
      </c>
      <c r="I1982" s="432" t="s">
        <v>2191</v>
      </c>
      <c r="K1982" t="s">
        <v>659</v>
      </c>
      <c r="L1982" t="s">
        <v>669</v>
      </c>
      <c r="M1982" t="s">
        <v>2333</v>
      </c>
    </row>
    <row r="1983" spans="1:15" ht="21.6">
      <c r="A1983" s="5">
        <v>1982</v>
      </c>
      <c r="B1983" t="str">
        <f t="shared" si="287"/>
        <v>TO</v>
      </c>
      <c r="C1983" t="str">
        <f t="shared" si="288"/>
        <v>KB</v>
      </c>
      <c r="D1983" t="s">
        <v>3751</v>
      </c>
      <c r="E1983" s="5">
        <v>3</v>
      </c>
      <c r="G1983" s="4" t="s">
        <v>3759</v>
      </c>
      <c r="H1983" s="313" t="s">
        <v>2192</v>
      </c>
      <c r="I1983" s="432" t="s">
        <v>2193</v>
      </c>
      <c r="K1983" t="s">
        <v>659</v>
      </c>
      <c r="L1983" t="s">
        <v>669</v>
      </c>
      <c r="M1983" t="s">
        <v>2333</v>
      </c>
    </row>
    <row r="1984" spans="1:15">
      <c r="A1984" s="5">
        <v>1983</v>
      </c>
      <c r="B1984" t="str">
        <f t="shared" si="283"/>
        <v>TO</v>
      </c>
      <c r="C1984" t="str">
        <f t="shared" si="284"/>
        <v>KB</v>
      </c>
      <c r="D1984" t="s">
        <v>3751</v>
      </c>
      <c r="E1984" s="5">
        <v>3</v>
      </c>
      <c r="G1984" s="4" t="s">
        <v>3761</v>
      </c>
      <c r="H1984" s="306" t="s">
        <v>3762</v>
      </c>
      <c r="I1984" s="432" t="s">
        <v>3763</v>
      </c>
      <c r="K1984" t="s">
        <v>1434</v>
      </c>
      <c r="L1984" t="s">
        <v>669</v>
      </c>
      <c r="M1984" t="s">
        <v>2333</v>
      </c>
    </row>
    <row r="1985" spans="1:13">
      <c r="A1985" s="5">
        <v>1984</v>
      </c>
      <c r="B1985" t="str">
        <f t="shared" si="283"/>
        <v>TO</v>
      </c>
      <c r="C1985" t="str">
        <f t="shared" si="284"/>
        <v>KB</v>
      </c>
      <c r="D1985" t="s">
        <v>3751</v>
      </c>
      <c r="E1985" s="5">
        <v>3</v>
      </c>
      <c r="G1985" s="4" t="s">
        <v>3764</v>
      </c>
      <c r="H1985" s="306" t="s">
        <v>3765</v>
      </c>
      <c r="I1985" s="432" t="s">
        <v>3766</v>
      </c>
      <c r="K1985" t="s">
        <v>1434</v>
      </c>
      <c r="L1985" t="s">
        <v>669</v>
      </c>
      <c r="M1985" t="s">
        <v>2333</v>
      </c>
    </row>
    <row r="1986" spans="1:13">
      <c r="A1986" s="5">
        <v>1985</v>
      </c>
      <c r="B1986" t="str">
        <f t="shared" si="283"/>
        <v>TO</v>
      </c>
      <c r="C1986" t="str">
        <f t="shared" si="284"/>
        <v>KB</v>
      </c>
      <c r="D1986" t="s">
        <v>3751</v>
      </c>
      <c r="E1986" s="5">
        <v>3</v>
      </c>
      <c r="G1986" s="4" t="s">
        <v>3764</v>
      </c>
      <c r="H1986" s="306" t="s">
        <v>3767</v>
      </c>
      <c r="I1986" s="432" t="s">
        <v>3768</v>
      </c>
      <c r="K1986" t="s">
        <v>1434</v>
      </c>
      <c r="L1986" t="s">
        <v>669</v>
      </c>
      <c r="M1986" t="s">
        <v>2333</v>
      </c>
    </row>
    <row r="1987" spans="1:13">
      <c r="A1987" s="5">
        <v>1986</v>
      </c>
      <c r="B1987" t="str">
        <f t="shared" si="283"/>
        <v>TO</v>
      </c>
      <c r="C1987" t="str">
        <f t="shared" si="284"/>
        <v>KB</v>
      </c>
      <c r="D1987" t="s">
        <v>3751</v>
      </c>
      <c r="E1987" s="5">
        <v>3</v>
      </c>
      <c r="G1987" s="4" t="s">
        <v>3764</v>
      </c>
      <c r="H1987" s="306" t="s">
        <v>3769</v>
      </c>
      <c r="I1987" s="432" t="s">
        <v>3770</v>
      </c>
      <c r="K1987" t="s">
        <v>1434</v>
      </c>
      <c r="L1987" t="s">
        <v>669</v>
      </c>
      <c r="M1987" t="s">
        <v>2333</v>
      </c>
    </row>
    <row r="1988" spans="1:13" ht="36">
      <c r="A1988" s="5">
        <v>1987</v>
      </c>
      <c r="B1988" t="str">
        <f t="shared" ref="B1988" si="289">MID(G1988,8,2)</f>
        <v>TO</v>
      </c>
      <c r="C1988" t="str">
        <f t="shared" ref="C1988" si="290">MID(G1988,11,2)</f>
        <v>KB</v>
      </c>
      <c r="D1988" t="s">
        <v>3751</v>
      </c>
      <c r="E1988" s="5">
        <v>3</v>
      </c>
      <c r="G1988" s="463" t="s">
        <v>3771</v>
      </c>
      <c r="H1988" s="306" t="s">
        <v>3772</v>
      </c>
      <c r="I1988" s="432" t="s">
        <v>3773</v>
      </c>
      <c r="K1988" t="s">
        <v>1434</v>
      </c>
      <c r="L1988" t="s">
        <v>669</v>
      </c>
      <c r="M1988" t="s">
        <v>2392</v>
      </c>
    </row>
    <row r="1989" spans="1:13">
      <c r="A1989" s="5">
        <v>1988</v>
      </c>
      <c r="B1989" t="str">
        <f t="shared" ref="B1989:B1992" si="291">MID(G1989,8,2)</f>
        <v>TO</v>
      </c>
      <c r="C1989" t="str">
        <f t="shared" ref="C1989:C1992" si="292">MID(G1989,11,2)</f>
        <v>KB</v>
      </c>
      <c r="D1989" t="s">
        <v>3751</v>
      </c>
      <c r="E1989" s="5">
        <v>3</v>
      </c>
      <c r="G1989" s="463" t="s">
        <v>3774</v>
      </c>
      <c r="H1989" s="306" t="s">
        <v>532</v>
      </c>
      <c r="I1989" s="432" t="s">
        <v>3734</v>
      </c>
      <c r="K1989" t="s">
        <v>1434</v>
      </c>
      <c r="L1989" t="s">
        <v>669</v>
      </c>
      <c r="M1989" t="s">
        <v>2333</v>
      </c>
    </row>
    <row r="1990" spans="1:13">
      <c r="A1990" s="5">
        <v>1989</v>
      </c>
      <c r="B1990" t="str">
        <f t="shared" si="291"/>
        <v>TO</v>
      </c>
      <c r="C1990" t="str">
        <f t="shared" si="292"/>
        <v>KB</v>
      </c>
      <c r="D1990" t="s">
        <v>3751</v>
      </c>
      <c r="E1990" s="5">
        <v>3</v>
      </c>
      <c r="G1990" s="463" t="s">
        <v>3774</v>
      </c>
      <c r="H1990" s="306" t="s">
        <v>3728</v>
      </c>
      <c r="I1990" s="432" t="s">
        <v>3729</v>
      </c>
      <c r="K1990" t="s">
        <v>1434</v>
      </c>
      <c r="L1990" t="s">
        <v>669</v>
      </c>
      <c r="M1990" t="s">
        <v>2392</v>
      </c>
    </row>
    <row r="1991" spans="1:13">
      <c r="A1991" s="5">
        <v>1990</v>
      </c>
      <c r="B1991" t="str">
        <f t="shared" si="291"/>
        <v>TO</v>
      </c>
      <c r="C1991" t="str">
        <f t="shared" si="292"/>
        <v>KB</v>
      </c>
      <c r="D1991" t="s">
        <v>3751</v>
      </c>
      <c r="E1991" s="5">
        <v>3</v>
      </c>
      <c r="G1991" s="463" t="s">
        <v>3774</v>
      </c>
      <c r="H1991" s="306" t="s">
        <v>3775</v>
      </c>
      <c r="I1991" s="432" t="s">
        <v>3776</v>
      </c>
      <c r="K1991" t="s">
        <v>659</v>
      </c>
      <c r="L1991" t="s">
        <v>669</v>
      </c>
      <c r="M1991" t="s">
        <v>2333</v>
      </c>
    </row>
    <row r="1992" spans="1:13">
      <c r="A1992" s="5">
        <v>1991</v>
      </c>
      <c r="B1992" t="str">
        <f t="shared" si="291"/>
        <v>TO</v>
      </c>
      <c r="C1992" t="str">
        <f t="shared" si="292"/>
        <v>KB</v>
      </c>
      <c r="D1992" t="s">
        <v>3751</v>
      </c>
      <c r="E1992" s="5">
        <v>3</v>
      </c>
      <c r="G1992" s="463" t="s">
        <v>3774</v>
      </c>
      <c r="H1992" s="305" t="s">
        <v>1215</v>
      </c>
      <c r="I1992" s="433" t="s">
        <v>3777</v>
      </c>
      <c r="K1992" t="s">
        <v>659</v>
      </c>
      <c r="L1992" t="s">
        <v>669</v>
      </c>
      <c r="M1992" t="s">
        <v>2333</v>
      </c>
    </row>
    <row r="1993" spans="1:13" ht="36">
      <c r="A1993" s="5">
        <v>1992</v>
      </c>
      <c r="B1993" t="str">
        <f t="shared" ref="B1993" si="293">MID(G1993,8,2)</f>
        <v>TO</v>
      </c>
      <c r="C1993" t="str">
        <f t="shared" ref="C1993" si="294">MID(G1993,11,2)</f>
        <v>KB</v>
      </c>
      <c r="D1993" t="s">
        <v>3751</v>
      </c>
      <c r="E1993" s="5">
        <v>3</v>
      </c>
      <c r="G1993" s="463" t="s">
        <v>3778</v>
      </c>
      <c r="H1993" s="306" t="s">
        <v>3730</v>
      </c>
      <c r="I1993" s="432" t="s">
        <v>2517</v>
      </c>
      <c r="K1993" t="s">
        <v>659</v>
      </c>
      <c r="L1993" t="s">
        <v>669</v>
      </c>
      <c r="M1993" t="s">
        <v>2333</v>
      </c>
    </row>
    <row r="1994" spans="1:13">
      <c r="A1994" s="5">
        <v>1993</v>
      </c>
      <c r="B1994" t="str">
        <f t="shared" ref="B1994:B2000" si="295">MID(G1994,8,2)</f>
        <v>TO</v>
      </c>
      <c r="C1994" t="str">
        <f t="shared" ref="C1994:C2000" si="296">MID(G1994,11,2)</f>
        <v>KB</v>
      </c>
      <c r="D1994" t="s">
        <v>3751</v>
      </c>
      <c r="E1994" s="5">
        <v>3</v>
      </c>
      <c r="G1994" s="463" t="s">
        <v>3778</v>
      </c>
      <c r="H1994" s="306" t="s">
        <v>3735</v>
      </c>
      <c r="I1994" s="432" t="s">
        <v>3779</v>
      </c>
      <c r="K1994" t="s">
        <v>659</v>
      </c>
      <c r="L1994" t="s">
        <v>669</v>
      </c>
      <c r="M1994" t="s">
        <v>2333</v>
      </c>
    </row>
    <row r="1995" spans="1:13">
      <c r="A1995" s="5">
        <v>1994</v>
      </c>
      <c r="B1995" t="str">
        <f t="shared" si="295"/>
        <v>TO</v>
      </c>
      <c r="C1995" t="str">
        <f t="shared" si="296"/>
        <v>KB</v>
      </c>
      <c r="D1995" t="s">
        <v>3751</v>
      </c>
      <c r="E1995" s="5">
        <v>3</v>
      </c>
      <c r="G1995" s="463" t="s">
        <v>3778</v>
      </c>
      <c r="H1995" s="306" t="s">
        <v>3738</v>
      </c>
      <c r="I1995" s="432" t="s">
        <v>3739</v>
      </c>
      <c r="K1995" t="s">
        <v>659</v>
      </c>
      <c r="L1995" t="s">
        <v>669</v>
      </c>
      <c r="M1995" t="s">
        <v>2333</v>
      </c>
    </row>
    <row r="1996" spans="1:13">
      <c r="A1996" s="5">
        <v>1995</v>
      </c>
      <c r="B1996" t="str">
        <f t="shared" si="295"/>
        <v>TO</v>
      </c>
      <c r="C1996" t="str">
        <f t="shared" si="296"/>
        <v>KB</v>
      </c>
      <c r="D1996" t="s">
        <v>3751</v>
      </c>
      <c r="E1996" s="5">
        <v>3</v>
      </c>
      <c r="G1996" s="463" t="s">
        <v>3778</v>
      </c>
      <c r="H1996" s="305" t="s">
        <v>3780</v>
      </c>
      <c r="I1996" s="433" t="s">
        <v>3781</v>
      </c>
      <c r="K1996" t="s">
        <v>659</v>
      </c>
      <c r="L1996" t="s">
        <v>669</v>
      </c>
      <c r="M1996" t="s">
        <v>2333</v>
      </c>
    </row>
    <row r="1997" spans="1:13">
      <c r="A1997" s="5">
        <v>1996</v>
      </c>
      <c r="B1997" t="str">
        <f t="shared" si="295"/>
        <v>TO</v>
      </c>
      <c r="C1997" t="str">
        <f t="shared" si="296"/>
        <v>KB</v>
      </c>
      <c r="D1997" t="s">
        <v>3751</v>
      </c>
      <c r="E1997" s="5">
        <v>3</v>
      </c>
      <c r="G1997" s="463" t="s">
        <v>3778</v>
      </c>
      <c r="H1997" s="305" t="s">
        <v>3782</v>
      </c>
      <c r="I1997" s="433" t="s">
        <v>3783</v>
      </c>
      <c r="K1997" t="s">
        <v>659</v>
      </c>
      <c r="L1997" t="s">
        <v>669</v>
      </c>
      <c r="M1997" t="s">
        <v>2333</v>
      </c>
    </row>
    <row r="1998" spans="1:13">
      <c r="A1998" s="5">
        <v>1997</v>
      </c>
      <c r="B1998" t="str">
        <f t="shared" si="295"/>
        <v>TO</v>
      </c>
      <c r="C1998" t="str">
        <f t="shared" si="296"/>
        <v>KB</v>
      </c>
      <c r="D1998" t="s">
        <v>3751</v>
      </c>
      <c r="E1998" s="5">
        <v>3</v>
      </c>
      <c r="G1998" s="463" t="s">
        <v>3778</v>
      </c>
      <c r="H1998" s="305" t="s">
        <v>3784</v>
      </c>
      <c r="I1998" s="433" t="s">
        <v>3785</v>
      </c>
      <c r="K1998" t="s">
        <v>659</v>
      </c>
      <c r="L1998" t="s">
        <v>669</v>
      </c>
      <c r="M1998" t="s">
        <v>2333</v>
      </c>
    </row>
    <row r="1999" spans="1:13">
      <c r="A1999" s="5">
        <v>1998</v>
      </c>
      <c r="B1999" t="str">
        <f t="shared" si="295"/>
        <v>TO</v>
      </c>
      <c r="C1999" t="str">
        <f t="shared" si="296"/>
        <v>KB</v>
      </c>
      <c r="D1999" t="s">
        <v>3751</v>
      </c>
      <c r="E1999" s="5">
        <v>3</v>
      </c>
      <c r="G1999" s="463" t="s">
        <v>3778</v>
      </c>
      <c r="H1999" s="305" t="s">
        <v>3786</v>
      </c>
      <c r="I1999" s="433" t="s">
        <v>3787</v>
      </c>
      <c r="K1999" t="s">
        <v>659</v>
      </c>
      <c r="L1999" t="s">
        <v>669</v>
      </c>
      <c r="M1999" t="s">
        <v>2333</v>
      </c>
    </row>
    <row r="2000" spans="1:13">
      <c r="A2000" s="5">
        <v>1999</v>
      </c>
      <c r="B2000" t="str">
        <f t="shared" si="295"/>
        <v>TO</v>
      </c>
      <c r="C2000" t="str">
        <f t="shared" si="296"/>
        <v>KB</v>
      </c>
      <c r="D2000" t="s">
        <v>3751</v>
      </c>
      <c r="E2000" s="5">
        <v>3</v>
      </c>
      <c r="G2000" s="463" t="s">
        <v>3778</v>
      </c>
      <c r="H2000" s="305" t="s">
        <v>3788</v>
      </c>
      <c r="I2000" s="433" t="s">
        <v>3789</v>
      </c>
      <c r="K2000" t="s">
        <v>659</v>
      </c>
      <c r="L2000" t="s">
        <v>669</v>
      </c>
      <c r="M2000" t="s">
        <v>2333</v>
      </c>
    </row>
    <row r="2001" spans="1:13">
      <c r="A2001" s="5">
        <v>2000</v>
      </c>
      <c r="B2001" t="str">
        <f t="shared" ref="B2001" si="297">MID(G2001,8,2)</f>
        <v>TO</v>
      </c>
      <c r="C2001" t="str">
        <f t="shared" ref="C2001" si="298">MID(G2001,11,2)</f>
        <v>KB</v>
      </c>
      <c r="D2001" t="s">
        <v>3751</v>
      </c>
      <c r="E2001" s="5">
        <v>3</v>
      </c>
      <c r="G2001" s="4" t="s">
        <v>3790</v>
      </c>
      <c r="H2001" s="305" t="s">
        <v>3791</v>
      </c>
      <c r="I2001" s="433" t="s">
        <v>3792</v>
      </c>
      <c r="K2001" t="s">
        <v>659</v>
      </c>
      <c r="L2001" t="s">
        <v>669</v>
      </c>
      <c r="M2001" t="s">
        <v>2333</v>
      </c>
    </row>
    <row r="2002" spans="1:13">
      <c r="A2002" s="5">
        <v>2001</v>
      </c>
      <c r="B2002" t="str">
        <f t="shared" ref="B2002:B2006" si="299">MID(G2002,8,2)</f>
        <v>TO</v>
      </c>
      <c r="C2002" t="str">
        <f t="shared" ref="C2002:C2006" si="300">MID(G2002,11,2)</f>
        <v>KB</v>
      </c>
      <c r="D2002" t="s">
        <v>3751</v>
      </c>
      <c r="E2002" s="5">
        <v>3</v>
      </c>
      <c r="G2002" s="4" t="s">
        <v>3790</v>
      </c>
      <c r="H2002" s="305" t="s">
        <v>3793</v>
      </c>
      <c r="I2002" s="433" t="s">
        <v>3794</v>
      </c>
      <c r="K2002" t="s">
        <v>1434</v>
      </c>
      <c r="L2002" t="s">
        <v>669</v>
      </c>
      <c r="M2002" t="s">
        <v>2333</v>
      </c>
    </row>
    <row r="2003" spans="1:13">
      <c r="A2003" s="5">
        <v>2002</v>
      </c>
      <c r="B2003" t="str">
        <f t="shared" si="299"/>
        <v>TO</v>
      </c>
      <c r="C2003" t="str">
        <f t="shared" si="300"/>
        <v>KB</v>
      </c>
      <c r="D2003" t="s">
        <v>3751</v>
      </c>
      <c r="E2003" s="5">
        <v>3</v>
      </c>
      <c r="G2003" s="4" t="s">
        <v>3790</v>
      </c>
      <c r="H2003" s="305" t="s">
        <v>3609</v>
      </c>
      <c r="I2003" s="433" t="s">
        <v>3795</v>
      </c>
      <c r="K2003" t="s">
        <v>659</v>
      </c>
      <c r="L2003" t="s">
        <v>669</v>
      </c>
      <c r="M2003" t="s">
        <v>2333</v>
      </c>
    </row>
    <row r="2004" spans="1:13">
      <c r="A2004" s="5">
        <v>2003</v>
      </c>
      <c r="B2004" t="str">
        <f t="shared" si="299"/>
        <v>TO</v>
      </c>
      <c r="C2004" t="str">
        <f t="shared" si="300"/>
        <v>KB</v>
      </c>
      <c r="D2004" t="s">
        <v>3751</v>
      </c>
      <c r="E2004" s="5">
        <v>3</v>
      </c>
      <c r="G2004" s="4" t="s">
        <v>3796</v>
      </c>
      <c r="H2004" s="305" t="s">
        <v>3797</v>
      </c>
      <c r="I2004" s="433" t="s">
        <v>3798</v>
      </c>
      <c r="K2004" t="s">
        <v>1434</v>
      </c>
      <c r="L2004" t="s">
        <v>669</v>
      </c>
      <c r="M2004" t="s">
        <v>2333</v>
      </c>
    </row>
    <row r="2005" spans="1:13">
      <c r="A2005" s="5">
        <v>2004</v>
      </c>
      <c r="B2005" t="str">
        <f t="shared" si="299"/>
        <v>TO</v>
      </c>
      <c r="C2005" t="str">
        <f t="shared" si="300"/>
        <v>KB</v>
      </c>
      <c r="D2005" t="s">
        <v>3751</v>
      </c>
      <c r="E2005" s="5">
        <v>3</v>
      </c>
      <c r="G2005" s="4" t="s">
        <v>3790</v>
      </c>
      <c r="H2005" s="305" t="s">
        <v>3487</v>
      </c>
      <c r="I2005" s="433" t="s">
        <v>3488</v>
      </c>
      <c r="K2005" t="s">
        <v>659</v>
      </c>
      <c r="L2005" t="s">
        <v>669</v>
      </c>
      <c r="M2005" t="s">
        <v>2333</v>
      </c>
    </row>
    <row r="2006" spans="1:13">
      <c r="A2006" s="5">
        <v>2005</v>
      </c>
      <c r="B2006" t="str">
        <f t="shared" si="299"/>
        <v>TO</v>
      </c>
      <c r="C2006" t="str">
        <f t="shared" si="300"/>
        <v>KB</v>
      </c>
      <c r="D2006" t="s">
        <v>3751</v>
      </c>
      <c r="E2006" s="5">
        <v>3</v>
      </c>
      <c r="G2006" s="4" t="s">
        <v>3790</v>
      </c>
      <c r="H2006" s="305" t="s">
        <v>3799</v>
      </c>
      <c r="I2006" s="433" t="s">
        <v>3800</v>
      </c>
      <c r="K2006" t="s">
        <v>1434</v>
      </c>
      <c r="L2006" t="s">
        <v>669</v>
      </c>
      <c r="M2006" t="s">
        <v>2333</v>
      </c>
    </row>
    <row r="2007" spans="1:13" ht="36">
      <c r="A2007" s="5">
        <v>2006</v>
      </c>
      <c r="B2007" t="str">
        <f t="shared" ref="B2007:B2011" si="301">MID(G2007,8,2)</f>
        <v>TO</v>
      </c>
      <c r="C2007" t="str">
        <f t="shared" ref="C2007:C2011" si="302">MID(G2007,11,2)</f>
        <v>KB</v>
      </c>
      <c r="D2007" t="s">
        <v>3751</v>
      </c>
      <c r="E2007" s="5">
        <v>3</v>
      </c>
      <c r="G2007" s="4" t="s">
        <v>3801</v>
      </c>
      <c r="H2007" s="306" t="s">
        <v>3740</v>
      </c>
      <c r="I2007" s="432" t="s">
        <v>3741</v>
      </c>
      <c r="K2007" t="s">
        <v>659</v>
      </c>
      <c r="L2007" t="s">
        <v>669</v>
      </c>
      <c r="M2007" t="s">
        <v>2333</v>
      </c>
    </row>
    <row r="2008" spans="1:13">
      <c r="A2008" s="5">
        <v>2007</v>
      </c>
      <c r="B2008" t="str">
        <f t="shared" si="301"/>
        <v>TO</v>
      </c>
      <c r="C2008" t="str">
        <f t="shared" si="302"/>
        <v>KB</v>
      </c>
      <c r="D2008" t="s">
        <v>3751</v>
      </c>
      <c r="E2008" s="5">
        <v>3</v>
      </c>
      <c r="G2008" s="4" t="s">
        <v>3801</v>
      </c>
      <c r="H2008" s="306" t="s">
        <v>515</v>
      </c>
      <c r="I2008" s="432" t="s">
        <v>3705</v>
      </c>
      <c r="K2008" t="s">
        <v>659</v>
      </c>
      <c r="L2008" t="s">
        <v>669</v>
      </c>
      <c r="M2008" t="s">
        <v>2333</v>
      </c>
    </row>
    <row r="2009" spans="1:13">
      <c r="A2009" s="5">
        <v>2008</v>
      </c>
      <c r="B2009" t="str">
        <f t="shared" si="301"/>
        <v>TO</v>
      </c>
      <c r="C2009" t="str">
        <f t="shared" si="302"/>
        <v>KB</v>
      </c>
      <c r="D2009" t="s">
        <v>3751</v>
      </c>
      <c r="E2009" s="5">
        <v>3</v>
      </c>
      <c r="G2009" s="4" t="s">
        <v>3801</v>
      </c>
      <c r="H2009" s="306" t="s">
        <v>3742</v>
      </c>
      <c r="I2009" s="432" t="s">
        <v>3743</v>
      </c>
      <c r="K2009" t="s">
        <v>659</v>
      </c>
      <c r="L2009" t="s">
        <v>2137</v>
      </c>
      <c r="M2009"/>
    </row>
    <row r="2010" spans="1:13">
      <c r="A2010" s="5">
        <v>2009</v>
      </c>
      <c r="B2010" t="str">
        <f t="shared" si="301"/>
        <v>TO</v>
      </c>
      <c r="C2010" t="str">
        <f t="shared" si="302"/>
        <v>KB</v>
      </c>
      <c r="D2010" t="s">
        <v>3751</v>
      </c>
      <c r="E2010" s="5">
        <v>3</v>
      </c>
      <c r="G2010" s="4" t="s">
        <v>3801</v>
      </c>
      <c r="H2010" s="306" t="s">
        <v>3802</v>
      </c>
      <c r="I2010" s="432" t="s">
        <v>3492</v>
      </c>
      <c r="K2010" t="s">
        <v>659</v>
      </c>
      <c r="L2010" t="s">
        <v>2137</v>
      </c>
      <c r="M2010"/>
    </row>
    <row r="2011" spans="1:13">
      <c r="A2011" s="5">
        <v>2010</v>
      </c>
      <c r="B2011" t="str">
        <f t="shared" si="301"/>
        <v>TO</v>
      </c>
      <c r="C2011" t="str">
        <f t="shared" si="302"/>
        <v>KB</v>
      </c>
      <c r="D2011" t="s">
        <v>3751</v>
      </c>
      <c r="E2011" s="5">
        <v>3</v>
      </c>
      <c r="G2011" s="4" t="s">
        <v>3801</v>
      </c>
      <c r="H2011" s="306" t="s">
        <v>3745</v>
      </c>
      <c r="I2011" s="432" t="s">
        <v>3746</v>
      </c>
      <c r="K2011" t="s">
        <v>659</v>
      </c>
      <c r="L2011" t="s">
        <v>2137</v>
      </c>
      <c r="M2011"/>
    </row>
    <row r="2012" spans="1:13">
      <c r="A2012" s="5">
        <v>2011</v>
      </c>
      <c r="B2012" t="str">
        <f t="shared" ref="B2012" si="303">MID(G2012,8,2)</f>
        <v>TO</v>
      </c>
      <c r="C2012" t="str">
        <f t="shared" ref="C2012" si="304">MID(G2012,11,2)</f>
        <v>KB</v>
      </c>
      <c r="D2012" t="s">
        <v>3751</v>
      </c>
      <c r="E2012" s="5">
        <v>3</v>
      </c>
      <c r="G2012" s="4" t="s">
        <v>3801</v>
      </c>
      <c r="H2012" s="306" t="s">
        <v>1617</v>
      </c>
      <c r="I2012" s="432" t="s">
        <v>3803</v>
      </c>
      <c r="K2012" t="s">
        <v>659</v>
      </c>
      <c r="L2012" t="s">
        <v>2137</v>
      </c>
      <c r="M2012"/>
    </row>
    <row r="2013" spans="1:13">
      <c r="A2013" s="5">
        <v>2012</v>
      </c>
      <c r="B2013" t="str">
        <f t="shared" ref="B2013:B2073" si="305">MID(G2013,8,2)</f>
        <v>TO</v>
      </c>
      <c r="C2013" t="str">
        <f t="shared" ref="C2013:C2073" si="306">MID(G2013,11,2)</f>
        <v>KB</v>
      </c>
      <c r="D2013" t="s">
        <v>3751</v>
      </c>
      <c r="E2013" s="5">
        <v>3</v>
      </c>
      <c r="G2013" s="4" t="s">
        <v>3804</v>
      </c>
      <c r="H2013" s="306" t="s">
        <v>1272</v>
      </c>
      <c r="I2013" s="432" t="s">
        <v>3805</v>
      </c>
      <c r="K2013" t="s">
        <v>1434</v>
      </c>
      <c r="L2013" t="s">
        <v>669</v>
      </c>
      <c r="M2013" t="s">
        <v>2333</v>
      </c>
    </row>
    <row r="2014" spans="1:13">
      <c r="A2014" s="5">
        <v>2013</v>
      </c>
      <c r="B2014" t="str">
        <f t="shared" ref="B2014:B2017" si="307">MID(G2014,8,2)</f>
        <v>TO</v>
      </c>
      <c r="C2014" t="str">
        <f t="shared" ref="C2014:C2017" si="308">MID(G2014,11,2)</f>
        <v>KB</v>
      </c>
      <c r="D2014" t="s">
        <v>3751</v>
      </c>
      <c r="E2014" s="5">
        <v>3</v>
      </c>
      <c r="G2014" s="4" t="s">
        <v>3804</v>
      </c>
      <c r="H2014" s="306" t="s">
        <v>1744</v>
      </c>
      <c r="I2014" s="438" t="s">
        <v>3806</v>
      </c>
      <c r="K2014" t="s">
        <v>659</v>
      </c>
      <c r="L2014" t="s">
        <v>669</v>
      </c>
      <c r="M2014" t="s">
        <v>2333</v>
      </c>
    </row>
    <row r="2015" spans="1:13">
      <c r="A2015" s="5">
        <v>2014</v>
      </c>
      <c r="B2015" t="str">
        <f t="shared" si="307"/>
        <v>TO</v>
      </c>
      <c r="C2015" t="str">
        <f t="shared" si="308"/>
        <v>KB</v>
      </c>
      <c r="D2015" t="s">
        <v>3751</v>
      </c>
      <c r="E2015" s="5">
        <v>3</v>
      </c>
      <c r="G2015" s="4" t="s">
        <v>3804</v>
      </c>
      <c r="H2015" s="306" t="s">
        <v>2571</v>
      </c>
      <c r="I2015" s="438" t="s">
        <v>2572</v>
      </c>
      <c r="K2015" t="s">
        <v>659</v>
      </c>
      <c r="L2015" t="s">
        <v>669</v>
      </c>
      <c r="M2015" t="s">
        <v>2333</v>
      </c>
    </row>
    <row r="2016" spans="1:13">
      <c r="A2016" s="5">
        <v>2015</v>
      </c>
      <c r="B2016" t="str">
        <f t="shared" si="307"/>
        <v>TO</v>
      </c>
      <c r="C2016" t="str">
        <f t="shared" si="308"/>
        <v>KB</v>
      </c>
      <c r="D2016" t="s">
        <v>3751</v>
      </c>
      <c r="E2016" s="5">
        <v>3</v>
      </c>
      <c r="G2016" s="4" t="s">
        <v>3804</v>
      </c>
      <c r="H2016" s="306" t="s">
        <v>3807</v>
      </c>
      <c r="I2016" s="438" t="s">
        <v>2806</v>
      </c>
      <c r="K2016" t="s">
        <v>659</v>
      </c>
      <c r="L2016" t="s">
        <v>669</v>
      </c>
      <c r="M2016" t="s">
        <v>2333</v>
      </c>
    </row>
    <row r="2017" spans="1:13">
      <c r="A2017" s="5">
        <v>2016</v>
      </c>
      <c r="B2017" t="str">
        <f t="shared" si="307"/>
        <v>TO</v>
      </c>
      <c r="C2017" t="str">
        <f t="shared" si="308"/>
        <v>KB</v>
      </c>
      <c r="D2017" t="s">
        <v>3751</v>
      </c>
      <c r="E2017" s="5">
        <v>3</v>
      </c>
      <c r="G2017" s="4" t="s">
        <v>3804</v>
      </c>
      <c r="H2017" s="306" t="s">
        <v>3808</v>
      </c>
      <c r="I2017" s="438" t="s">
        <v>3809</v>
      </c>
      <c r="K2017" t="s">
        <v>659</v>
      </c>
      <c r="L2017" t="s">
        <v>669</v>
      </c>
      <c r="M2017" t="s">
        <v>2333</v>
      </c>
    </row>
    <row r="2018" spans="1:13">
      <c r="A2018" s="5">
        <v>2017</v>
      </c>
      <c r="B2018" t="s">
        <v>114</v>
      </c>
      <c r="C2018" t="s">
        <v>112</v>
      </c>
      <c r="D2018" t="s">
        <v>3751</v>
      </c>
      <c r="E2018" s="5">
        <v>1</v>
      </c>
      <c r="G2018" s="4" t="s">
        <v>3810</v>
      </c>
      <c r="H2018" s="306" t="s">
        <v>3811</v>
      </c>
      <c r="I2018" s="432" t="s">
        <v>3812</v>
      </c>
      <c r="K2018" t="s">
        <v>1434</v>
      </c>
      <c r="L2018" t="s">
        <v>669</v>
      </c>
      <c r="M2018"/>
    </row>
    <row r="2019" spans="1:13">
      <c r="A2019" s="5">
        <v>2018</v>
      </c>
      <c r="B2019" t="s">
        <v>152</v>
      </c>
      <c r="C2019" t="str">
        <f>MID(G2019,11,2)</f>
        <v>KB</v>
      </c>
      <c r="D2019" t="s">
        <v>3813</v>
      </c>
      <c r="E2019" s="5">
        <v>2</v>
      </c>
      <c r="G2019" s="4" t="s">
        <v>3814</v>
      </c>
      <c r="H2019" s="306" t="s">
        <v>527</v>
      </c>
      <c r="I2019" s="432" t="s">
        <v>2354</v>
      </c>
      <c r="K2019" t="s">
        <v>659</v>
      </c>
      <c r="L2019" t="s">
        <v>669</v>
      </c>
      <c r="M2019" t="s">
        <v>2333</v>
      </c>
    </row>
    <row r="2020" spans="1:13">
      <c r="A2020" s="5">
        <v>2019</v>
      </c>
      <c r="B2020" t="str">
        <f t="shared" si="305"/>
        <v>TO</v>
      </c>
      <c r="C2020" t="str">
        <f t="shared" si="306"/>
        <v>KB</v>
      </c>
      <c r="D2020" t="s">
        <v>3751</v>
      </c>
      <c r="E2020" s="5"/>
      <c r="G2020" s="4" t="s">
        <v>3815</v>
      </c>
      <c r="H2020" s="306" t="s">
        <v>523</v>
      </c>
      <c r="I2020" s="432" t="s">
        <v>3816</v>
      </c>
      <c r="K2020" t="s">
        <v>659</v>
      </c>
      <c r="L2020" t="s">
        <v>669</v>
      </c>
      <c r="M2020" t="s">
        <v>2492</v>
      </c>
    </row>
    <row r="2021" spans="1:13">
      <c r="A2021" s="5">
        <v>2020</v>
      </c>
      <c r="B2021" t="str">
        <f t="shared" si="305"/>
        <v>TO</v>
      </c>
      <c r="C2021" t="str">
        <f t="shared" si="306"/>
        <v>KB</v>
      </c>
      <c r="D2021" t="s">
        <v>3751</v>
      </c>
      <c r="E2021" s="5"/>
      <c r="G2021" s="4" t="s">
        <v>3817</v>
      </c>
      <c r="H2021" s="306" t="s">
        <v>508</v>
      </c>
      <c r="I2021" s="432" t="s">
        <v>3657</v>
      </c>
      <c r="K2021" t="s">
        <v>659</v>
      </c>
      <c r="L2021" t="s">
        <v>669</v>
      </c>
      <c r="M2021" t="s">
        <v>2333</v>
      </c>
    </row>
    <row r="2022" spans="1:13">
      <c r="A2022" s="5">
        <v>2021</v>
      </c>
      <c r="B2022" t="str">
        <f t="shared" si="305"/>
        <v>TO</v>
      </c>
      <c r="C2022" t="str">
        <f t="shared" si="306"/>
        <v>KB</v>
      </c>
      <c r="D2022" t="s">
        <v>3813</v>
      </c>
      <c r="E2022" s="5"/>
      <c r="G2022" s="4" t="s">
        <v>3818</v>
      </c>
      <c r="H2022" s="306" t="s">
        <v>3728</v>
      </c>
      <c r="I2022" s="432" t="s">
        <v>3729</v>
      </c>
      <c r="K2022" t="s">
        <v>659</v>
      </c>
      <c r="L2022" t="s">
        <v>669</v>
      </c>
      <c r="M2022" t="s">
        <v>2333</v>
      </c>
    </row>
    <row r="2023" spans="1:13">
      <c r="A2023" s="5">
        <v>2022</v>
      </c>
      <c r="B2023" t="str">
        <f t="shared" ref="B2023" si="309">MID(G2023,8,2)</f>
        <v>TO</v>
      </c>
      <c r="C2023" t="str">
        <f t="shared" ref="C2023" si="310">MID(G2023,11,2)</f>
        <v>KB</v>
      </c>
      <c r="D2023" t="s">
        <v>3813</v>
      </c>
      <c r="E2023" s="5"/>
      <c r="G2023" s="4" t="s">
        <v>3818</v>
      </c>
      <c r="H2023" s="306" t="s">
        <v>3775</v>
      </c>
      <c r="I2023" s="432" t="s">
        <v>3776</v>
      </c>
      <c r="K2023" t="s">
        <v>659</v>
      </c>
      <c r="L2023" t="s">
        <v>669</v>
      </c>
      <c r="M2023" t="s">
        <v>2333</v>
      </c>
    </row>
    <row r="2024" spans="1:13">
      <c r="A2024" s="5">
        <v>2023</v>
      </c>
      <c r="B2024" t="s">
        <v>114</v>
      </c>
      <c r="C2024" t="s">
        <v>112</v>
      </c>
      <c r="D2024" t="s">
        <v>3813</v>
      </c>
      <c r="E2024" s="5"/>
      <c r="G2024" s="4" t="s">
        <v>3819</v>
      </c>
      <c r="H2024" s="306" t="s">
        <v>3811</v>
      </c>
      <c r="I2024" s="432" t="s">
        <v>3812</v>
      </c>
      <c r="K2024" t="s">
        <v>659</v>
      </c>
      <c r="L2024" t="s">
        <v>669</v>
      </c>
      <c r="M2024"/>
    </row>
    <row r="2025" spans="1:13">
      <c r="A2025" s="5">
        <v>2024</v>
      </c>
      <c r="B2025" t="str">
        <f t="shared" si="305"/>
        <v>TO</v>
      </c>
      <c r="C2025" t="str">
        <f t="shared" si="306"/>
        <v>KB</v>
      </c>
      <c r="D2025" t="s">
        <v>3813</v>
      </c>
      <c r="E2025" s="5">
        <v>1</v>
      </c>
      <c r="G2025" s="4" t="s">
        <v>3820</v>
      </c>
      <c r="H2025" s="306" t="s">
        <v>109</v>
      </c>
      <c r="I2025" s="432" t="s">
        <v>3821</v>
      </c>
      <c r="K2025" t="s">
        <v>659</v>
      </c>
      <c r="L2025" t="s">
        <v>669</v>
      </c>
      <c r="M2025" t="s">
        <v>2333</v>
      </c>
    </row>
    <row r="2026" spans="1:13" ht="36">
      <c r="A2026" s="5">
        <v>2025</v>
      </c>
      <c r="B2026" t="str">
        <f t="shared" si="305"/>
        <v>TO</v>
      </c>
      <c r="C2026" t="str">
        <f t="shared" si="306"/>
        <v>KB</v>
      </c>
      <c r="D2026" t="s">
        <v>3813</v>
      </c>
      <c r="E2026" s="5">
        <v>3</v>
      </c>
      <c r="G2026" s="4" t="s">
        <v>3822</v>
      </c>
      <c r="H2026" s="306" t="s">
        <v>525</v>
      </c>
      <c r="I2026" s="432" t="s">
        <v>3823</v>
      </c>
      <c r="K2026" t="s">
        <v>659</v>
      </c>
      <c r="L2026" t="s">
        <v>669</v>
      </c>
      <c r="M2026" t="s">
        <v>2333</v>
      </c>
    </row>
    <row r="2027" spans="1:13">
      <c r="A2027" s="5">
        <v>2026</v>
      </c>
      <c r="B2027" t="str">
        <f t="shared" si="305"/>
        <v>TO</v>
      </c>
      <c r="C2027" t="str">
        <f t="shared" si="306"/>
        <v>KB</v>
      </c>
      <c r="D2027" t="s">
        <v>3813</v>
      </c>
      <c r="E2027" s="5">
        <v>2</v>
      </c>
      <c r="G2027" s="4" t="s">
        <v>3824</v>
      </c>
      <c r="H2027" s="306" t="s">
        <v>3825</v>
      </c>
      <c r="I2027" s="432" t="s">
        <v>3826</v>
      </c>
      <c r="K2027" t="s">
        <v>1434</v>
      </c>
      <c r="L2027" t="s">
        <v>669</v>
      </c>
      <c r="M2027" t="s">
        <v>2333</v>
      </c>
    </row>
    <row r="2028" spans="1:13">
      <c r="A2028" s="5">
        <v>2027</v>
      </c>
      <c r="B2028" t="str">
        <f t="shared" ref="B2028:B2032" si="311">MID(G2028,8,2)</f>
        <v>TO</v>
      </c>
      <c r="C2028" t="str">
        <f t="shared" ref="C2028:C2032" si="312">MID(G2028,11,2)</f>
        <v>KB</v>
      </c>
      <c r="D2028" t="s">
        <v>3813</v>
      </c>
      <c r="E2028" s="5">
        <v>2</v>
      </c>
      <c r="G2028" s="4" t="s">
        <v>3824</v>
      </c>
      <c r="H2028" s="306" t="s">
        <v>3827</v>
      </c>
      <c r="I2028" s="432" t="s">
        <v>3828</v>
      </c>
      <c r="K2028" t="s">
        <v>659</v>
      </c>
      <c r="L2028" t="s">
        <v>669</v>
      </c>
      <c r="M2028" t="s">
        <v>2333</v>
      </c>
    </row>
    <row r="2029" spans="1:13">
      <c r="A2029" s="5">
        <v>2028</v>
      </c>
      <c r="B2029" t="str">
        <f t="shared" si="311"/>
        <v>TO</v>
      </c>
      <c r="C2029" t="str">
        <f t="shared" si="312"/>
        <v>KB</v>
      </c>
      <c r="D2029" t="s">
        <v>3813</v>
      </c>
      <c r="E2029" s="5">
        <v>2</v>
      </c>
      <c r="G2029" s="4" t="s">
        <v>3824</v>
      </c>
      <c r="H2029" s="306" t="s">
        <v>625</v>
      </c>
      <c r="I2029" s="432" t="s">
        <v>3829</v>
      </c>
      <c r="K2029" t="s">
        <v>659</v>
      </c>
      <c r="L2029" t="s">
        <v>669</v>
      </c>
      <c r="M2029" t="s">
        <v>2333</v>
      </c>
    </row>
    <row r="2030" spans="1:13">
      <c r="A2030" s="5">
        <v>2029</v>
      </c>
      <c r="B2030" t="str">
        <f t="shared" si="311"/>
        <v>TO</v>
      </c>
      <c r="C2030" t="str">
        <f t="shared" si="312"/>
        <v>KB</v>
      </c>
      <c r="D2030" t="s">
        <v>3813</v>
      </c>
      <c r="E2030" s="5">
        <v>2</v>
      </c>
      <c r="G2030" s="4" t="s">
        <v>3830</v>
      </c>
      <c r="H2030" s="306" t="s">
        <v>3642</v>
      </c>
      <c r="I2030" s="432" t="s">
        <v>3643</v>
      </c>
      <c r="K2030" t="s">
        <v>659</v>
      </c>
      <c r="L2030" t="s">
        <v>669</v>
      </c>
      <c r="M2030" t="s">
        <v>2333</v>
      </c>
    </row>
    <row r="2031" spans="1:13">
      <c r="A2031" s="5">
        <v>2030</v>
      </c>
      <c r="B2031" t="str">
        <f t="shared" si="311"/>
        <v>TO</v>
      </c>
      <c r="C2031" t="str">
        <f t="shared" si="312"/>
        <v>KB</v>
      </c>
      <c r="D2031" t="s">
        <v>3813</v>
      </c>
      <c r="E2031" s="5">
        <v>2</v>
      </c>
      <c r="G2031" s="4" t="s">
        <v>3824</v>
      </c>
      <c r="H2031" s="306" t="s">
        <v>3831</v>
      </c>
      <c r="I2031" s="432" t="s">
        <v>3832</v>
      </c>
      <c r="K2031" t="s">
        <v>659</v>
      </c>
      <c r="L2031" t="s">
        <v>669</v>
      </c>
      <c r="M2031" t="s">
        <v>2333</v>
      </c>
    </row>
    <row r="2032" spans="1:13">
      <c r="A2032" s="5">
        <v>2031</v>
      </c>
      <c r="B2032" t="str">
        <f t="shared" si="311"/>
        <v>TO</v>
      </c>
      <c r="C2032" t="str">
        <f t="shared" si="312"/>
        <v>KB</v>
      </c>
      <c r="D2032" t="s">
        <v>3813</v>
      </c>
      <c r="E2032" s="5">
        <v>2</v>
      </c>
      <c r="G2032" s="4" t="s">
        <v>3824</v>
      </c>
      <c r="H2032" s="306" t="s">
        <v>3833</v>
      </c>
      <c r="I2032" s="432" t="s">
        <v>3834</v>
      </c>
      <c r="K2032" t="s">
        <v>1434</v>
      </c>
      <c r="L2032" t="s">
        <v>669</v>
      </c>
      <c r="M2032" t="s">
        <v>2333</v>
      </c>
    </row>
    <row r="2033" spans="1:15">
      <c r="A2033" s="5">
        <v>2032</v>
      </c>
      <c r="B2033" t="str">
        <f>MID(G2033,8,2)</f>
        <v>TO</v>
      </c>
      <c r="C2033" t="str">
        <f>MID(G2033,11,2)</f>
        <v>KB</v>
      </c>
      <c r="D2033" t="s">
        <v>3813</v>
      </c>
      <c r="E2033" s="5">
        <v>2</v>
      </c>
      <c r="G2033" s="4" t="s">
        <v>3835</v>
      </c>
      <c r="H2033" s="306" t="s">
        <v>3836</v>
      </c>
      <c r="I2033" s="432" t="s">
        <v>3837</v>
      </c>
      <c r="K2033" t="s">
        <v>659</v>
      </c>
      <c r="L2033" t="s">
        <v>669</v>
      </c>
      <c r="M2033" t="s">
        <v>2333</v>
      </c>
    </row>
    <row r="2034" spans="1:15">
      <c r="A2034" s="5">
        <v>2033</v>
      </c>
      <c r="B2034" t="str">
        <f>MID(G2034,8,2)</f>
        <v>TO</v>
      </c>
      <c r="C2034" t="str">
        <f>MID(G2034,11,2)</f>
        <v>KB</v>
      </c>
      <c r="D2034" t="s">
        <v>3813</v>
      </c>
      <c r="E2034" s="5">
        <v>2</v>
      </c>
      <c r="G2034" s="4" t="s">
        <v>3835</v>
      </c>
      <c r="H2034" s="306" t="s">
        <v>3838</v>
      </c>
      <c r="I2034" s="432" t="s">
        <v>3583</v>
      </c>
      <c r="K2034" t="s">
        <v>659</v>
      </c>
      <c r="L2034" t="s">
        <v>669</v>
      </c>
      <c r="M2034" t="s">
        <v>2392</v>
      </c>
    </row>
    <row r="2035" spans="1:15">
      <c r="A2035" s="5">
        <v>2034</v>
      </c>
      <c r="B2035" t="str">
        <f>MID(G2035,8,2)</f>
        <v/>
      </c>
      <c r="C2035" t="str">
        <f>MID(G2035,11,2)</f>
        <v/>
      </c>
      <c r="D2035" t="s">
        <v>3813</v>
      </c>
      <c r="E2035" s="5">
        <v>2</v>
      </c>
      <c r="H2035" s="306" t="s">
        <v>3839</v>
      </c>
      <c r="I2035" s="432" t="s">
        <v>3840</v>
      </c>
      <c r="K2035" t="s">
        <v>1434</v>
      </c>
      <c r="L2035" t="s">
        <v>2137</v>
      </c>
      <c r="M2035" s="5" t="s">
        <v>3841</v>
      </c>
    </row>
    <row r="2036" spans="1:15">
      <c r="A2036" s="5">
        <v>2035</v>
      </c>
      <c r="B2036" t="str">
        <f t="shared" ref="B2036:B2040" si="313">MID(G2036,8,2)</f>
        <v>TO</v>
      </c>
      <c r="C2036" t="str">
        <f t="shared" ref="C2036:C2040" si="314">MID(G2036,11,2)</f>
        <v>KB</v>
      </c>
      <c r="D2036" t="s">
        <v>3813</v>
      </c>
      <c r="E2036" s="5">
        <v>3</v>
      </c>
      <c r="G2036" s="4" t="s">
        <v>3842</v>
      </c>
      <c r="H2036" s="306" t="s">
        <v>537</v>
      </c>
      <c r="I2036" s="432" t="s">
        <v>2275</v>
      </c>
      <c r="K2036" t="s">
        <v>659</v>
      </c>
      <c r="L2036" t="s">
        <v>669</v>
      </c>
      <c r="M2036" t="s">
        <v>2333</v>
      </c>
    </row>
    <row r="2037" spans="1:15">
      <c r="A2037" s="5">
        <v>2036</v>
      </c>
      <c r="B2037" t="str">
        <f t="shared" si="313"/>
        <v>TO</v>
      </c>
      <c r="C2037" t="str">
        <f t="shared" si="314"/>
        <v>KB</v>
      </c>
      <c r="D2037" t="s">
        <v>3813</v>
      </c>
      <c r="E2037" s="5">
        <v>2</v>
      </c>
      <c r="F2037" t="s">
        <v>3843</v>
      </c>
      <c r="G2037" s="4" t="s">
        <v>3844</v>
      </c>
      <c r="H2037" s="306" t="s">
        <v>3845</v>
      </c>
      <c r="I2037" s="432" t="s">
        <v>3846</v>
      </c>
      <c r="K2037" t="s">
        <v>659</v>
      </c>
      <c r="L2037" t="s">
        <v>669</v>
      </c>
      <c r="M2037" t="s">
        <v>2333</v>
      </c>
      <c r="N2037" t="s">
        <v>3847</v>
      </c>
    </row>
    <row r="2038" spans="1:15">
      <c r="A2038" s="5">
        <v>2037</v>
      </c>
      <c r="B2038" t="str">
        <f t="shared" si="313"/>
        <v>TO</v>
      </c>
      <c r="C2038" t="str">
        <f t="shared" si="314"/>
        <v>KB</v>
      </c>
      <c r="D2038" t="s">
        <v>3813</v>
      </c>
      <c r="E2038" s="5">
        <v>2</v>
      </c>
      <c r="F2038" t="s">
        <v>3843</v>
      </c>
      <c r="G2038" s="4" t="s">
        <v>3844</v>
      </c>
      <c r="H2038" s="306" t="s">
        <v>3848</v>
      </c>
      <c r="I2038" s="432" t="s">
        <v>2107</v>
      </c>
      <c r="K2038" t="s">
        <v>659</v>
      </c>
      <c r="L2038" t="s">
        <v>669</v>
      </c>
      <c r="M2038" t="s">
        <v>2333</v>
      </c>
      <c r="O2038" s="129" t="s">
        <v>3849</v>
      </c>
    </row>
    <row r="2039" spans="1:15">
      <c r="A2039" s="5">
        <v>2038</v>
      </c>
      <c r="B2039" t="str">
        <f t="shared" si="313"/>
        <v>TO</v>
      </c>
      <c r="C2039" t="str">
        <f t="shared" si="314"/>
        <v>KB</v>
      </c>
      <c r="D2039" t="s">
        <v>3813</v>
      </c>
      <c r="E2039" s="5">
        <v>2</v>
      </c>
      <c r="F2039" t="s">
        <v>3843</v>
      </c>
      <c r="G2039" s="4" t="s">
        <v>3844</v>
      </c>
      <c r="H2039" s="306" t="s">
        <v>3850</v>
      </c>
      <c r="I2039" s="432" t="s">
        <v>3851</v>
      </c>
      <c r="K2039" t="s">
        <v>659</v>
      </c>
      <c r="L2039" t="s">
        <v>669</v>
      </c>
      <c r="M2039" t="s">
        <v>2333</v>
      </c>
      <c r="O2039" s="129" t="s">
        <v>3852</v>
      </c>
    </row>
    <row r="2040" spans="1:15">
      <c r="A2040" s="5">
        <v>2039</v>
      </c>
      <c r="B2040" t="str">
        <f t="shared" si="313"/>
        <v>TO</v>
      </c>
      <c r="C2040" t="str">
        <f t="shared" si="314"/>
        <v>KB</v>
      </c>
      <c r="D2040" t="s">
        <v>3813</v>
      </c>
      <c r="E2040" s="5">
        <v>2</v>
      </c>
      <c r="F2040" t="s">
        <v>3843</v>
      </c>
      <c r="G2040" s="4" t="s">
        <v>3844</v>
      </c>
      <c r="H2040" s="306" t="s">
        <v>3853</v>
      </c>
      <c r="I2040" s="432" t="s">
        <v>3854</v>
      </c>
      <c r="K2040" t="s">
        <v>659</v>
      </c>
      <c r="L2040" t="s">
        <v>669</v>
      </c>
      <c r="M2040" t="s">
        <v>2333</v>
      </c>
      <c r="O2040" s="129" t="s">
        <v>3855</v>
      </c>
    </row>
    <row r="2041" spans="1:15">
      <c r="A2041" s="5">
        <v>2040</v>
      </c>
      <c r="B2041" t="str">
        <f>MID(G2041,8,2)</f>
        <v>TO</v>
      </c>
      <c r="C2041" t="str">
        <f>MID(G2041,11,2)</f>
        <v>KB</v>
      </c>
      <c r="D2041" t="s">
        <v>3813</v>
      </c>
      <c r="E2041" s="5">
        <v>2</v>
      </c>
      <c r="F2041" t="s">
        <v>3843</v>
      </c>
      <c r="G2041" s="4" t="s">
        <v>3844</v>
      </c>
      <c r="H2041" s="306" t="s">
        <v>109</v>
      </c>
      <c r="I2041" s="432" t="s">
        <v>3821</v>
      </c>
      <c r="K2041" t="s">
        <v>659</v>
      </c>
      <c r="L2041" t="s">
        <v>669</v>
      </c>
      <c r="M2041" t="s">
        <v>2333</v>
      </c>
      <c r="O2041" s="129" t="s">
        <v>3856</v>
      </c>
    </row>
    <row r="2042" spans="1:15">
      <c r="A2042" s="5">
        <v>2041</v>
      </c>
      <c r="B2042" t="str">
        <f>MID(G2042,8,2)</f>
        <v>TO</v>
      </c>
      <c r="C2042" t="str">
        <f>MID(G2042,11,2)</f>
        <v>KB</v>
      </c>
      <c r="D2042" t="s">
        <v>3813</v>
      </c>
      <c r="E2042" s="5">
        <v>3</v>
      </c>
      <c r="G2042" s="4" t="s">
        <v>3857</v>
      </c>
      <c r="H2042" s="306" t="s">
        <v>569</v>
      </c>
      <c r="I2042" s="432" t="s">
        <v>3858</v>
      </c>
      <c r="K2042" t="s">
        <v>659</v>
      </c>
      <c r="L2042" t="s">
        <v>669</v>
      </c>
      <c r="M2042" t="s">
        <v>2333</v>
      </c>
      <c r="O2042" s="129" t="s">
        <v>3859</v>
      </c>
    </row>
    <row r="2043" spans="1:15">
      <c r="A2043" s="5">
        <v>2042</v>
      </c>
      <c r="B2043" t="str">
        <f t="shared" ref="B2043:B2044" si="315">MID(G2043,8,2)</f>
        <v>TO</v>
      </c>
      <c r="C2043" t="str">
        <f t="shared" ref="C2043:C2044" si="316">MID(G2043,11,2)</f>
        <v>KB</v>
      </c>
      <c r="D2043" t="s">
        <v>3813</v>
      </c>
      <c r="E2043" s="5">
        <v>3</v>
      </c>
      <c r="G2043" s="4" t="s">
        <v>3857</v>
      </c>
      <c r="H2043" s="306" t="s">
        <v>3860</v>
      </c>
      <c r="I2043" s="432" t="s">
        <v>3837</v>
      </c>
      <c r="K2043" t="s">
        <v>659</v>
      </c>
      <c r="L2043" t="s">
        <v>669</v>
      </c>
      <c r="M2043" t="s">
        <v>2333</v>
      </c>
      <c r="O2043" s="129" t="s">
        <v>3861</v>
      </c>
    </row>
    <row r="2044" spans="1:15">
      <c r="A2044" s="5">
        <v>2043</v>
      </c>
      <c r="B2044" t="str">
        <f t="shared" si="315"/>
        <v>TO</v>
      </c>
      <c r="C2044" t="str">
        <f t="shared" si="316"/>
        <v>KB</v>
      </c>
      <c r="D2044" t="s">
        <v>3813</v>
      </c>
      <c r="E2044" s="5">
        <v>3</v>
      </c>
      <c r="G2044" s="4" t="s">
        <v>3857</v>
      </c>
      <c r="H2044" s="306" t="s">
        <v>3825</v>
      </c>
      <c r="I2044" s="432" t="s">
        <v>3826</v>
      </c>
      <c r="K2044" t="s">
        <v>659</v>
      </c>
      <c r="L2044" t="s">
        <v>669</v>
      </c>
      <c r="M2044" t="s">
        <v>2333</v>
      </c>
    </row>
    <row r="2045" spans="1:15">
      <c r="A2045" s="5">
        <v>2044</v>
      </c>
      <c r="B2045" t="s">
        <v>152</v>
      </c>
      <c r="C2045" t="str">
        <f>MID(G2045,11,2)</f>
        <v>KB</v>
      </c>
      <c r="D2045" t="s">
        <v>3813</v>
      </c>
      <c r="E2045" s="5">
        <v>3</v>
      </c>
      <c r="G2045" s="4" t="s">
        <v>3862</v>
      </c>
      <c r="H2045" s="306" t="s">
        <v>3863</v>
      </c>
      <c r="I2045" s="432" t="s">
        <v>3864</v>
      </c>
      <c r="K2045" t="s">
        <v>659</v>
      </c>
      <c r="L2045" t="s">
        <v>669</v>
      </c>
      <c r="M2045" t="s">
        <v>2333</v>
      </c>
    </row>
    <row r="2046" spans="1:15">
      <c r="A2046" s="5">
        <v>2045</v>
      </c>
      <c r="B2046" t="s">
        <v>152</v>
      </c>
      <c r="C2046" t="str">
        <f>MID(G2046,11,2)</f>
        <v>KB</v>
      </c>
      <c r="D2046" t="s">
        <v>3813</v>
      </c>
      <c r="E2046" s="5">
        <v>3</v>
      </c>
      <c r="G2046" s="4" t="s">
        <v>3862</v>
      </c>
      <c r="H2046" s="306" t="s">
        <v>381</v>
      </c>
      <c r="I2046" s="432" t="s">
        <v>2505</v>
      </c>
      <c r="K2046" t="s">
        <v>659</v>
      </c>
      <c r="L2046" t="s">
        <v>669</v>
      </c>
      <c r="M2046" t="s">
        <v>2333</v>
      </c>
    </row>
    <row r="2047" spans="1:15">
      <c r="A2047" s="5">
        <v>2046</v>
      </c>
      <c r="B2047" t="str">
        <f t="shared" ref="B2047" si="317">MID(G2047,8,2)</f>
        <v>MH</v>
      </c>
      <c r="C2047" t="str">
        <f t="shared" ref="C2047" si="318">MID(G2047,11,2)</f>
        <v>KB</v>
      </c>
      <c r="D2047" t="s">
        <v>3813</v>
      </c>
      <c r="E2047" s="5"/>
      <c r="G2047" s="4" t="s">
        <v>3865</v>
      </c>
      <c r="H2047" s="306" t="s">
        <v>523</v>
      </c>
      <c r="I2047" s="432" t="s">
        <v>3816</v>
      </c>
      <c r="K2047" t="s">
        <v>659</v>
      </c>
      <c r="L2047" t="s">
        <v>669</v>
      </c>
      <c r="M2047" t="s">
        <v>2333</v>
      </c>
    </row>
    <row r="2048" spans="1:15">
      <c r="A2048" s="5">
        <v>2047</v>
      </c>
      <c r="B2048" t="str">
        <f>MID(G2048,8,2)</f>
        <v>MH</v>
      </c>
      <c r="C2048" t="str">
        <f>MID(G2048,11,2)</f>
        <v>KB</v>
      </c>
      <c r="D2048" t="s">
        <v>3866</v>
      </c>
      <c r="E2048" s="5"/>
      <c r="G2048" s="4" t="s">
        <v>3867</v>
      </c>
      <c r="H2048" s="306" t="s">
        <v>523</v>
      </c>
      <c r="I2048" s="432" t="s">
        <v>3816</v>
      </c>
      <c r="K2048" t="s">
        <v>659</v>
      </c>
      <c r="L2048" t="s">
        <v>669</v>
      </c>
      <c r="M2048" t="s">
        <v>2333</v>
      </c>
      <c r="N2048" t="s">
        <v>3868</v>
      </c>
    </row>
    <row r="2049" spans="1:15">
      <c r="A2049" s="5">
        <v>2048</v>
      </c>
      <c r="B2049" t="str">
        <f>MID(G2049,8,2)</f>
        <v>TO</v>
      </c>
      <c r="C2049" t="str">
        <f>MID(G2049,11,2)</f>
        <v>KB</v>
      </c>
      <c r="D2049" t="s">
        <v>3813</v>
      </c>
      <c r="E2049" s="5"/>
      <c r="G2049" s="4" t="s">
        <v>3869</v>
      </c>
      <c r="H2049" s="306" t="s">
        <v>3870</v>
      </c>
      <c r="I2049" s="432" t="s">
        <v>3871</v>
      </c>
      <c r="K2049" t="s">
        <v>659</v>
      </c>
      <c r="L2049" t="s">
        <v>669</v>
      </c>
      <c r="M2049" t="s">
        <v>2333</v>
      </c>
      <c r="N2049" t="s">
        <v>3872</v>
      </c>
      <c r="O2049" s="129" t="s">
        <v>3873</v>
      </c>
    </row>
    <row r="2050" spans="1:15">
      <c r="A2050" s="5">
        <v>2049</v>
      </c>
      <c r="B2050" t="str">
        <f t="shared" ref="B2050:B2072" si="319">MID(G2050,8,2)</f>
        <v>TO</v>
      </c>
      <c r="C2050" t="str">
        <f t="shared" ref="C2050:C2072" si="320">MID(G2050,11,2)</f>
        <v>KB</v>
      </c>
      <c r="D2050" t="s">
        <v>3813</v>
      </c>
      <c r="E2050" s="5"/>
      <c r="G2050" s="4" t="s">
        <v>3874</v>
      </c>
      <c r="H2050" s="306" t="s">
        <v>355</v>
      </c>
      <c r="I2050" s="432" t="s">
        <v>2485</v>
      </c>
      <c r="K2050" t="s">
        <v>659</v>
      </c>
      <c r="L2050" t="s">
        <v>669</v>
      </c>
      <c r="M2050" t="s">
        <v>2333</v>
      </c>
    </row>
    <row r="2051" spans="1:15">
      <c r="A2051" s="5">
        <v>2050</v>
      </c>
      <c r="B2051" t="str">
        <f t="shared" si="319"/>
        <v>TO</v>
      </c>
      <c r="C2051" t="str">
        <f t="shared" si="320"/>
        <v>KB</v>
      </c>
      <c r="D2051" t="s">
        <v>3637</v>
      </c>
      <c r="E2051" s="5">
        <v>2</v>
      </c>
      <c r="G2051" s="4" t="s">
        <v>3875</v>
      </c>
      <c r="H2051" s="306" t="s">
        <v>3723</v>
      </c>
      <c r="I2051" s="432" t="s">
        <v>3724</v>
      </c>
      <c r="K2051" t="s">
        <v>659</v>
      </c>
      <c r="L2051" t="s">
        <v>2137</v>
      </c>
      <c r="M2051"/>
    </row>
    <row r="2052" spans="1:15" ht="57.6">
      <c r="A2052" s="5">
        <v>2051</v>
      </c>
      <c r="B2052" t="str">
        <f t="shared" si="319"/>
        <v>TO</v>
      </c>
      <c r="C2052" t="str">
        <f t="shared" si="320"/>
        <v>KB</v>
      </c>
      <c r="D2052" t="s">
        <v>3637</v>
      </c>
      <c r="E2052" s="5">
        <v>2</v>
      </c>
      <c r="G2052" s="4" t="s">
        <v>3876</v>
      </c>
      <c r="H2052" s="306" t="s">
        <v>3877</v>
      </c>
      <c r="I2052" s="438" t="s">
        <v>2421</v>
      </c>
      <c r="K2052" t="s">
        <v>659</v>
      </c>
      <c r="L2052" t="s">
        <v>2137</v>
      </c>
      <c r="M2052"/>
      <c r="N2052" s="267" t="s">
        <v>3878</v>
      </c>
    </row>
    <row r="2053" spans="1:15">
      <c r="A2053" s="5">
        <v>2052</v>
      </c>
      <c r="B2053" t="str">
        <f t="shared" ref="B2053:B2071" si="321">MID(G2053,8,2)</f>
        <v>TO</v>
      </c>
      <c r="C2053" t="str">
        <f t="shared" ref="C2053:C2071" si="322">MID(G2053,11,2)</f>
        <v>Mo</v>
      </c>
      <c r="D2053" t="s">
        <v>3813</v>
      </c>
      <c r="E2053" s="5">
        <v>3</v>
      </c>
      <c r="F2053" t="s">
        <v>1421</v>
      </c>
      <c r="G2053" s="4" t="s">
        <v>3879</v>
      </c>
      <c r="H2053" s="306" t="s">
        <v>3880</v>
      </c>
      <c r="I2053" s="432" t="s">
        <v>3881</v>
      </c>
      <c r="K2053" t="s">
        <v>2841</v>
      </c>
      <c r="L2053" t="s">
        <v>669</v>
      </c>
      <c r="M2053" t="s">
        <v>1424</v>
      </c>
    </row>
    <row r="2054" spans="1:15">
      <c r="A2054" s="5">
        <v>2053</v>
      </c>
      <c r="B2054" t="str">
        <f t="shared" si="321"/>
        <v>TO</v>
      </c>
      <c r="C2054" t="str">
        <f t="shared" si="322"/>
        <v>Mo</v>
      </c>
      <c r="D2054" t="s">
        <v>3813</v>
      </c>
      <c r="E2054" s="5">
        <v>3</v>
      </c>
      <c r="F2054" t="s">
        <v>1421</v>
      </c>
      <c r="G2054" s="4" t="s">
        <v>3879</v>
      </c>
      <c r="H2054" s="306" t="s">
        <v>3882</v>
      </c>
      <c r="I2054" s="432" t="s">
        <v>3881</v>
      </c>
      <c r="K2054" t="s">
        <v>2841</v>
      </c>
      <c r="L2054" t="s">
        <v>669</v>
      </c>
      <c r="M2054" t="s">
        <v>1424</v>
      </c>
    </row>
    <row r="2055" spans="1:15">
      <c r="A2055" s="5">
        <v>2054</v>
      </c>
      <c r="B2055" t="str">
        <f t="shared" si="321"/>
        <v>TO</v>
      </c>
      <c r="C2055" t="str">
        <f t="shared" si="322"/>
        <v>Mo</v>
      </c>
      <c r="D2055" t="s">
        <v>3813</v>
      </c>
      <c r="E2055" s="5">
        <v>3</v>
      </c>
      <c r="F2055" t="s">
        <v>1421</v>
      </c>
      <c r="G2055" s="4" t="s">
        <v>3879</v>
      </c>
      <c r="H2055" s="306" t="s">
        <v>3883</v>
      </c>
      <c r="I2055" s="432" t="s">
        <v>3881</v>
      </c>
      <c r="K2055" t="s">
        <v>2841</v>
      </c>
      <c r="L2055" t="s">
        <v>669</v>
      </c>
      <c r="M2055" t="s">
        <v>1424</v>
      </c>
    </row>
    <row r="2056" spans="1:15">
      <c r="A2056" s="5">
        <v>2055</v>
      </c>
      <c r="B2056" t="str">
        <f t="shared" si="321"/>
        <v>TO</v>
      </c>
      <c r="C2056" t="str">
        <f t="shared" si="322"/>
        <v>Mo</v>
      </c>
      <c r="D2056" t="s">
        <v>3813</v>
      </c>
      <c r="E2056" s="5">
        <v>3</v>
      </c>
      <c r="F2056" t="s">
        <v>1421</v>
      </c>
      <c r="G2056" s="4" t="s">
        <v>3879</v>
      </c>
      <c r="H2056" s="306" t="s">
        <v>3884</v>
      </c>
      <c r="I2056" s="432" t="s">
        <v>3881</v>
      </c>
      <c r="K2056" t="s">
        <v>2841</v>
      </c>
      <c r="L2056" t="s">
        <v>669</v>
      </c>
      <c r="M2056" t="s">
        <v>1424</v>
      </c>
    </row>
    <row r="2057" spans="1:15">
      <c r="A2057" s="5">
        <v>2056</v>
      </c>
      <c r="B2057" t="str">
        <f t="shared" si="321"/>
        <v>TO</v>
      </c>
      <c r="C2057" t="str">
        <f t="shared" si="322"/>
        <v>Mo</v>
      </c>
      <c r="D2057" t="s">
        <v>3813</v>
      </c>
      <c r="E2057" s="5">
        <v>3</v>
      </c>
      <c r="F2057" t="s">
        <v>1421</v>
      </c>
      <c r="G2057" s="4" t="s">
        <v>3879</v>
      </c>
      <c r="H2057" s="306" t="s">
        <v>3885</v>
      </c>
      <c r="I2057" s="432" t="s">
        <v>3881</v>
      </c>
      <c r="K2057" t="s">
        <v>2841</v>
      </c>
      <c r="L2057" t="s">
        <v>669</v>
      </c>
      <c r="M2057" t="s">
        <v>1424</v>
      </c>
    </row>
    <row r="2058" spans="1:15">
      <c r="A2058" s="5">
        <v>2057</v>
      </c>
      <c r="B2058" t="str">
        <f t="shared" si="321"/>
        <v>TO</v>
      </c>
      <c r="C2058" t="str">
        <f t="shared" si="322"/>
        <v>Mo</v>
      </c>
      <c r="D2058" t="s">
        <v>3813</v>
      </c>
      <c r="E2058" s="5">
        <v>3</v>
      </c>
      <c r="F2058" t="s">
        <v>1421</v>
      </c>
      <c r="G2058" s="4" t="s">
        <v>3879</v>
      </c>
      <c r="H2058" s="306" t="s">
        <v>3886</v>
      </c>
      <c r="I2058" s="432" t="s">
        <v>3881</v>
      </c>
      <c r="K2058" t="s">
        <v>2841</v>
      </c>
      <c r="L2058" t="s">
        <v>669</v>
      </c>
      <c r="M2058" t="s">
        <v>1424</v>
      </c>
    </row>
    <row r="2059" spans="1:15">
      <c r="A2059" s="5">
        <v>2058</v>
      </c>
      <c r="B2059" t="str">
        <f t="shared" si="321"/>
        <v>TO</v>
      </c>
      <c r="C2059" t="str">
        <f t="shared" si="322"/>
        <v>Mo</v>
      </c>
      <c r="D2059" t="s">
        <v>3813</v>
      </c>
      <c r="E2059" s="5">
        <v>3</v>
      </c>
      <c r="F2059" t="s">
        <v>1421</v>
      </c>
      <c r="G2059" s="4" t="s">
        <v>3879</v>
      </c>
      <c r="H2059" s="306" t="s">
        <v>3887</v>
      </c>
      <c r="I2059" s="432" t="s">
        <v>3881</v>
      </c>
      <c r="K2059" t="s">
        <v>2841</v>
      </c>
      <c r="L2059" t="s">
        <v>669</v>
      </c>
      <c r="M2059" t="s">
        <v>1424</v>
      </c>
    </row>
    <row r="2060" spans="1:15">
      <c r="A2060" s="5">
        <v>2059</v>
      </c>
      <c r="B2060" t="str">
        <f t="shared" si="321"/>
        <v>TO</v>
      </c>
      <c r="C2060" t="str">
        <f t="shared" si="322"/>
        <v>Mo</v>
      </c>
      <c r="D2060" t="s">
        <v>3813</v>
      </c>
      <c r="E2060" s="5">
        <v>3</v>
      </c>
      <c r="F2060" t="s">
        <v>1421</v>
      </c>
      <c r="G2060" s="4" t="s">
        <v>3879</v>
      </c>
      <c r="H2060" s="306" t="s">
        <v>3888</v>
      </c>
      <c r="I2060" s="432" t="s">
        <v>3881</v>
      </c>
      <c r="K2060" t="s">
        <v>2841</v>
      </c>
      <c r="L2060" t="s">
        <v>669</v>
      </c>
      <c r="M2060" t="s">
        <v>1424</v>
      </c>
    </row>
    <row r="2061" spans="1:15">
      <c r="A2061" s="5">
        <v>2060</v>
      </c>
      <c r="B2061" t="str">
        <f t="shared" si="321"/>
        <v>TO</v>
      </c>
      <c r="C2061" t="str">
        <f t="shared" si="322"/>
        <v>Mo</v>
      </c>
      <c r="D2061" t="s">
        <v>3813</v>
      </c>
      <c r="E2061" s="5">
        <v>3</v>
      </c>
      <c r="F2061" t="s">
        <v>1421</v>
      </c>
      <c r="G2061" s="4" t="s">
        <v>3879</v>
      </c>
      <c r="H2061" s="306" t="s">
        <v>3889</v>
      </c>
      <c r="I2061" s="432" t="s">
        <v>3881</v>
      </c>
      <c r="K2061" t="s">
        <v>2841</v>
      </c>
      <c r="L2061" t="s">
        <v>669</v>
      </c>
      <c r="M2061" t="s">
        <v>1424</v>
      </c>
    </row>
    <row r="2062" spans="1:15">
      <c r="A2062" s="5">
        <v>2061</v>
      </c>
      <c r="B2062" t="str">
        <f t="shared" si="321"/>
        <v>TO</v>
      </c>
      <c r="C2062" t="str">
        <f t="shared" si="322"/>
        <v>Mo</v>
      </c>
      <c r="D2062" t="s">
        <v>3813</v>
      </c>
      <c r="E2062" s="5">
        <v>3</v>
      </c>
      <c r="F2062" t="s">
        <v>1421</v>
      </c>
      <c r="G2062" s="4" t="s">
        <v>3879</v>
      </c>
      <c r="H2062" s="306" t="s">
        <v>3890</v>
      </c>
      <c r="I2062" s="432" t="s">
        <v>3881</v>
      </c>
      <c r="K2062" t="s">
        <v>2841</v>
      </c>
      <c r="L2062" t="s">
        <v>669</v>
      </c>
      <c r="M2062" t="s">
        <v>1424</v>
      </c>
    </row>
    <row r="2063" spans="1:15">
      <c r="A2063" s="5">
        <v>2062</v>
      </c>
      <c r="B2063" t="str">
        <f t="shared" si="321"/>
        <v>TO</v>
      </c>
      <c r="C2063" t="str">
        <f t="shared" si="322"/>
        <v>Mo</v>
      </c>
      <c r="D2063" t="s">
        <v>3813</v>
      </c>
      <c r="E2063" s="5">
        <v>3</v>
      </c>
      <c r="F2063" t="s">
        <v>1421</v>
      </c>
      <c r="G2063" s="4" t="s">
        <v>3879</v>
      </c>
      <c r="H2063" s="306" t="s">
        <v>3891</v>
      </c>
      <c r="I2063" s="432" t="s">
        <v>3881</v>
      </c>
      <c r="K2063" t="s">
        <v>2841</v>
      </c>
      <c r="L2063" t="s">
        <v>669</v>
      </c>
      <c r="M2063" t="s">
        <v>1424</v>
      </c>
    </row>
    <row r="2064" spans="1:15">
      <c r="A2064" s="5">
        <v>2063</v>
      </c>
      <c r="B2064" t="str">
        <f t="shared" si="321"/>
        <v>TO</v>
      </c>
      <c r="C2064" t="str">
        <f t="shared" si="322"/>
        <v>Mo</v>
      </c>
      <c r="D2064" t="s">
        <v>3813</v>
      </c>
      <c r="E2064" s="5">
        <v>3</v>
      </c>
      <c r="F2064" t="s">
        <v>1421</v>
      </c>
      <c r="G2064" s="4" t="s">
        <v>3879</v>
      </c>
      <c r="H2064" s="306" t="s">
        <v>3892</v>
      </c>
      <c r="I2064" s="432" t="s">
        <v>3881</v>
      </c>
      <c r="K2064" t="s">
        <v>2841</v>
      </c>
      <c r="L2064" t="s">
        <v>669</v>
      </c>
      <c r="M2064" t="s">
        <v>1424</v>
      </c>
    </row>
    <row r="2065" spans="1:14">
      <c r="A2065" s="5">
        <v>2064</v>
      </c>
      <c r="B2065" t="str">
        <f t="shared" si="321"/>
        <v>TO</v>
      </c>
      <c r="C2065" t="str">
        <f t="shared" si="322"/>
        <v>Mo</v>
      </c>
      <c r="D2065" t="s">
        <v>3813</v>
      </c>
      <c r="E2065" s="5">
        <v>3</v>
      </c>
      <c r="F2065" t="s">
        <v>1421</v>
      </c>
      <c r="G2065" s="4" t="s">
        <v>3879</v>
      </c>
      <c r="H2065" s="306" t="s">
        <v>3893</v>
      </c>
      <c r="I2065" s="432" t="s">
        <v>3881</v>
      </c>
      <c r="K2065" t="s">
        <v>2841</v>
      </c>
      <c r="L2065" t="s">
        <v>669</v>
      </c>
      <c r="M2065" t="s">
        <v>1424</v>
      </c>
    </row>
    <row r="2066" spans="1:14">
      <c r="A2066" s="5">
        <v>2065</v>
      </c>
      <c r="B2066" t="str">
        <f t="shared" si="321"/>
        <v>TO</v>
      </c>
      <c r="C2066" t="str">
        <f t="shared" si="322"/>
        <v>Mo</v>
      </c>
      <c r="D2066" t="s">
        <v>3813</v>
      </c>
      <c r="E2066" s="5">
        <v>3</v>
      </c>
      <c r="F2066" t="s">
        <v>1421</v>
      </c>
      <c r="G2066" s="4" t="s">
        <v>3879</v>
      </c>
      <c r="H2066" s="306" t="s">
        <v>3894</v>
      </c>
      <c r="I2066" s="432" t="s">
        <v>3881</v>
      </c>
      <c r="K2066" t="s">
        <v>2841</v>
      </c>
      <c r="L2066" t="s">
        <v>669</v>
      </c>
      <c r="M2066" t="s">
        <v>1424</v>
      </c>
    </row>
    <row r="2067" spans="1:14">
      <c r="A2067" s="5">
        <v>2066</v>
      </c>
      <c r="B2067" t="str">
        <f t="shared" si="321"/>
        <v>TO</v>
      </c>
      <c r="C2067" t="str">
        <f t="shared" si="322"/>
        <v>Mo</v>
      </c>
      <c r="D2067" t="s">
        <v>3813</v>
      </c>
      <c r="E2067" s="5">
        <v>3</v>
      </c>
      <c r="F2067" t="s">
        <v>1421</v>
      </c>
      <c r="G2067" s="4" t="s">
        <v>3879</v>
      </c>
      <c r="H2067" s="306" t="s">
        <v>3895</v>
      </c>
      <c r="I2067" s="432" t="s">
        <v>3881</v>
      </c>
      <c r="K2067" t="s">
        <v>2841</v>
      </c>
      <c r="L2067" t="s">
        <v>669</v>
      </c>
      <c r="M2067" t="s">
        <v>1424</v>
      </c>
    </row>
    <row r="2068" spans="1:14">
      <c r="A2068" s="5">
        <v>2067</v>
      </c>
      <c r="B2068" t="str">
        <f t="shared" si="321"/>
        <v>TO</v>
      </c>
      <c r="C2068" t="str">
        <f t="shared" si="322"/>
        <v>WP</v>
      </c>
      <c r="D2068" t="s">
        <v>3813</v>
      </c>
      <c r="E2068" s="5">
        <v>2</v>
      </c>
      <c r="G2068" s="4" t="s">
        <v>3896</v>
      </c>
      <c r="H2068" s="306" t="s">
        <v>3897</v>
      </c>
      <c r="I2068" s="432" t="s">
        <v>3881</v>
      </c>
      <c r="K2068" t="s">
        <v>2841</v>
      </c>
      <c r="L2068" t="s">
        <v>669</v>
      </c>
      <c r="M2068"/>
      <c r="N2068" t="s">
        <v>3898</v>
      </c>
    </row>
    <row r="2069" spans="1:14">
      <c r="A2069" s="5">
        <v>2068</v>
      </c>
      <c r="B2069" t="str">
        <f t="shared" ref="B2069" si="323">MID(G2069,8,2)</f>
        <v>TO</v>
      </c>
      <c r="C2069" t="str">
        <f t="shared" ref="C2069" si="324">MID(G2069,11,2)</f>
        <v>KB</v>
      </c>
      <c r="D2069" t="s">
        <v>3866</v>
      </c>
      <c r="E2069" s="5">
        <v>3</v>
      </c>
      <c r="G2069" s="4" t="s">
        <v>3899</v>
      </c>
      <c r="H2069" s="306" t="s">
        <v>3723</v>
      </c>
      <c r="I2069" s="432" t="s">
        <v>3724</v>
      </c>
      <c r="K2069" t="s">
        <v>659</v>
      </c>
      <c r="L2069" t="s">
        <v>669</v>
      </c>
      <c r="M2069" t="s">
        <v>2333</v>
      </c>
    </row>
    <row r="2070" spans="1:14">
      <c r="A2070" s="5">
        <v>2069</v>
      </c>
      <c r="B2070" t="str">
        <f t="shared" ref="B2070" si="325">MID(G2070,8,2)</f>
        <v>TO</v>
      </c>
      <c r="C2070" t="str">
        <f t="shared" ref="C2070" si="326">MID(G2070,11,2)</f>
        <v>KB</v>
      </c>
      <c r="D2070" t="s">
        <v>3866</v>
      </c>
      <c r="E2070" s="5">
        <v>3</v>
      </c>
      <c r="G2070" s="4" t="s">
        <v>3899</v>
      </c>
      <c r="H2070" s="306" t="s">
        <v>3877</v>
      </c>
      <c r="I2070" s="438" t="s">
        <v>2421</v>
      </c>
      <c r="K2070" t="s">
        <v>659</v>
      </c>
      <c r="L2070" t="s">
        <v>669</v>
      </c>
      <c r="M2070" t="s">
        <v>2333</v>
      </c>
    </row>
    <row r="2071" spans="1:14">
      <c r="A2071" s="5">
        <v>2070</v>
      </c>
      <c r="B2071" t="str">
        <f t="shared" si="321"/>
        <v>TO</v>
      </c>
      <c r="C2071" t="str">
        <f t="shared" si="322"/>
        <v>KB</v>
      </c>
      <c r="D2071" t="s">
        <v>3813</v>
      </c>
      <c r="E2071" s="5">
        <v>1</v>
      </c>
      <c r="G2071" s="4" t="s">
        <v>3900</v>
      </c>
      <c r="H2071" s="306" t="s">
        <v>533</v>
      </c>
      <c r="I2071" s="432" t="s">
        <v>3659</v>
      </c>
      <c r="K2071" t="s">
        <v>659</v>
      </c>
      <c r="L2071" t="s">
        <v>669</v>
      </c>
      <c r="M2071" t="s">
        <v>2333</v>
      </c>
    </row>
    <row r="2072" spans="1:14">
      <c r="A2072" s="5">
        <v>2071</v>
      </c>
      <c r="B2072" t="str">
        <f t="shared" si="319"/>
        <v>TO</v>
      </c>
      <c r="C2072" t="str">
        <f t="shared" si="320"/>
        <v>KB</v>
      </c>
      <c r="D2072" t="s">
        <v>3813</v>
      </c>
      <c r="E2072" s="5">
        <v>1</v>
      </c>
      <c r="G2072" s="4" t="s">
        <v>3901</v>
      </c>
      <c r="H2072" s="306" t="s">
        <v>532</v>
      </c>
      <c r="I2072" s="432" t="s">
        <v>3734</v>
      </c>
      <c r="K2072" t="s">
        <v>659</v>
      </c>
      <c r="L2072" t="s">
        <v>2137</v>
      </c>
      <c r="M2072"/>
    </row>
    <row r="2073" spans="1:14">
      <c r="A2073" s="5">
        <v>2072</v>
      </c>
      <c r="B2073" t="str">
        <f t="shared" si="305"/>
        <v>TO</v>
      </c>
      <c r="C2073" t="str">
        <f t="shared" si="306"/>
        <v>KB</v>
      </c>
      <c r="D2073" t="s">
        <v>3813</v>
      </c>
      <c r="E2073" s="5">
        <v>3</v>
      </c>
      <c r="G2073" s="4" t="s">
        <v>3902</v>
      </c>
      <c r="H2073" s="306" t="s">
        <v>1682</v>
      </c>
      <c r="I2073" s="438" t="s">
        <v>2256</v>
      </c>
      <c r="K2073" t="s">
        <v>659</v>
      </c>
      <c r="L2073" t="s">
        <v>669</v>
      </c>
      <c r="M2073" t="s">
        <v>2333</v>
      </c>
    </row>
    <row r="2074" spans="1:14">
      <c r="A2074" s="5">
        <v>2073</v>
      </c>
      <c r="B2074" t="str">
        <f t="shared" ref="B2074:B2076" si="327">MID(G2074,8,2)</f>
        <v>TO</v>
      </c>
      <c r="C2074" t="str">
        <f t="shared" ref="C2074:C2076" si="328">MID(G2074,11,2)</f>
        <v>KB</v>
      </c>
      <c r="D2074" t="s">
        <v>3813</v>
      </c>
      <c r="E2074" s="5">
        <v>3</v>
      </c>
      <c r="G2074" s="4" t="s">
        <v>3902</v>
      </c>
      <c r="H2074" s="306" t="s">
        <v>1702</v>
      </c>
      <c r="I2074" s="432" t="s">
        <v>3903</v>
      </c>
      <c r="K2074" t="s">
        <v>659</v>
      </c>
      <c r="L2074" t="s">
        <v>669</v>
      </c>
      <c r="M2074" t="s">
        <v>2333</v>
      </c>
    </row>
    <row r="2075" spans="1:14">
      <c r="A2075" s="5">
        <v>2074</v>
      </c>
      <c r="B2075" t="str">
        <f t="shared" si="327"/>
        <v>TO</v>
      </c>
      <c r="C2075" t="str">
        <f t="shared" si="328"/>
        <v>KB</v>
      </c>
      <c r="D2075" t="s">
        <v>3813</v>
      </c>
      <c r="E2075" s="5">
        <v>3</v>
      </c>
      <c r="G2075" s="4" t="s">
        <v>3902</v>
      </c>
      <c r="H2075" s="306" t="s">
        <v>297</v>
      </c>
      <c r="I2075" s="438" t="s">
        <v>2829</v>
      </c>
      <c r="K2075" t="s">
        <v>659</v>
      </c>
      <c r="L2075" t="s">
        <v>669</v>
      </c>
      <c r="M2075" t="s">
        <v>2333</v>
      </c>
    </row>
    <row r="2076" spans="1:14">
      <c r="A2076" s="5">
        <v>2075</v>
      </c>
      <c r="B2076" t="str">
        <f t="shared" si="327"/>
        <v>TO</v>
      </c>
      <c r="C2076" t="str">
        <f t="shared" si="328"/>
        <v>KB</v>
      </c>
      <c r="D2076" t="s">
        <v>3813</v>
      </c>
      <c r="E2076" s="5">
        <v>3</v>
      </c>
      <c r="G2076" s="4" t="s">
        <v>3902</v>
      </c>
      <c r="H2076" s="305" t="s">
        <v>3904</v>
      </c>
      <c r="I2076" s="432" t="s">
        <v>3711</v>
      </c>
      <c r="K2076" t="s">
        <v>659</v>
      </c>
      <c r="L2076" t="s">
        <v>669</v>
      </c>
      <c r="M2076" t="s">
        <v>2333</v>
      </c>
    </row>
    <row r="2077" spans="1:14">
      <c r="A2077" s="5">
        <v>2076</v>
      </c>
      <c r="B2077" t="s">
        <v>152</v>
      </c>
      <c r="C2077" t="str">
        <f t="shared" ref="C2077" si="329">MID(G2077,11,2)</f>
        <v>KB</v>
      </c>
      <c r="D2077" t="s">
        <v>3866</v>
      </c>
      <c r="E2077" s="5">
        <v>4</v>
      </c>
      <c r="G2077" s="4" t="s">
        <v>3905</v>
      </c>
      <c r="H2077" s="306" t="s">
        <v>1617</v>
      </c>
      <c r="I2077" s="432" t="s">
        <v>3803</v>
      </c>
      <c r="K2077" t="s">
        <v>659</v>
      </c>
      <c r="L2077" t="s">
        <v>669</v>
      </c>
      <c r="M2077" t="s">
        <v>2333</v>
      </c>
    </row>
    <row r="2078" spans="1:14">
      <c r="A2078" s="5">
        <v>2077</v>
      </c>
      <c r="B2078" t="s">
        <v>152</v>
      </c>
      <c r="C2078" t="str">
        <f t="shared" ref="C2078" si="330">MID(G2078,11,2)</f>
        <v>KB</v>
      </c>
      <c r="D2078" t="s">
        <v>3866</v>
      </c>
      <c r="E2078" s="5">
        <v>4</v>
      </c>
      <c r="G2078" s="4" t="s">
        <v>3905</v>
      </c>
      <c r="H2078" s="306" t="s">
        <v>3906</v>
      </c>
      <c r="I2078" s="432" t="s">
        <v>3521</v>
      </c>
      <c r="K2078" t="s">
        <v>659</v>
      </c>
      <c r="L2078" t="s">
        <v>669</v>
      </c>
      <c r="M2078" t="s">
        <v>2333</v>
      </c>
    </row>
    <row r="2079" spans="1:14">
      <c r="A2079" s="5">
        <v>2078</v>
      </c>
      <c r="B2079" t="s">
        <v>152</v>
      </c>
      <c r="C2079" t="str">
        <f>MID(G2079,14,2)</f>
        <v>KB</v>
      </c>
      <c r="D2079" t="s">
        <v>3866</v>
      </c>
      <c r="G2079" s="4" t="s">
        <v>3907</v>
      </c>
      <c r="H2079" s="306" t="s">
        <v>536</v>
      </c>
      <c r="I2079" s="432" t="s">
        <v>3871</v>
      </c>
      <c r="K2079" t="s">
        <v>659</v>
      </c>
      <c r="L2079" t="s">
        <v>669</v>
      </c>
      <c r="M2079" t="s">
        <v>2333</v>
      </c>
    </row>
    <row r="2080" spans="1:14">
      <c r="A2080" s="5">
        <v>2079</v>
      </c>
      <c r="B2080" t="str">
        <f t="shared" ref="B2080:B2092" si="331">MID(G2080,11,2)</f>
        <v>TO</v>
      </c>
      <c r="C2080" t="str">
        <f t="shared" ref="C2080:C2081" si="332">MID(G2080,14,2)</f>
        <v>KB</v>
      </c>
      <c r="D2080" t="s">
        <v>3866</v>
      </c>
      <c r="E2080" s="5">
        <v>2</v>
      </c>
      <c r="G2080" s="4" t="s">
        <v>3908</v>
      </c>
      <c r="H2080" s="329" t="s">
        <v>3539</v>
      </c>
      <c r="I2080" s="432" t="s">
        <v>3540</v>
      </c>
      <c r="K2080" t="s">
        <v>659</v>
      </c>
      <c r="L2080" t="s">
        <v>669</v>
      </c>
      <c r="M2080" t="s">
        <v>2333</v>
      </c>
      <c r="N2080" t="s">
        <v>3909</v>
      </c>
    </row>
    <row r="2081" spans="1:14">
      <c r="A2081" s="5">
        <v>2080</v>
      </c>
      <c r="B2081" t="str">
        <f t="shared" si="331"/>
        <v>TO</v>
      </c>
      <c r="C2081" t="str">
        <f t="shared" si="332"/>
        <v>KB</v>
      </c>
      <c r="D2081" t="s">
        <v>3866</v>
      </c>
      <c r="E2081" s="5">
        <v>2</v>
      </c>
      <c r="G2081" s="4" t="s">
        <v>3908</v>
      </c>
      <c r="H2081" s="306" t="s">
        <v>294</v>
      </c>
      <c r="I2081" s="438" t="s">
        <v>3910</v>
      </c>
      <c r="K2081" t="s">
        <v>1434</v>
      </c>
      <c r="L2081" t="s">
        <v>669</v>
      </c>
      <c r="M2081" t="s">
        <v>2333</v>
      </c>
      <c r="N2081" t="s">
        <v>3909</v>
      </c>
    </row>
    <row r="2082" spans="1:14">
      <c r="A2082" s="5">
        <v>2081</v>
      </c>
      <c r="B2082" t="str">
        <f t="shared" si="331"/>
        <v>KB</v>
      </c>
      <c r="C2082" t="str">
        <f t="shared" ref="C2082" si="333">MID(G2082,11,2)</f>
        <v>KB</v>
      </c>
      <c r="D2082" t="s">
        <v>3813</v>
      </c>
      <c r="E2082" s="5">
        <v>3</v>
      </c>
      <c r="G2082" s="4" t="s">
        <v>3911</v>
      </c>
      <c r="H2082" s="306" t="s">
        <v>3542</v>
      </c>
      <c r="I2082" s="432" t="s">
        <v>3543</v>
      </c>
      <c r="K2082" t="s">
        <v>659</v>
      </c>
      <c r="L2082" t="s">
        <v>669</v>
      </c>
      <c r="M2082" t="s">
        <v>2333</v>
      </c>
    </row>
    <row r="2083" spans="1:14" ht="36">
      <c r="A2083" s="5">
        <v>2082</v>
      </c>
      <c r="B2083" t="str">
        <f t="shared" si="331"/>
        <v>KB</v>
      </c>
      <c r="C2083" t="str">
        <f t="shared" ref="C2083:C2087" si="334">MID(G2083,11,2)</f>
        <v>KB</v>
      </c>
      <c r="D2083" t="s">
        <v>3813</v>
      </c>
      <c r="E2083" s="5">
        <v>3</v>
      </c>
      <c r="G2083" s="4" t="s">
        <v>3911</v>
      </c>
      <c r="H2083" s="306" t="s">
        <v>3544</v>
      </c>
      <c r="I2083" s="432" t="s">
        <v>3545</v>
      </c>
      <c r="K2083" t="s">
        <v>659</v>
      </c>
      <c r="L2083" t="s">
        <v>669</v>
      </c>
      <c r="M2083" t="s">
        <v>2333</v>
      </c>
    </row>
    <row r="2084" spans="1:14">
      <c r="A2084" s="5">
        <v>2083</v>
      </c>
      <c r="B2084" t="str">
        <f t="shared" si="331"/>
        <v>KB</v>
      </c>
      <c r="C2084" t="str">
        <f t="shared" si="334"/>
        <v>KB</v>
      </c>
      <c r="D2084" t="s">
        <v>3813</v>
      </c>
      <c r="E2084" s="5">
        <v>3</v>
      </c>
      <c r="G2084" s="4" t="s">
        <v>3911</v>
      </c>
      <c r="H2084" s="306" t="s">
        <v>3546</v>
      </c>
      <c r="I2084" s="432" t="s">
        <v>3547</v>
      </c>
      <c r="K2084" t="s">
        <v>659</v>
      </c>
      <c r="L2084" t="s">
        <v>669</v>
      </c>
      <c r="M2084" t="s">
        <v>2333</v>
      </c>
    </row>
    <row r="2085" spans="1:14">
      <c r="A2085" s="5">
        <v>2084</v>
      </c>
      <c r="B2085" t="str">
        <f t="shared" si="331"/>
        <v>KB</v>
      </c>
      <c r="C2085" t="str">
        <f t="shared" si="334"/>
        <v>KB</v>
      </c>
      <c r="D2085" t="s">
        <v>3813</v>
      </c>
      <c r="E2085" s="5">
        <v>3</v>
      </c>
      <c r="G2085" s="4" t="s">
        <v>3911</v>
      </c>
      <c r="H2085" s="306" t="s">
        <v>1724</v>
      </c>
      <c r="I2085" s="432" t="s">
        <v>3548</v>
      </c>
      <c r="K2085" t="s">
        <v>659</v>
      </c>
      <c r="L2085" t="s">
        <v>669</v>
      </c>
      <c r="M2085" t="s">
        <v>2333</v>
      </c>
    </row>
    <row r="2086" spans="1:14">
      <c r="A2086" s="5">
        <v>2085</v>
      </c>
      <c r="B2086" t="str">
        <f t="shared" si="331"/>
        <v>KB</v>
      </c>
      <c r="C2086" t="str">
        <f t="shared" si="334"/>
        <v>KB</v>
      </c>
      <c r="D2086" t="s">
        <v>3813</v>
      </c>
      <c r="E2086" s="5">
        <v>3</v>
      </c>
      <c r="G2086" s="4" t="s">
        <v>3911</v>
      </c>
      <c r="H2086" s="306" t="s">
        <v>1718</v>
      </c>
      <c r="I2086" s="432" t="s">
        <v>2217</v>
      </c>
      <c r="K2086" t="s">
        <v>659</v>
      </c>
      <c r="L2086" t="s">
        <v>669</v>
      </c>
      <c r="M2086" t="s">
        <v>2333</v>
      </c>
    </row>
    <row r="2087" spans="1:14">
      <c r="A2087" s="5">
        <v>2086</v>
      </c>
      <c r="B2087" t="str">
        <f t="shared" si="331"/>
        <v>KB</v>
      </c>
      <c r="C2087" t="str">
        <f t="shared" si="334"/>
        <v>KB</v>
      </c>
      <c r="D2087" t="s">
        <v>3813</v>
      </c>
      <c r="E2087" s="5">
        <v>3</v>
      </c>
      <c r="G2087" s="4" t="s">
        <v>3911</v>
      </c>
      <c r="H2087" s="306" t="s">
        <v>1488</v>
      </c>
      <c r="I2087" s="432" t="s">
        <v>3549</v>
      </c>
      <c r="K2087" t="s">
        <v>659</v>
      </c>
      <c r="L2087" t="s">
        <v>669</v>
      </c>
      <c r="M2087" t="s">
        <v>2333</v>
      </c>
    </row>
    <row r="2088" spans="1:14" ht="36">
      <c r="A2088" s="5">
        <v>2087</v>
      </c>
      <c r="B2088" t="str">
        <f t="shared" si="331"/>
        <v>KB</v>
      </c>
      <c r="C2088" t="str">
        <f t="shared" ref="C2088" si="335">MID(G2088,11,2)</f>
        <v>KB</v>
      </c>
      <c r="D2088" t="s">
        <v>3813</v>
      </c>
      <c r="E2088" s="5">
        <v>1</v>
      </c>
      <c r="G2088" s="4" t="s">
        <v>3912</v>
      </c>
      <c r="H2088" s="306" t="s">
        <v>538</v>
      </c>
      <c r="I2088" s="432" t="s">
        <v>3913</v>
      </c>
      <c r="K2088" t="s">
        <v>659</v>
      </c>
      <c r="L2088" t="s">
        <v>669</v>
      </c>
      <c r="M2088" t="s">
        <v>2333</v>
      </c>
      <c r="N2088" t="s">
        <v>3914</v>
      </c>
    </row>
    <row r="2089" spans="1:14">
      <c r="A2089" s="5">
        <v>2088</v>
      </c>
      <c r="B2089" t="str">
        <f t="shared" si="331"/>
        <v>KB</v>
      </c>
      <c r="C2089" t="str">
        <f>MID(G2089,11,2)</f>
        <v>KB</v>
      </c>
      <c r="D2089" t="s">
        <v>3866</v>
      </c>
      <c r="E2089" s="5">
        <v>3</v>
      </c>
      <c r="G2089" s="4" t="s">
        <v>3915</v>
      </c>
      <c r="H2089" s="306" t="s">
        <v>3916</v>
      </c>
      <c r="I2089" s="432" t="s">
        <v>3917</v>
      </c>
      <c r="K2089" t="s">
        <v>1434</v>
      </c>
      <c r="L2089" t="s">
        <v>669</v>
      </c>
      <c r="M2089" t="s">
        <v>2333</v>
      </c>
    </row>
    <row r="2090" spans="1:14">
      <c r="A2090" s="5">
        <v>2089</v>
      </c>
      <c r="B2090" t="str">
        <f t="shared" si="331"/>
        <v>KB</v>
      </c>
      <c r="C2090" t="str">
        <f t="shared" ref="C2090:C2091" si="336">MID(G2090,11,2)</f>
        <v>KB</v>
      </c>
      <c r="D2090" t="s">
        <v>3866</v>
      </c>
      <c r="E2090" s="5">
        <v>3</v>
      </c>
      <c r="G2090" s="4" t="s">
        <v>3915</v>
      </c>
      <c r="H2090" s="306" t="s">
        <v>1241</v>
      </c>
      <c r="I2090" s="432" t="s">
        <v>3918</v>
      </c>
      <c r="K2090" t="s">
        <v>659</v>
      </c>
      <c r="L2090" t="s">
        <v>669</v>
      </c>
      <c r="M2090" t="s">
        <v>2333</v>
      </c>
    </row>
    <row r="2091" spans="1:14">
      <c r="A2091" s="5">
        <v>2090</v>
      </c>
      <c r="B2091" t="str">
        <f t="shared" si="331"/>
        <v>KB</v>
      </c>
      <c r="C2091" t="str">
        <f t="shared" si="336"/>
        <v>KB</v>
      </c>
      <c r="D2091" t="s">
        <v>3866</v>
      </c>
      <c r="E2091" s="5">
        <v>3</v>
      </c>
      <c r="G2091" s="4" t="s">
        <v>3915</v>
      </c>
      <c r="H2091" s="306" t="s">
        <v>3919</v>
      </c>
      <c r="I2091" s="432" t="s">
        <v>3920</v>
      </c>
      <c r="K2091" t="s">
        <v>1434</v>
      </c>
      <c r="L2091" t="s">
        <v>669</v>
      </c>
      <c r="M2091" t="s">
        <v>2333</v>
      </c>
    </row>
    <row r="2092" spans="1:14">
      <c r="A2092" s="5">
        <v>2091</v>
      </c>
      <c r="B2092" t="str">
        <f t="shared" si="331"/>
        <v>TO</v>
      </c>
      <c r="C2092" t="str">
        <f>MID(G2092,14,2)</f>
        <v>KB</v>
      </c>
      <c r="D2092" t="s">
        <v>3866</v>
      </c>
      <c r="E2092" s="5">
        <v>3</v>
      </c>
      <c r="G2092" s="4" t="s">
        <v>3921</v>
      </c>
      <c r="H2092" s="306" t="s">
        <v>3742</v>
      </c>
      <c r="I2092" s="432" t="s">
        <v>3743</v>
      </c>
      <c r="K2092" t="s">
        <v>659</v>
      </c>
      <c r="L2092" t="s">
        <v>669</v>
      </c>
      <c r="M2092" t="s">
        <v>2333</v>
      </c>
    </row>
    <row r="2093" spans="1:14">
      <c r="A2093" s="5">
        <v>2092</v>
      </c>
      <c r="B2093" t="str">
        <f t="shared" ref="B2093" si="337">MID(G2093,11,2)</f>
        <v>TO</v>
      </c>
      <c r="C2093" t="str">
        <f t="shared" ref="C2093" si="338">MID(G2093,14,2)</f>
        <v>KB</v>
      </c>
      <c r="D2093" t="s">
        <v>3866</v>
      </c>
      <c r="E2093" s="5">
        <v>3</v>
      </c>
      <c r="G2093" s="4" t="s">
        <v>3921</v>
      </c>
      <c r="H2093" s="306" t="s">
        <v>3802</v>
      </c>
      <c r="I2093" s="432" t="s">
        <v>3492</v>
      </c>
      <c r="K2093" t="s">
        <v>659</v>
      </c>
      <c r="L2093" t="s">
        <v>669</v>
      </c>
      <c r="M2093" t="s">
        <v>2333</v>
      </c>
    </row>
    <row r="2094" spans="1:14">
      <c r="A2094" s="5">
        <v>2093</v>
      </c>
      <c r="B2094" t="str">
        <f>MID(G2094,11,2)</f>
        <v>TO</v>
      </c>
      <c r="C2094" t="str">
        <f>MID(G2094,14,2)</f>
        <v>KB</v>
      </c>
      <c r="D2094" t="s">
        <v>3866</v>
      </c>
      <c r="E2094" s="5">
        <v>3</v>
      </c>
      <c r="G2094" s="4" t="s">
        <v>3922</v>
      </c>
      <c r="H2094" s="306" t="s">
        <v>3923</v>
      </c>
      <c r="I2094" s="432" t="s">
        <v>3746</v>
      </c>
      <c r="K2094" t="s">
        <v>659</v>
      </c>
      <c r="L2094" t="s">
        <v>669</v>
      </c>
      <c r="M2094" t="s">
        <v>2333</v>
      </c>
    </row>
    <row r="2095" spans="1:14">
      <c r="A2095" s="5">
        <v>2094</v>
      </c>
      <c r="B2095" t="str">
        <f t="shared" ref="B2095" si="339">MID(G2095,11,2)</f>
        <v>TO</v>
      </c>
      <c r="C2095" t="str">
        <f t="shared" ref="C2095" si="340">MID(G2095,14,2)</f>
        <v>KB</v>
      </c>
      <c r="D2095" t="s">
        <v>3866</v>
      </c>
      <c r="E2095" s="5">
        <v>3</v>
      </c>
      <c r="G2095" s="4" t="s">
        <v>3922</v>
      </c>
      <c r="H2095" s="306" t="s">
        <v>3924</v>
      </c>
      <c r="I2095" s="432" t="s">
        <v>3925</v>
      </c>
      <c r="K2095" t="s">
        <v>1434</v>
      </c>
      <c r="L2095" t="s">
        <v>669</v>
      </c>
      <c r="M2095" t="s">
        <v>2333</v>
      </c>
    </row>
    <row r="2096" spans="1:14">
      <c r="A2096" s="5">
        <v>2095</v>
      </c>
      <c r="B2096" t="str">
        <f t="shared" ref="B2096:B2122" si="341">MID(G2096,11,2)</f>
        <v>TO</v>
      </c>
      <c r="C2096" t="str">
        <f t="shared" ref="C2096:C2116" si="342">MID(G2096,14,2)</f>
        <v>KB</v>
      </c>
      <c r="D2096" t="s">
        <v>3866</v>
      </c>
      <c r="E2096" s="5">
        <v>1</v>
      </c>
      <c r="G2096" s="4" t="s">
        <v>3926</v>
      </c>
      <c r="H2096" s="306" t="s">
        <v>3582</v>
      </c>
      <c r="I2096" s="438" t="s">
        <v>3927</v>
      </c>
      <c r="K2096" t="s">
        <v>659</v>
      </c>
      <c r="L2096" t="s">
        <v>669</v>
      </c>
      <c r="M2096" t="s">
        <v>2333</v>
      </c>
      <c r="N2096" t="s">
        <v>3928</v>
      </c>
    </row>
    <row r="2097" spans="1:15">
      <c r="A2097" s="5">
        <v>2096</v>
      </c>
      <c r="B2097" t="s">
        <v>114</v>
      </c>
      <c r="C2097" t="s">
        <v>17</v>
      </c>
      <c r="D2097" t="s">
        <v>3866</v>
      </c>
      <c r="E2097">
        <v>1</v>
      </c>
      <c r="G2097" s="4" t="s">
        <v>3929</v>
      </c>
      <c r="H2097" s="306" t="s">
        <v>3930</v>
      </c>
      <c r="I2097" s="432" t="s">
        <v>3931</v>
      </c>
      <c r="K2097" t="s">
        <v>1434</v>
      </c>
      <c r="L2097" t="s">
        <v>669</v>
      </c>
      <c r="M2097" t="s">
        <v>1424</v>
      </c>
    </row>
    <row r="2098" spans="1:15">
      <c r="A2098" s="5">
        <v>2097</v>
      </c>
      <c r="B2098" t="s">
        <v>114</v>
      </c>
      <c r="C2098" t="s">
        <v>17</v>
      </c>
      <c r="D2098" t="s">
        <v>3866</v>
      </c>
      <c r="E2098">
        <v>1</v>
      </c>
      <c r="G2098" s="4" t="s">
        <v>3932</v>
      </c>
      <c r="H2098" s="306" t="s">
        <v>3932</v>
      </c>
      <c r="K2098" t="s">
        <v>1434</v>
      </c>
      <c r="L2098" t="s">
        <v>669</v>
      </c>
      <c r="M2098" t="s">
        <v>1424</v>
      </c>
    </row>
    <row r="2099" spans="1:15">
      <c r="A2099" s="5">
        <v>2098</v>
      </c>
      <c r="B2099" t="str">
        <f t="shared" ref="B2099" si="343">MID(G2099,11,2)</f>
        <v>TO</v>
      </c>
      <c r="C2099" t="str">
        <f t="shared" ref="C2099" si="344">MID(G2099,14,2)</f>
        <v>KB</v>
      </c>
      <c r="D2099" t="s">
        <v>3866</v>
      </c>
      <c r="E2099" s="5">
        <v>2</v>
      </c>
      <c r="G2099" s="4" t="s">
        <v>3933</v>
      </c>
      <c r="H2099" s="306" t="s">
        <v>3934</v>
      </c>
      <c r="I2099" s="432" t="s">
        <v>2247</v>
      </c>
      <c r="K2099" t="s">
        <v>1434</v>
      </c>
      <c r="L2099" t="s">
        <v>669</v>
      </c>
      <c r="M2099" t="s">
        <v>2333</v>
      </c>
    </row>
    <row r="2100" spans="1:15">
      <c r="A2100" s="5">
        <v>2099</v>
      </c>
      <c r="B2100" t="s">
        <v>152</v>
      </c>
      <c r="C2100" t="str">
        <f t="shared" ref="C2100:C2114" si="345">MID(G2100,14,2)</f>
        <v>KB</v>
      </c>
      <c r="D2100" t="s">
        <v>3866</v>
      </c>
      <c r="E2100" s="5"/>
      <c r="G2100" s="4" t="s">
        <v>3935</v>
      </c>
      <c r="H2100" s="306" t="s">
        <v>547</v>
      </c>
      <c r="I2100" s="432" t="s">
        <v>2505</v>
      </c>
      <c r="K2100" t="s">
        <v>659</v>
      </c>
      <c r="L2100" t="s">
        <v>669</v>
      </c>
      <c r="M2100" t="s">
        <v>2333</v>
      </c>
    </row>
    <row r="2101" spans="1:15" ht="36">
      <c r="A2101" s="5">
        <v>2100</v>
      </c>
      <c r="B2101" t="str">
        <f>MID(G2101,11,2)</f>
        <v>TO</v>
      </c>
      <c r="C2101" t="str">
        <f>MID(G2101,14,2)</f>
        <v>KB</v>
      </c>
      <c r="D2101" t="s">
        <v>3866</v>
      </c>
      <c r="E2101" s="5">
        <v>2</v>
      </c>
      <c r="G2101" s="4" t="s">
        <v>3936</v>
      </c>
      <c r="H2101" s="306" t="s">
        <v>3937</v>
      </c>
      <c r="I2101" s="432" t="s">
        <v>3938</v>
      </c>
      <c r="K2101" t="s">
        <v>659</v>
      </c>
      <c r="L2101" t="s">
        <v>669</v>
      </c>
      <c r="M2101" t="s">
        <v>2333</v>
      </c>
      <c r="N2101" t="s">
        <v>3939</v>
      </c>
    </row>
    <row r="2102" spans="1:15" ht="36">
      <c r="A2102" s="5">
        <v>2101</v>
      </c>
      <c r="B2102" t="str">
        <f t="shared" ref="B2102:B2114" si="346">MID(G2102,11,2)</f>
        <v>TO</v>
      </c>
      <c r="C2102" t="str">
        <f t="shared" si="345"/>
        <v>KB</v>
      </c>
      <c r="D2102" t="s">
        <v>3866</v>
      </c>
      <c r="E2102" s="5">
        <v>2</v>
      </c>
      <c r="G2102" s="4" t="s">
        <v>3940</v>
      </c>
      <c r="H2102" s="4" t="s">
        <v>558</v>
      </c>
      <c r="I2102" s="432" t="s">
        <v>3941</v>
      </c>
      <c r="K2102" t="s">
        <v>659</v>
      </c>
      <c r="L2102" t="s">
        <v>669</v>
      </c>
      <c r="M2102" t="s">
        <v>2333</v>
      </c>
      <c r="N2102" s="129" t="s">
        <v>3942</v>
      </c>
    </row>
    <row r="2103" spans="1:15" ht="36">
      <c r="A2103" s="5">
        <v>2102</v>
      </c>
      <c r="B2103" t="str">
        <f t="shared" si="346"/>
        <v>TO</v>
      </c>
      <c r="C2103" t="str">
        <f t="shared" si="345"/>
        <v>KB</v>
      </c>
      <c r="D2103" t="s">
        <v>3866</v>
      </c>
      <c r="E2103" s="5">
        <v>2</v>
      </c>
      <c r="G2103" s="4" t="s">
        <v>3943</v>
      </c>
      <c r="H2103" s="306" t="s">
        <v>3944</v>
      </c>
      <c r="I2103" s="438" t="s">
        <v>3945</v>
      </c>
      <c r="K2103" t="s">
        <v>659</v>
      </c>
      <c r="L2103" t="s">
        <v>669</v>
      </c>
      <c r="M2103" t="s">
        <v>2333</v>
      </c>
      <c r="N2103" t="s">
        <v>3946</v>
      </c>
    </row>
    <row r="2104" spans="1:15" ht="36">
      <c r="A2104" s="5">
        <v>2103</v>
      </c>
      <c r="B2104" t="str">
        <f t="shared" si="346"/>
        <v>TO</v>
      </c>
      <c r="C2104" t="str">
        <f t="shared" si="345"/>
        <v>KB</v>
      </c>
      <c r="D2104" t="s">
        <v>3866</v>
      </c>
      <c r="E2104" s="5">
        <v>2</v>
      </c>
      <c r="G2104" s="4" t="s">
        <v>3947</v>
      </c>
      <c r="H2104" s="306" t="s">
        <v>3948</v>
      </c>
      <c r="I2104" s="432" t="s">
        <v>3949</v>
      </c>
      <c r="K2104" t="s">
        <v>1434</v>
      </c>
      <c r="L2104" t="s">
        <v>669</v>
      </c>
      <c r="M2104" t="s">
        <v>2333</v>
      </c>
      <c r="O2104" s="129" t="s">
        <v>3950</v>
      </c>
    </row>
    <row r="2105" spans="1:15" ht="36">
      <c r="A2105" s="5">
        <v>2104</v>
      </c>
      <c r="B2105" t="str">
        <f t="shared" si="346"/>
        <v>TO</v>
      </c>
      <c r="C2105" t="str">
        <f t="shared" si="345"/>
        <v>KB</v>
      </c>
      <c r="D2105" t="s">
        <v>3866</v>
      </c>
      <c r="E2105" s="5">
        <v>2</v>
      </c>
      <c r="G2105" s="4" t="s">
        <v>3951</v>
      </c>
      <c r="H2105" s="306" t="s">
        <v>556</v>
      </c>
      <c r="I2105" s="432" t="s">
        <v>3952</v>
      </c>
      <c r="K2105" t="s">
        <v>659</v>
      </c>
      <c r="L2105" t="s">
        <v>669</v>
      </c>
      <c r="M2105" t="s">
        <v>2333</v>
      </c>
      <c r="O2105" s="129" t="s">
        <v>3953</v>
      </c>
    </row>
    <row r="2106" spans="1:15" ht="36">
      <c r="A2106" s="5">
        <v>2105</v>
      </c>
      <c r="B2106" t="str">
        <f>MID(G2106,11,2)</f>
        <v>TO</v>
      </c>
      <c r="C2106" t="str">
        <f>MID(G2106,14,2)</f>
        <v>KB</v>
      </c>
      <c r="D2106" t="s">
        <v>3954</v>
      </c>
      <c r="E2106" s="5">
        <v>2</v>
      </c>
      <c r="G2106" s="4" t="s">
        <v>3955</v>
      </c>
      <c r="H2106" s="306" t="s">
        <v>568</v>
      </c>
      <c r="I2106" s="450" t="s">
        <v>3661</v>
      </c>
      <c r="K2106" t="s">
        <v>659</v>
      </c>
      <c r="L2106" t="s">
        <v>669</v>
      </c>
      <c r="M2106" t="s">
        <v>2333</v>
      </c>
      <c r="N2106" t="s">
        <v>3956</v>
      </c>
    </row>
    <row r="2107" spans="1:15">
      <c r="A2107" s="5">
        <v>2106</v>
      </c>
      <c r="B2107" t="str">
        <f t="shared" si="346"/>
        <v>TO</v>
      </c>
      <c r="C2107" t="str">
        <f t="shared" si="345"/>
        <v>KB</v>
      </c>
      <c r="D2107" t="s">
        <v>3954</v>
      </c>
      <c r="E2107" s="5">
        <v>2</v>
      </c>
      <c r="G2107" s="4" t="s">
        <v>3957</v>
      </c>
      <c r="H2107" s="4" t="s">
        <v>570</v>
      </c>
      <c r="I2107" s="432" t="s">
        <v>3958</v>
      </c>
      <c r="K2107" t="s">
        <v>1434</v>
      </c>
      <c r="L2107" t="s">
        <v>669</v>
      </c>
      <c r="M2107" t="s">
        <v>2333</v>
      </c>
    </row>
    <row r="2108" spans="1:15">
      <c r="A2108" s="5">
        <v>2107</v>
      </c>
      <c r="B2108" t="s">
        <v>152</v>
      </c>
      <c r="C2108" t="str">
        <f t="shared" ref="C2108:C2109" si="347">MID(G2108,14,2)</f>
        <v>KB</v>
      </c>
      <c r="D2108" t="s">
        <v>3954</v>
      </c>
      <c r="E2108" s="5">
        <v>2</v>
      </c>
      <c r="G2108" s="4" t="s">
        <v>3959</v>
      </c>
      <c r="H2108" s="4" t="s">
        <v>571</v>
      </c>
      <c r="I2108" s="432" t="s">
        <v>2829</v>
      </c>
      <c r="K2108" t="s">
        <v>659</v>
      </c>
      <c r="L2108" t="s">
        <v>669</v>
      </c>
      <c r="M2108" t="s">
        <v>2333</v>
      </c>
    </row>
    <row r="2109" spans="1:15" ht="36">
      <c r="A2109" s="5">
        <v>2108</v>
      </c>
      <c r="B2109" t="str">
        <f t="shared" ref="B2109" si="348">MID(G2109,11,2)</f>
        <v>TO</v>
      </c>
      <c r="C2109" t="str">
        <f t="shared" si="347"/>
        <v>KB</v>
      </c>
      <c r="D2109" t="s">
        <v>3954</v>
      </c>
      <c r="E2109" s="5">
        <v>2</v>
      </c>
      <c r="G2109" s="4" t="s">
        <v>3960</v>
      </c>
      <c r="H2109" s="306" t="s">
        <v>3961</v>
      </c>
      <c r="I2109" s="432" t="s">
        <v>3962</v>
      </c>
      <c r="K2109" t="s">
        <v>1434</v>
      </c>
      <c r="L2109" t="s">
        <v>669</v>
      </c>
      <c r="M2109" t="s">
        <v>2333</v>
      </c>
    </row>
    <row r="2110" spans="1:15" ht="36">
      <c r="A2110" s="5">
        <v>2109</v>
      </c>
      <c r="B2110" t="str">
        <f t="shared" si="346"/>
        <v>TO</v>
      </c>
      <c r="C2110" t="str">
        <f t="shared" si="345"/>
        <v>Do</v>
      </c>
      <c r="D2110" t="s">
        <v>3866</v>
      </c>
      <c r="E2110" s="5">
        <v>1</v>
      </c>
      <c r="G2110" s="4" t="s">
        <v>3963</v>
      </c>
      <c r="H2110" s="306" t="s">
        <v>3964</v>
      </c>
      <c r="K2110" t="s">
        <v>2841</v>
      </c>
      <c r="L2110" t="s">
        <v>669</v>
      </c>
      <c r="M2110" t="s">
        <v>1424</v>
      </c>
    </row>
    <row r="2111" spans="1:15" ht="36">
      <c r="A2111" s="5">
        <v>2110</v>
      </c>
      <c r="B2111" t="str">
        <f t="shared" ref="B2111" si="349">MID(G2111,11,2)</f>
        <v>TO</v>
      </c>
      <c r="C2111" t="str">
        <f t="shared" ref="C2111" si="350">MID(G2111,14,2)</f>
        <v>Do</v>
      </c>
      <c r="D2111" t="s">
        <v>3866</v>
      </c>
      <c r="E2111" s="5">
        <v>1</v>
      </c>
      <c r="G2111" s="4" t="s">
        <v>3963</v>
      </c>
      <c r="H2111" s="306" t="s">
        <v>3965</v>
      </c>
      <c r="K2111" t="s">
        <v>2841</v>
      </c>
      <c r="L2111" t="s">
        <v>669</v>
      </c>
      <c r="M2111" t="s">
        <v>1424</v>
      </c>
    </row>
    <row r="2112" spans="1:15">
      <c r="A2112" s="5">
        <v>2111</v>
      </c>
      <c r="B2112" t="s">
        <v>152</v>
      </c>
      <c r="C2112" t="str">
        <f t="shared" si="345"/>
        <v>KB</v>
      </c>
      <c r="D2112" t="s">
        <v>3866</v>
      </c>
      <c r="E2112" s="5">
        <v>1</v>
      </c>
      <c r="G2112" s="4" t="s">
        <v>3966</v>
      </c>
      <c r="H2112" s="306" t="s">
        <v>3967</v>
      </c>
      <c r="I2112" s="432" t="s">
        <v>3968</v>
      </c>
      <c r="K2112" t="s">
        <v>1434</v>
      </c>
      <c r="L2112" t="s">
        <v>669</v>
      </c>
      <c r="M2112" t="s">
        <v>2333</v>
      </c>
    </row>
    <row r="2113" spans="1:15" ht="36">
      <c r="A2113" s="5">
        <v>2112</v>
      </c>
      <c r="B2113" t="s">
        <v>152</v>
      </c>
      <c r="C2113" t="str">
        <f t="shared" si="345"/>
        <v>KB</v>
      </c>
      <c r="D2113" t="s">
        <v>3866</v>
      </c>
      <c r="E2113" s="5">
        <v>1</v>
      </c>
      <c r="G2113" s="4" t="s">
        <v>3969</v>
      </c>
      <c r="H2113" s="306" t="s">
        <v>3967</v>
      </c>
      <c r="I2113" s="432" t="s">
        <v>3968</v>
      </c>
      <c r="K2113" t="s">
        <v>659</v>
      </c>
      <c r="L2113" t="s">
        <v>669</v>
      </c>
      <c r="M2113" t="s">
        <v>2333</v>
      </c>
    </row>
    <row r="2114" spans="1:15" ht="36">
      <c r="A2114" s="5">
        <v>2113</v>
      </c>
      <c r="B2114" t="str">
        <f t="shared" si="346"/>
        <v>TO</v>
      </c>
      <c r="C2114" t="str">
        <f t="shared" si="345"/>
        <v>KB</v>
      </c>
      <c r="D2114" t="s">
        <v>3866</v>
      </c>
      <c r="E2114" s="5">
        <v>2</v>
      </c>
      <c r="G2114" s="4" t="s">
        <v>3970</v>
      </c>
      <c r="H2114" s="306" t="s">
        <v>554</v>
      </c>
      <c r="I2114" s="432" t="s">
        <v>3971</v>
      </c>
      <c r="K2114" t="s">
        <v>1434</v>
      </c>
      <c r="L2114" t="s">
        <v>669</v>
      </c>
      <c r="M2114" t="s">
        <v>2392</v>
      </c>
      <c r="N2114" s="129" t="s">
        <v>3972</v>
      </c>
    </row>
    <row r="2115" spans="1:15">
      <c r="A2115" s="5">
        <v>2114</v>
      </c>
      <c r="B2115" t="str">
        <f t="shared" si="341"/>
        <v>TO</v>
      </c>
      <c r="C2115" t="str">
        <f t="shared" si="342"/>
        <v>KB</v>
      </c>
      <c r="D2115" t="s">
        <v>3866</v>
      </c>
      <c r="E2115" s="5">
        <v>1</v>
      </c>
      <c r="F2115" t="s">
        <v>3843</v>
      </c>
      <c r="G2115" s="4" t="s">
        <v>3973</v>
      </c>
      <c r="H2115" s="306" t="s">
        <v>3974</v>
      </c>
      <c r="I2115" s="432" t="s">
        <v>3975</v>
      </c>
      <c r="K2115" t="s">
        <v>659</v>
      </c>
      <c r="L2115" t="s">
        <v>669</v>
      </c>
      <c r="M2115" t="s">
        <v>2333</v>
      </c>
      <c r="N2115" t="s">
        <v>3976</v>
      </c>
    </row>
    <row r="2116" spans="1:15">
      <c r="A2116" s="5">
        <v>2115</v>
      </c>
      <c r="B2116" t="str">
        <f t="shared" si="341"/>
        <v>TO</v>
      </c>
      <c r="C2116" t="str">
        <f t="shared" si="342"/>
        <v>KB</v>
      </c>
      <c r="D2116" t="s">
        <v>3866</v>
      </c>
      <c r="E2116" s="5">
        <v>1</v>
      </c>
      <c r="F2116" t="s">
        <v>3843</v>
      </c>
      <c r="G2116" s="4" t="s">
        <v>3973</v>
      </c>
      <c r="H2116" s="306" t="s">
        <v>3977</v>
      </c>
      <c r="I2116" s="432" t="s">
        <v>3927</v>
      </c>
      <c r="K2116" t="s">
        <v>659</v>
      </c>
      <c r="L2116" t="s">
        <v>669</v>
      </c>
      <c r="M2116" t="s">
        <v>2333</v>
      </c>
      <c r="N2116" t="s">
        <v>3976</v>
      </c>
    </row>
    <row r="2117" spans="1:15">
      <c r="A2117" s="5">
        <v>2116</v>
      </c>
      <c r="B2117" t="str">
        <f t="shared" si="341"/>
        <v>TO</v>
      </c>
      <c r="C2117" t="str">
        <f t="shared" ref="C2117" si="351">MID(G2117,14,2)</f>
        <v>KB</v>
      </c>
      <c r="D2117" t="s">
        <v>3866</v>
      </c>
      <c r="E2117" s="5">
        <v>1</v>
      </c>
      <c r="F2117" t="s">
        <v>3843</v>
      </c>
      <c r="G2117" s="4" t="s">
        <v>3973</v>
      </c>
      <c r="H2117" s="306" t="s">
        <v>510</v>
      </c>
      <c r="I2117" s="432" t="s">
        <v>3705</v>
      </c>
      <c r="K2117" t="s">
        <v>659</v>
      </c>
      <c r="L2117" t="s">
        <v>669</v>
      </c>
      <c r="M2117" t="s">
        <v>2333</v>
      </c>
      <c r="N2117" t="s">
        <v>3976</v>
      </c>
    </row>
    <row r="2118" spans="1:15">
      <c r="A2118" s="5">
        <v>2117</v>
      </c>
      <c r="B2118" t="str">
        <f t="shared" si="341"/>
        <v>TO</v>
      </c>
      <c r="C2118" t="str">
        <f t="shared" ref="C2118:C2149" si="352">MID(G2118,14,2)</f>
        <v>KB</v>
      </c>
      <c r="D2118" t="s">
        <v>3866</v>
      </c>
      <c r="E2118" s="5">
        <v>1</v>
      </c>
      <c r="F2118" t="s">
        <v>3843</v>
      </c>
      <c r="G2118" s="4" t="s">
        <v>3978</v>
      </c>
      <c r="H2118" s="306" t="s">
        <v>3979</v>
      </c>
      <c r="I2118" s="432" t="s">
        <v>3980</v>
      </c>
      <c r="K2118" t="s">
        <v>1434</v>
      </c>
      <c r="L2118" t="s">
        <v>669</v>
      </c>
      <c r="M2118" t="s">
        <v>2333</v>
      </c>
    </row>
    <row r="2119" spans="1:15">
      <c r="A2119" s="5">
        <v>2118</v>
      </c>
      <c r="B2119" t="str">
        <f t="shared" si="341"/>
        <v>TO</v>
      </c>
      <c r="C2119" t="str">
        <f t="shared" si="352"/>
        <v>KB</v>
      </c>
      <c r="D2119" t="s">
        <v>3866</v>
      </c>
      <c r="E2119" s="5">
        <v>1</v>
      </c>
      <c r="F2119" t="s">
        <v>3843</v>
      </c>
      <c r="G2119" s="4" t="s">
        <v>3978</v>
      </c>
      <c r="H2119" s="306" t="s">
        <v>3981</v>
      </c>
      <c r="I2119" s="432" t="s">
        <v>3982</v>
      </c>
      <c r="K2119" t="s">
        <v>1434</v>
      </c>
      <c r="L2119" t="s">
        <v>669</v>
      </c>
      <c r="M2119" t="s">
        <v>2333</v>
      </c>
    </row>
    <row r="2120" spans="1:15">
      <c r="A2120" s="5">
        <v>2119</v>
      </c>
      <c r="B2120" t="str">
        <f t="shared" si="341"/>
        <v>TO</v>
      </c>
      <c r="C2120" t="str">
        <f t="shared" si="352"/>
        <v>KB</v>
      </c>
      <c r="D2120" t="s">
        <v>3866</v>
      </c>
      <c r="E2120" s="5">
        <v>1</v>
      </c>
      <c r="F2120" t="s">
        <v>3843</v>
      </c>
      <c r="G2120" s="4" t="s">
        <v>3978</v>
      </c>
      <c r="H2120" s="306" t="s">
        <v>3870</v>
      </c>
      <c r="I2120" s="432" t="s">
        <v>3871</v>
      </c>
      <c r="K2120" t="s">
        <v>659</v>
      </c>
      <c r="L2120" t="s">
        <v>669</v>
      </c>
      <c r="M2120" t="s">
        <v>2333</v>
      </c>
    </row>
    <row r="2121" spans="1:15">
      <c r="A2121" s="5">
        <v>2120</v>
      </c>
      <c r="B2121" t="str">
        <f t="shared" si="341"/>
        <v>TO</v>
      </c>
      <c r="C2121" t="str">
        <f t="shared" si="352"/>
        <v>KB</v>
      </c>
      <c r="D2121" t="s">
        <v>3866</v>
      </c>
      <c r="E2121" s="5">
        <v>1</v>
      </c>
      <c r="F2121" t="s">
        <v>3843</v>
      </c>
      <c r="G2121" s="4" t="s">
        <v>3983</v>
      </c>
      <c r="H2121" s="306" t="s">
        <v>3984</v>
      </c>
      <c r="I2121" s="432" t="s">
        <v>3985</v>
      </c>
      <c r="K2121" t="s">
        <v>659</v>
      </c>
      <c r="L2121" t="s">
        <v>669</v>
      </c>
      <c r="M2121" t="s">
        <v>2333</v>
      </c>
    </row>
    <row r="2122" spans="1:15">
      <c r="A2122" s="5">
        <v>2121</v>
      </c>
      <c r="B2122" t="str">
        <f t="shared" si="341"/>
        <v>TO</v>
      </c>
      <c r="C2122" t="str">
        <f t="shared" si="352"/>
        <v>KB</v>
      </c>
      <c r="D2122" t="s">
        <v>3866</v>
      </c>
      <c r="E2122" s="5">
        <v>1</v>
      </c>
      <c r="F2122" t="s">
        <v>3843</v>
      </c>
      <c r="G2122" s="4" t="s">
        <v>3983</v>
      </c>
      <c r="H2122" s="306" t="s">
        <v>3986</v>
      </c>
      <c r="I2122" s="432" t="s">
        <v>3719</v>
      </c>
      <c r="K2122" t="s">
        <v>659</v>
      </c>
      <c r="L2122" t="s">
        <v>669</v>
      </c>
      <c r="M2122" t="s">
        <v>2333</v>
      </c>
    </row>
    <row r="2123" spans="1:15">
      <c r="A2123" s="5">
        <v>2122</v>
      </c>
      <c r="B2123" t="str">
        <f t="shared" ref="B2123:B2149" si="353">MID(G2123,11,2)</f>
        <v>TO</v>
      </c>
      <c r="C2123" t="str">
        <f t="shared" si="352"/>
        <v>KB</v>
      </c>
      <c r="D2123" t="s">
        <v>3866</v>
      </c>
      <c r="E2123" s="5">
        <v>1</v>
      </c>
      <c r="F2123" t="s">
        <v>3843</v>
      </c>
      <c r="G2123" s="4" t="s">
        <v>3983</v>
      </c>
      <c r="H2123" s="306" t="s">
        <v>3987</v>
      </c>
      <c r="I2123" s="432" t="s">
        <v>3988</v>
      </c>
      <c r="K2123" t="s">
        <v>1434</v>
      </c>
      <c r="L2123" t="s">
        <v>669</v>
      </c>
      <c r="M2123" t="s">
        <v>2333</v>
      </c>
    </row>
    <row r="2124" spans="1:15">
      <c r="A2124" s="5">
        <v>2123</v>
      </c>
      <c r="B2124" t="str">
        <f t="shared" si="353"/>
        <v>TO</v>
      </c>
      <c r="C2124" t="str">
        <f t="shared" si="352"/>
        <v>KB</v>
      </c>
      <c r="D2124" t="s">
        <v>3866</v>
      </c>
      <c r="E2124" s="5">
        <v>1</v>
      </c>
      <c r="F2124" t="s">
        <v>3843</v>
      </c>
      <c r="G2124" s="4" t="s">
        <v>3989</v>
      </c>
      <c r="H2124" s="306" t="s">
        <v>502</v>
      </c>
      <c r="I2124" s="432" t="s">
        <v>3990</v>
      </c>
      <c r="K2124" t="s">
        <v>659</v>
      </c>
      <c r="L2124" t="s">
        <v>669</v>
      </c>
      <c r="M2124" t="s">
        <v>2333</v>
      </c>
    </row>
    <row r="2125" spans="1:15">
      <c r="A2125" s="5">
        <v>2124</v>
      </c>
      <c r="B2125" t="str">
        <f>MID(G2125,11,2)</f>
        <v>TO</v>
      </c>
      <c r="C2125" t="str">
        <f>MID(G2125,14,2)</f>
        <v>KB</v>
      </c>
      <c r="D2125" t="s">
        <v>3866</v>
      </c>
      <c r="E2125" s="5">
        <v>1</v>
      </c>
      <c r="F2125" t="s">
        <v>3843</v>
      </c>
      <c r="G2125" s="4" t="s">
        <v>3989</v>
      </c>
      <c r="H2125" s="306" t="s">
        <v>3991</v>
      </c>
      <c r="I2125" s="432" t="s">
        <v>3992</v>
      </c>
      <c r="K2125" t="s">
        <v>1434</v>
      </c>
      <c r="L2125" t="s">
        <v>669</v>
      </c>
      <c r="M2125" t="s">
        <v>2333</v>
      </c>
    </row>
    <row r="2126" spans="1:15" ht="36">
      <c r="A2126" s="5">
        <v>2125</v>
      </c>
      <c r="B2126" t="str">
        <f>MID(G2126,11,2)</f>
        <v>TO</v>
      </c>
      <c r="C2126" t="str">
        <f>MID(G2126,14,2)</f>
        <v>KB</v>
      </c>
      <c r="D2126" t="s">
        <v>3866</v>
      </c>
      <c r="E2126" s="5">
        <v>1</v>
      </c>
      <c r="F2126" t="s">
        <v>3843</v>
      </c>
      <c r="G2126" s="4" t="s">
        <v>3993</v>
      </c>
      <c r="H2126" s="306" t="s">
        <v>345</v>
      </c>
      <c r="I2126" s="432" t="s">
        <v>2310</v>
      </c>
      <c r="K2126" t="s">
        <v>659</v>
      </c>
      <c r="L2126" t="s">
        <v>669</v>
      </c>
      <c r="M2126" t="s">
        <v>2333</v>
      </c>
      <c r="N2126" s="4" t="s">
        <v>3874</v>
      </c>
    </row>
    <row r="2127" spans="1:15">
      <c r="A2127" s="5">
        <v>2126</v>
      </c>
      <c r="B2127" t="str">
        <f t="shared" si="353"/>
        <v>TO</v>
      </c>
      <c r="C2127" t="str">
        <f t="shared" si="352"/>
        <v>KB</v>
      </c>
      <c r="D2127" t="s">
        <v>3866</v>
      </c>
      <c r="E2127" s="5">
        <v>1</v>
      </c>
      <c r="F2127" t="s">
        <v>3843</v>
      </c>
      <c r="G2127" s="4" t="s">
        <v>3993</v>
      </c>
      <c r="H2127" s="306" t="s">
        <v>3994</v>
      </c>
      <c r="I2127" s="432" t="s">
        <v>3995</v>
      </c>
      <c r="K2127" t="s">
        <v>659</v>
      </c>
      <c r="L2127" t="s">
        <v>669</v>
      </c>
      <c r="M2127" t="s">
        <v>2333</v>
      </c>
      <c r="N2127" s="4" t="s">
        <v>3541</v>
      </c>
      <c r="O2127" t="s">
        <v>3976</v>
      </c>
    </row>
    <row r="2128" spans="1:15">
      <c r="A2128" s="5">
        <v>2127</v>
      </c>
      <c r="B2128" t="str">
        <f>MID(G2128,11,2)</f>
        <v>TO</v>
      </c>
      <c r="C2128" t="str">
        <f>MID(G2128,14,2)</f>
        <v>KB</v>
      </c>
      <c r="D2128" t="s">
        <v>3866</v>
      </c>
      <c r="E2128" s="5">
        <v>1</v>
      </c>
      <c r="F2128" t="s">
        <v>3843</v>
      </c>
      <c r="G2128" s="4" t="s">
        <v>3993</v>
      </c>
      <c r="H2128" s="306" t="s">
        <v>3996</v>
      </c>
      <c r="I2128" s="432" t="s">
        <v>2823</v>
      </c>
      <c r="K2128" t="s">
        <v>659</v>
      </c>
      <c r="L2128" t="s">
        <v>669</v>
      </c>
      <c r="M2128" t="s">
        <v>2333</v>
      </c>
      <c r="N2128" s="4" t="s">
        <v>3385</v>
      </c>
      <c r="O2128" t="s">
        <v>3976</v>
      </c>
    </row>
    <row r="2129" spans="1:14" ht="36">
      <c r="A2129" s="5">
        <v>2129</v>
      </c>
      <c r="B2129" t="str">
        <f t="shared" si="353"/>
        <v>TO</v>
      </c>
      <c r="C2129" t="str">
        <f t="shared" si="352"/>
        <v>KB</v>
      </c>
      <c r="D2129" t="s">
        <v>3954</v>
      </c>
      <c r="E2129" s="5">
        <v>2</v>
      </c>
      <c r="F2129" t="s">
        <v>3843</v>
      </c>
      <c r="G2129" s="4" t="s">
        <v>3997</v>
      </c>
      <c r="H2129" s="306" t="s">
        <v>577</v>
      </c>
      <c r="I2129" s="432" t="s">
        <v>3998</v>
      </c>
      <c r="K2129" t="s">
        <v>1434</v>
      </c>
      <c r="L2129" t="s">
        <v>669</v>
      </c>
      <c r="M2129" t="s">
        <v>2333</v>
      </c>
    </row>
    <row r="2130" spans="1:14" ht="36">
      <c r="A2130" s="5">
        <v>2130</v>
      </c>
      <c r="B2130" t="s">
        <v>1906</v>
      </c>
      <c r="C2130" t="s">
        <v>112</v>
      </c>
      <c r="D2130" t="s">
        <v>3954</v>
      </c>
      <c r="E2130" s="5">
        <v>2</v>
      </c>
      <c r="F2130" t="s">
        <v>3843</v>
      </c>
      <c r="G2130" s="4" t="s">
        <v>3999</v>
      </c>
      <c r="H2130" s="306" t="s">
        <v>471</v>
      </c>
      <c r="I2130" s="432" t="s">
        <v>4000</v>
      </c>
      <c r="K2130" t="s">
        <v>659</v>
      </c>
      <c r="L2130" t="s">
        <v>669</v>
      </c>
      <c r="M2130" t="s">
        <v>2333</v>
      </c>
      <c r="N2130" t="s">
        <v>4001</v>
      </c>
    </row>
    <row r="2131" spans="1:14">
      <c r="A2131" s="5">
        <v>2131</v>
      </c>
      <c r="B2131" t="str">
        <f t="shared" si="353"/>
        <v>TO</v>
      </c>
      <c r="C2131" t="str">
        <f t="shared" si="352"/>
        <v>KB</v>
      </c>
      <c r="D2131" t="s">
        <v>3866</v>
      </c>
      <c r="E2131" s="5">
        <v>2</v>
      </c>
      <c r="F2131" t="s">
        <v>3843</v>
      </c>
      <c r="G2131" s="4" t="s">
        <v>4002</v>
      </c>
      <c r="H2131" s="306" t="s">
        <v>569</v>
      </c>
      <c r="I2131" s="432" t="s">
        <v>3858</v>
      </c>
      <c r="K2131" t="s">
        <v>659</v>
      </c>
      <c r="L2131" t="s">
        <v>669</v>
      </c>
      <c r="M2131" t="s">
        <v>2333</v>
      </c>
      <c r="N2131" s="4" t="s">
        <v>3857</v>
      </c>
    </row>
    <row r="2132" spans="1:14">
      <c r="A2132" s="5">
        <v>2132</v>
      </c>
      <c r="B2132" t="str">
        <f t="shared" si="353"/>
        <v>TO</v>
      </c>
      <c r="C2132" t="str">
        <f t="shared" si="352"/>
        <v>KB</v>
      </c>
      <c r="D2132" t="s">
        <v>3866</v>
      </c>
      <c r="E2132" s="5">
        <v>2</v>
      </c>
      <c r="F2132" t="s">
        <v>3843</v>
      </c>
      <c r="G2132" s="4" t="s">
        <v>4002</v>
      </c>
      <c r="H2132" s="305" t="s">
        <v>4003</v>
      </c>
      <c r="I2132" s="432" t="s">
        <v>3572</v>
      </c>
      <c r="K2132" t="s">
        <v>659</v>
      </c>
      <c r="L2132" t="s">
        <v>669</v>
      </c>
      <c r="M2132" t="s">
        <v>2333</v>
      </c>
      <c r="N2132" s="4" t="s">
        <v>3625</v>
      </c>
    </row>
    <row r="2133" spans="1:14" ht="36">
      <c r="A2133" s="5">
        <v>2133</v>
      </c>
      <c r="B2133" t="str">
        <f t="shared" si="353"/>
        <v>TO</v>
      </c>
      <c r="C2133" t="str">
        <f t="shared" si="352"/>
        <v>Ed</v>
      </c>
      <c r="D2133" t="s">
        <v>3866</v>
      </c>
      <c r="E2133" s="5">
        <v>2</v>
      </c>
      <c r="F2133" t="s">
        <v>1421</v>
      </c>
      <c r="G2133" s="4" t="s">
        <v>4004</v>
      </c>
      <c r="H2133" s="306" t="s">
        <v>4005</v>
      </c>
      <c r="K2133" t="s">
        <v>2841</v>
      </c>
      <c r="L2133" t="s">
        <v>669</v>
      </c>
      <c r="M2133" t="s">
        <v>1424</v>
      </c>
    </row>
    <row r="2134" spans="1:14" ht="36">
      <c r="A2134" s="5">
        <v>2134</v>
      </c>
      <c r="B2134" t="str">
        <f t="shared" ref="B2134:B2145" si="354">MID(G2134,11,2)</f>
        <v>TO</v>
      </c>
      <c r="C2134" t="str">
        <f t="shared" ref="C2134:C2145" si="355">MID(G2134,14,2)</f>
        <v>Ed</v>
      </c>
      <c r="D2134" t="s">
        <v>3866</v>
      </c>
      <c r="E2134" s="5">
        <v>2</v>
      </c>
      <c r="F2134" t="s">
        <v>1421</v>
      </c>
      <c r="G2134" s="4" t="s">
        <v>4006</v>
      </c>
      <c r="H2134" s="306" t="s">
        <v>4007</v>
      </c>
      <c r="K2134" t="s">
        <v>2841</v>
      </c>
      <c r="L2134" t="s">
        <v>669</v>
      </c>
      <c r="M2134" t="s">
        <v>1424</v>
      </c>
    </row>
    <row r="2135" spans="1:14" ht="36">
      <c r="A2135" s="5">
        <v>2135</v>
      </c>
      <c r="B2135" t="str">
        <f t="shared" si="354"/>
        <v>TO</v>
      </c>
      <c r="C2135" t="str">
        <f t="shared" si="355"/>
        <v>Ed</v>
      </c>
      <c r="D2135" t="s">
        <v>3866</v>
      </c>
      <c r="E2135" s="5">
        <v>2</v>
      </c>
      <c r="F2135" t="s">
        <v>1421</v>
      </c>
      <c r="G2135" s="4" t="s">
        <v>4006</v>
      </c>
      <c r="H2135" s="306" t="s">
        <v>4008</v>
      </c>
      <c r="K2135" t="s">
        <v>2841</v>
      </c>
      <c r="L2135" t="s">
        <v>669</v>
      </c>
      <c r="M2135" t="s">
        <v>1424</v>
      </c>
    </row>
    <row r="2136" spans="1:14" ht="36">
      <c r="A2136" s="5">
        <v>2136</v>
      </c>
      <c r="B2136" t="str">
        <f t="shared" si="354"/>
        <v>TO</v>
      </c>
      <c r="C2136" t="str">
        <f t="shared" si="355"/>
        <v>Ed</v>
      </c>
      <c r="D2136" t="s">
        <v>3866</v>
      </c>
      <c r="E2136" s="5">
        <v>2</v>
      </c>
      <c r="F2136" t="s">
        <v>1421</v>
      </c>
      <c r="G2136" s="4" t="s">
        <v>4006</v>
      </c>
      <c r="H2136" s="306" t="s">
        <v>4009</v>
      </c>
      <c r="K2136" t="s">
        <v>2841</v>
      </c>
      <c r="L2136" t="s">
        <v>669</v>
      </c>
      <c r="M2136" t="s">
        <v>1424</v>
      </c>
    </row>
    <row r="2137" spans="1:14" ht="36">
      <c r="A2137" s="5">
        <v>2137</v>
      </c>
      <c r="B2137" t="str">
        <f t="shared" si="354"/>
        <v>TO</v>
      </c>
      <c r="C2137" t="str">
        <f t="shared" si="355"/>
        <v>Ed</v>
      </c>
      <c r="D2137" t="s">
        <v>3866</v>
      </c>
      <c r="E2137" s="5">
        <v>2</v>
      </c>
      <c r="F2137" t="s">
        <v>1421</v>
      </c>
      <c r="G2137" s="4" t="s">
        <v>4006</v>
      </c>
      <c r="H2137" s="306" t="s">
        <v>4010</v>
      </c>
      <c r="K2137" t="s">
        <v>2841</v>
      </c>
      <c r="L2137" t="s">
        <v>669</v>
      </c>
      <c r="M2137" t="s">
        <v>1424</v>
      </c>
    </row>
    <row r="2138" spans="1:14" ht="36">
      <c r="A2138" s="5">
        <v>2138</v>
      </c>
      <c r="B2138" t="str">
        <f t="shared" si="354"/>
        <v>TO</v>
      </c>
      <c r="C2138" t="str">
        <f t="shared" si="355"/>
        <v>Ed</v>
      </c>
      <c r="D2138" t="s">
        <v>3866</v>
      </c>
      <c r="E2138" s="5">
        <v>2</v>
      </c>
      <c r="F2138" t="s">
        <v>1421</v>
      </c>
      <c r="G2138" s="4" t="s">
        <v>4006</v>
      </c>
      <c r="H2138" s="306" t="s">
        <v>4011</v>
      </c>
      <c r="K2138" t="s">
        <v>2841</v>
      </c>
      <c r="L2138" t="s">
        <v>669</v>
      </c>
      <c r="M2138" t="s">
        <v>1424</v>
      </c>
    </row>
    <row r="2139" spans="1:14" ht="36">
      <c r="A2139" s="5">
        <v>2139</v>
      </c>
      <c r="B2139" t="str">
        <f t="shared" si="354"/>
        <v>TO</v>
      </c>
      <c r="C2139" t="str">
        <f t="shared" si="355"/>
        <v>Ed</v>
      </c>
      <c r="D2139" t="s">
        <v>3866</v>
      </c>
      <c r="E2139" s="5">
        <v>2</v>
      </c>
      <c r="F2139" t="s">
        <v>1421</v>
      </c>
      <c r="G2139" s="4" t="s">
        <v>4006</v>
      </c>
      <c r="H2139" s="306" t="s">
        <v>4012</v>
      </c>
      <c r="K2139" t="s">
        <v>2841</v>
      </c>
      <c r="L2139" t="s">
        <v>669</v>
      </c>
      <c r="M2139" t="s">
        <v>1424</v>
      </c>
    </row>
    <row r="2140" spans="1:14" ht="36">
      <c r="A2140" s="5">
        <v>2140</v>
      </c>
      <c r="B2140" t="str">
        <f t="shared" si="354"/>
        <v>TO</v>
      </c>
      <c r="C2140" t="str">
        <f t="shared" si="355"/>
        <v>Ed</v>
      </c>
      <c r="D2140" t="s">
        <v>3866</v>
      </c>
      <c r="E2140" s="5">
        <v>2</v>
      </c>
      <c r="F2140" t="s">
        <v>1421</v>
      </c>
      <c r="G2140" s="4" t="s">
        <v>4006</v>
      </c>
      <c r="H2140" s="306" t="s">
        <v>4013</v>
      </c>
      <c r="K2140" t="s">
        <v>2841</v>
      </c>
      <c r="L2140" t="s">
        <v>669</v>
      </c>
      <c r="M2140" t="s">
        <v>1424</v>
      </c>
    </row>
    <row r="2141" spans="1:14" ht="36">
      <c r="A2141" s="5">
        <v>2141</v>
      </c>
      <c r="B2141" t="str">
        <f t="shared" si="354"/>
        <v>TO</v>
      </c>
      <c r="C2141" t="str">
        <f t="shared" si="355"/>
        <v>Ed</v>
      </c>
      <c r="D2141" t="s">
        <v>3866</v>
      </c>
      <c r="E2141" s="5">
        <v>2</v>
      </c>
      <c r="F2141" t="s">
        <v>1421</v>
      </c>
      <c r="G2141" s="4" t="s">
        <v>4006</v>
      </c>
      <c r="H2141" s="306" t="s">
        <v>4014</v>
      </c>
      <c r="K2141" t="s">
        <v>2841</v>
      </c>
      <c r="L2141" t="s">
        <v>669</v>
      </c>
      <c r="M2141" t="s">
        <v>1424</v>
      </c>
    </row>
    <row r="2142" spans="1:14" ht="36">
      <c r="A2142" s="5">
        <v>2142</v>
      </c>
      <c r="B2142" t="str">
        <f t="shared" si="354"/>
        <v>TO</v>
      </c>
      <c r="C2142" t="str">
        <f t="shared" si="355"/>
        <v>Ed</v>
      </c>
      <c r="D2142" t="s">
        <v>3866</v>
      </c>
      <c r="E2142" s="5">
        <v>2</v>
      </c>
      <c r="F2142" t="s">
        <v>1421</v>
      </c>
      <c r="G2142" s="4" t="s">
        <v>4006</v>
      </c>
      <c r="H2142" s="306" t="s">
        <v>4015</v>
      </c>
      <c r="K2142" t="s">
        <v>2841</v>
      </c>
      <c r="L2142" t="s">
        <v>669</v>
      </c>
      <c r="M2142" t="s">
        <v>1424</v>
      </c>
    </row>
    <row r="2143" spans="1:14" ht="36">
      <c r="A2143" s="5">
        <v>2143</v>
      </c>
      <c r="B2143" t="str">
        <f t="shared" si="354"/>
        <v>TO</v>
      </c>
      <c r="C2143" t="str">
        <f t="shared" si="355"/>
        <v>Ed</v>
      </c>
      <c r="D2143" t="s">
        <v>3866</v>
      </c>
      <c r="E2143" s="5">
        <v>2</v>
      </c>
      <c r="F2143" t="s">
        <v>1421</v>
      </c>
      <c r="G2143" s="4" t="s">
        <v>4006</v>
      </c>
      <c r="H2143" s="306" t="s">
        <v>4016</v>
      </c>
      <c r="K2143" t="s">
        <v>2841</v>
      </c>
      <c r="L2143" t="s">
        <v>669</v>
      </c>
      <c r="M2143" t="s">
        <v>1424</v>
      </c>
    </row>
    <row r="2144" spans="1:14" ht="36">
      <c r="A2144" s="5">
        <v>2144</v>
      </c>
      <c r="B2144" t="str">
        <f t="shared" si="354"/>
        <v>TO</v>
      </c>
      <c r="C2144" t="str">
        <f t="shared" si="355"/>
        <v>Ed</v>
      </c>
      <c r="D2144" t="s">
        <v>3866</v>
      </c>
      <c r="E2144" s="5">
        <v>2</v>
      </c>
      <c r="F2144" t="s">
        <v>1421</v>
      </c>
      <c r="G2144" s="4" t="s">
        <v>4006</v>
      </c>
      <c r="H2144" s="306" t="s">
        <v>4017</v>
      </c>
      <c r="K2144" t="s">
        <v>2841</v>
      </c>
      <c r="L2144" t="s">
        <v>669</v>
      </c>
      <c r="M2144" t="s">
        <v>1424</v>
      </c>
    </row>
    <row r="2145" spans="1:14" ht="36">
      <c r="A2145" s="5">
        <v>2145</v>
      </c>
      <c r="B2145" t="str">
        <f t="shared" si="354"/>
        <v>TO</v>
      </c>
      <c r="C2145" t="str">
        <f t="shared" si="355"/>
        <v>Ed</v>
      </c>
      <c r="D2145" t="s">
        <v>3866</v>
      </c>
      <c r="E2145" s="5">
        <v>2</v>
      </c>
      <c r="F2145" t="s">
        <v>1421</v>
      </c>
      <c r="G2145" s="4" t="s">
        <v>4006</v>
      </c>
      <c r="H2145" s="306" t="s">
        <v>4018</v>
      </c>
      <c r="K2145" t="s">
        <v>2841</v>
      </c>
      <c r="L2145" t="s">
        <v>669</v>
      </c>
      <c r="M2145" t="s">
        <v>1424</v>
      </c>
    </row>
    <row r="2146" spans="1:14" ht="36">
      <c r="A2146" s="5">
        <v>2146</v>
      </c>
      <c r="B2146" t="str">
        <f t="shared" si="353"/>
        <v>MH</v>
      </c>
      <c r="C2146" t="str">
        <f t="shared" si="352"/>
        <v>KB</v>
      </c>
      <c r="D2146" t="s">
        <v>4019</v>
      </c>
      <c r="E2146" s="5">
        <v>2</v>
      </c>
      <c r="G2146" s="4" t="s">
        <v>4020</v>
      </c>
      <c r="H2146" s="306" t="s">
        <v>554</v>
      </c>
      <c r="I2146" s="432" t="s">
        <v>3971</v>
      </c>
      <c r="K2146" t="s">
        <v>659</v>
      </c>
      <c r="L2146" t="s">
        <v>669</v>
      </c>
      <c r="M2146" t="s">
        <v>2333</v>
      </c>
    </row>
    <row r="2147" spans="1:14" ht="36">
      <c r="A2147" s="5">
        <v>2147</v>
      </c>
      <c r="B2147" t="str">
        <f t="shared" si="353"/>
        <v>TO</v>
      </c>
      <c r="C2147" t="str">
        <f t="shared" si="352"/>
        <v>KB</v>
      </c>
      <c r="D2147" t="s">
        <v>3954</v>
      </c>
      <c r="E2147" s="5">
        <v>2</v>
      </c>
      <c r="G2147" s="4" t="s">
        <v>4021</v>
      </c>
      <c r="H2147" s="306" t="s">
        <v>3141</v>
      </c>
      <c r="I2147" s="432" t="s">
        <v>4022</v>
      </c>
      <c r="K2147" t="s">
        <v>659</v>
      </c>
      <c r="L2147" t="s">
        <v>669</v>
      </c>
      <c r="M2147" t="s">
        <v>2333</v>
      </c>
      <c r="N2147" t="s">
        <v>4023</v>
      </c>
    </row>
    <row r="2148" spans="1:14" ht="36">
      <c r="A2148" s="5">
        <v>2148</v>
      </c>
      <c r="B2148" t="str">
        <f t="shared" si="353"/>
        <v>TO</v>
      </c>
      <c r="C2148" t="str">
        <f t="shared" si="352"/>
        <v>KB</v>
      </c>
      <c r="D2148" t="s">
        <v>3954</v>
      </c>
      <c r="E2148" s="5">
        <v>1</v>
      </c>
      <c r="G2148" s="4" t="s">
        <v>4024</v>
      </c>
      <c r="H2148" s="306" t="s">
        <v>574</v>
      </c>
      <c r="I2148" s="432" t="s">
        <v>4025</v>
      </c>
      <c r="K2148" t="s">
        <v>1434</v>
      </c>
      <c r="L2148" t="s">
        <v>669</v>
      </c>
      <c r="M2148" t="s">
        <v>3733</v>
      </c>
      <c r="N2148" t="s">
        <v>4026</v>
      </c>
    </row>
    <row r="2149" spans="1:14">
      <c r="A2149" s="5">
        <v>2149</v>
      </c>
      <c r="B2149" t="str">
        <f t="shared" si="353"/>
        <v>TO</v>
      </c>
      <c r="C2149" t="str">
        <f t="shared" si="352"/>
        <v>Ap</v>
      </c>
      <c r="D2149" t="s">
        <v>3954</v>
      </c>
      <c r="E2149" s="5">
        <v>3</v>
      </c>
      <c r="F2149" t="s">
        <v>605</v>
      </c>
      <c r="G2149" s="4" t="s">
        <v>4027</v>
      </c>
      <c r="H2149" s="4" t="s">
        <v>4028</v>
      </c>
      <c r="K2149" t="s">
        <v>2841</v>
      </c>
      <c r="L2149" t="s">
        <v>669</v>
      </c>
      <c r="M2149" t="s">
        <v>1424</v>
      </c>
    </row>
    <row r="2150" spans="1:14">
      <c r="A2150" s="5">
        <v>2150</v>
      </c>
      <c r="B2150" t="str">
        <f t="shared" ref="B2150:B2155" si="356">MID(G2150,11,2)</f>
        <v>TO</v>
      </c>
      <c r="C2150" t="str">
        <f t="shared" ref="C2150:C2155" si="357">MID(G2150,14,2)</f>
        <v>Ap</v>
      </c>
      <c r="D2150" t="s">
        <v>3954</v>
      </c>
      <c r="E2150" s="5">
        <v>3</v>
      </c>
      <c r="F2150" t="s">
        <v>605</v>
      </c>
      <c r="G2150" s="4" t="s">
        <v>4027</v>
      </c>
      <c r="H2150" s="306" t="s">
        <v>4029</v>
      </c>
      <c r="K2150" t="s">
        <v>2841</v>
      </c>
      <c r="L2150" t="s">
        <v>669</v>
      </c>
      <c r="M2150" t="s">
        <v>1424</v>
      </c>
    </row>
    <row r="2151" spans="1:14">
      <c r="A2151" s="5">
        <v>2151</v>
      </c>
      <c r="B2151" t="str">
        <f t="shared" si="356"/>
        <v>TO</v>
      </c>
      <c r="C2151" t="str">
        <f t="shared" si="357"/>
        <v>Ap</v>
      </c>
      <c r="D2151" t="s">
        <v>3954</v>
      </c>
      <c r="E2151" s="5">
        <v>3</v>
      </c>
      <c r="F2151" t="s">
        <v>605</v>
      </c>
      <c r="G2151" s="4" t="s">
        <v>4027</v>
      </c>
      <c r="H2151" s="306" t="s">
        <v>4030</v>
      </c>
      <c r="K2151" t="s">
        <v>2841</v>
      </c>
      <c r="L2151" t="s">
        <v>669</v>
      </c>
      <c r="M2151" t="s">
        <v>1424</v>
      </c>
    </row>
    <row r="2152" spans="1:14">
      <c r="A2152" s="5">
        <v>2152</v>
      </c>
      <c r="B2152" t="str">
        <f t="shared" si="356"/>
        <v>TO</v>
      </c>
      <c r="C2152" t="str">
        <f t="shared" si="357"/>
        <v>Ap</v>
      </c>
      <c r="D2152" t="s">
        <v>3954</v>
      </c>
      <c r="E2152" s="5">
        <v>3</v>
      </c>
      <c r="F2152" t="s">
        <v>605</v>
      </c>
      <c r="G2152" s="4" t="s">
        <v>4027</v>
      </c>
      <c r="H2152" s="306" t="s">
        <v>4031</v>
      </c>
      <c r="K2152" t="s">
        <v>2841</v>
      </c>
      <c r="L2152" t="s">
        <v>669</v>
      </c>
      <c r="M2152" t="s">
        <v>1424</v>
      </c>
    </row>
    <row r="2153" spans="1:14">
      <c r="A2153" s="5">
        <v>2153</v>
      </c>
      <c r="B2153" t="str">
        <f t="shared" si="356"/>
        <v>TO</v>
      </c>
      <c r="C2153" t="str">
        <f t="shared" si="357"/>
        <v>Ap</v>
      </c>
      <c r="D2153" t="s">
        <v>3954</v>
      </c>
      <c r="E2153" s="5">
        <v>3</v>
      </c>
      <c r="F2153" t="s">
        <v>605</v>
      </c>
      <c r="G2153" s="4" t="s">
        <v>4027</v>
      </c>
      <c r="H2153" s="306" t="s">
        <v>4032</v>
      </c>
      <c r="K2153" t="s">
        <v>2841</v>
      </c>
      <c r="L2153" t="s">
        <v>669</v>
      </c>
      <c r="M2153" t="s">
        <v>1424</v>
      </c>
    </row>
    <row r="2154" spans="1:14" ht="36">
      <c r="A2154" s="5">
        <v>2154</v>
      </c>
      <c r="B2154" t="str">
        <f t="shared" si="356"/>
        <v>TO</v>
      </c>
      <c r="C2154" t="str">
        <f t="shared" si="357"/>
        <v>Ap</v>
      </c>
      <c r="D2154" t="s">
        <v>3954</v>
      </c>
      <c r="E2154" s="5">
        <v>3</v>
      </c>
      <c r="F2154" t="s">
        <v>605</v>
      </c>
      <c r="G2154" s="4" t="s">
        <v>4027</v>
      </c>
      <c r="H2154" s="306" t="s">
        <v>4033</v>
      </c>
      <c r="K2154" t="s">
        <v>2841</v>
      </c>
      <c r="L2154" t="s">
        <v>669</v>
      </c>
      <c r="M2154" t="s">
        <v>1424</v>
      </c>
    </row>
    <row r="2155" spans="1:14">
      <c r="A2155" s="5">
        <v>2155</v>
      </c>
      <c r="B2155" t="str">
        <f t="shared" si="356"/>
        <v>TO</v>
      </c>
      <c r="C2155" t="str">
        <f t="shared" si="357"/>
        <v>Ap</v>
      </c>
      <c r="D2155" t="s">
        <v>3954</v>
      </c>
      <c r="E2155" s="5">
        <v>3</v>
      </c>
      <c r="F2155" t="s">
        <v>605</v>
      </c>
      <c r="G2155" s="4" t="s">
        <v>4034</v>
      </c>
      <c r="H2155" s="306" t="s">
        <v>4035</v>
      </c>
      <c r="K2155" t="s">
        <v>2841</v>
      </c>
      <c r="L2155" t="s">
        <v>669</v>
      </c>
      <c r="M2155" t="s">
        <v>1424</v>
      </c>
    </row>
    <row r="2156" spans="1:14">
      <c r="A2156" s="5">
        <v>2156</v>
      </c>
      <c r="B2156" t="str">
        <f>MID(G2156,11,2)</f>
        <v>TO</v>
      </c>
      <c r="C2156" t="str">
        <f>MID(G2156,14,2)</f>
        <v>KB</v>
      </c>
      <c r="D2156" t="s">
        <v>3954</v>
      </c>
      <c r="E2156" s="5">
        <v>3</v>
      </c>
      <c r="G2156" s="4" t="s">
        <v>4036</v>
      </c>
      <c r="H2156" s="306" t="s">
        <v>4037</v>
      </c>
      <c r="I2156" s="438" t="s">
        <v>4038</v>
      </c>
      <c r="K2156" t="s">
        <v>1434</v>
      </c>
      <c r="L2156" t="s">
        <v>669</v>
      </c>
      <c r="M2156" t="s">
        <v>2333</v>
      </c>
    </row>
    <row r="2157" spans="1:14">
      <c r="A2157" s="5">
        <v>2157</v>
      </c>
      <c r="B2157" t="str">
        <f>MID(G2157,11,2)</f>
        <v>TO</v>
      </c>
      <c r="C2157" t="str">
        <f>MID(G2157,14,2)</f>
        <v>KB</v>
      </c>
      <c r="D2157" t="s">
        <v>3954</v>
      </c>
      <c r="E2157" s="5">
        <v>3</v>
      </c>
      <c r="G2157" s="4" t="s">
        <v>4036</v>
      </c>
      <c r="H2157" s="306" t="s">
        <v>1197</v>
      </c>
      <c r="I2157" s="438" t="s">
        <v>4039</v>
      </c>
      <c r="K2157" t="s">
        <v>659</v>
      </c>
      <c r="L2157" t="s">
        <v>669</v>
      </c>
      <c r="M2157" t="s">
        <v>2333</v>
      </c>
    </row>
    <row r="2158" spans="1:14" ht="36">
      <c r="A2158" s="5">
        <v>2158</v>
      </c>
      <c r="B2158" t="str">
        <f>MID(G2158,11,2)</f>
        <v>TO</v>
      </c>
      <c r="C2158" t="str">
        <f>MID(G2158,14,2)</f>
        <v>KB</v>
      </c>
      <c r="D2158" t="s">
        <v>3954</v>
      </c>
      <c r="E2158" s="5">
        <v>3</v>
      </c>
      <c r="G2158" s="4" t="s">
        <v>4036</v>
      </c>
      <c r="H2158" s="306" t="s">
        <v>4040</v>
      </c>
      <c r="I2158" s="438" t="s">
        <v>4041</v>
      </c>
      <c r="K2158" t="s">
        <v>1434</v>
      </c>
      <c r="L2158" t="s">
        <v>669</v>
      </c>
      <c r="M2158" t="s">
        <v>2333</v>
      </c>
    </row>
    <row r="2159" spans="1:14">
      <c r="A2159" s="5">
        <v>2159</v>
      </c>
      <c r="B2159" t="str">
        <f>MID(G2159,11,2)</f>
        <v>TO</v>
      </c>
      <c r="C2159" t="str">
        <f>MID(G2159,14,2)</f>
        <v>KB</v>
      </c>
      <c r="D2159" t="s">
        <v>3954</v>
      </c>
      <c r="E2159" s="5">
        <v>3</v>
      </c>
      <c r="G2159" s="4" t="s">
        <v>4036</v>
      </c>
      <c r="H2159" s="306" t="s">
        <v>1281</v>
      </c>
      <c r="I2159" s="438" t="s">
        <v>4042</v>
      </c>
      <c r="K2159" t="s">
        <v>659</v>
      </c>
      <c r="L2159" t="s">
        <v>669</v>
      </c>
      <c r="M2159" t="s">
        <v>2333</v>
      </c>
    </row>
    <row r="2160" spans="1:14">
      <c r="A2160" s="5">
        <v>2160</v>
      </c>
      <c r="B2160" t="str">
        <f>MID(G2160,11,2)</f>
        <v>TO</v>
      </c>
      <c r="C2160" t="str">
        <f>MID(G2160,14,2)</f>
        <v>KB</v>
      </c>
      <c r="D2160" t="s">
        <v>3954</v>
      </c>
      <c r="E2160" s="5">
        <v>3</v>
      </c>
      <c r="G2160" s="4" t="s">
        <v>4036</v>
      </c>
      <c r="H2160" s="306" t="s">
        <v>4043</v>
      </c>
      <c r="I2160" s="438" t="s">
        <v>4044</v>
      </c>
      <c r="K2160" t="s">
        <v>659</v>
      </c>
      <c r="L2160" t="s">
        <v>669</v>
      </c>
      <c r="M2160" t="s">
        <v>2333</v>
      </c>
    </row>
    <row r="2161" spans="1:14">
      <c r="A2161" s="5">
        <v>2161</v>
      </c>
      <c r="B2161" t="str">
        <f t="shared" ref="B2161:B2162" si="358">MID(G2161,11,2)</f>
        <v>TO</v>
      </c>
      <c r="C2161" t="str">
        <f t="shared" ref="C2161:C2162" si="359">MID(G2161,14,2)</f>
        <v>KB</v>
      </c>
      <c r="D2161" t="s">
        <v>4019</v>
      </c>
      <c r="E2161" s="5">
        <v>3</v>
      </c>
      <c r="G2161" s="4" t="s">
        <v>4045</v>
      </c>
      <c r="H2161" s="306" t="s">
        <v>4046</v>
      </c>
      <c r="I2161" s="432" t="s">
        <v>3718</v>
      </c>
      <c r="K2161" t="s">
        <v>659</v>
      </c>
      <c r="L2161" t="s">
        <v>669</v>
      </c>
      <c r="M2161" t="s">
        <v>2333</v>
      </c>
    </row>
    <row r="2162" spans="1:14">
      <c r="A2162" s="5">
        <v>2162</v>
      </c>
      <c r="B2162" t="str">
        <f t="shared" si="358"/>
        <v>TO</v>
      </c>
      <c r="C2162" t="str">
        <f t="shared" si="359"/>
        <v>KB</v>
      </c>
      <c r="D2162" t="s">
        <v>4019</v>
      </c>
      <c r="E2162" s="5">
        <v>3</v>
      </c>
      <c r="G2162" s="4" t="s">
        <v>4045</v>
      </c>
      <c r="H2162" s="306" t="s">
        <v>4047</v>
      </c>
      <c r="I2162" s="438" t="s">
        <v>4048</v>
      </c>
      <c r="K2162" t="s">
        <v>1434</v>
      </c>
      <c r="L2162" t="s">
        <v>669</v>
      </c>
      <c r="M2162" t="s">
        <v>2333</v>
      </c>
    </row>
    <row r="2163" spans="1:14">
      <c r="A2163" s="5">
        <v>2163</v>
      </c>
      <c r="B2163" t="str">
        <f t="shared" ref="B2163:B2169" si="360">MID(G2163,11,2)</f>
        <v>TO</v>
      </c>
      <c r="C2163" t="str">
        <f t="shared" ref="C2163:C2169" si="361">MID(G2163,14,2)</f>
        <v>KB</v>
      </c>
      <c r="D2163" t="s">
        <v>4019</v>
      </c>
      <c r="E2163" s="5">
        <v>3</v>
      </c>
      <c r="G2163" s="4" t="s">
        <v>4045</v>
      </c>
      <c r="H2163" s="306" t="s">
        <v>4049</v>
      </c>
      <c r="I2163" s="438" t="s">
        <v>2750</v>
      </c>
      <c r="K2163" t="s">
        <v>659</v>
      </c>
      <c r="L2163" t="s">
        <v>669</v>
      </c>
      <c r="M2163" t="s">
        <v>2492</v>
      </c>
    </row>
    <row r="2164" spans="1:14">
      <c r="A2164" s="5">
        <v>2164</v>
      </c>
      <c r="B2164" t="str">
        <f t="shared" si="360"/>
        <v>TO</v>
      </c>
      <c r="C2164" t="str">
        <f t="shared" si="361"/>
        <v>KB</v>
      </c>
      <c r="D2164" t="s">
        <v>4019</v>
      </c>
      <c r="E2164" s="5">
        <v>3</v>
      </c>
      <c r="G2164" s="4" t="s">
        <v>4050</v>
      </c>
      <c r="H2164" s="306" t="s">
        <v>4051</v>
      </c>
      <c r="I2164" s="438" t="s">
        <v>4052</v>
      </c>
      <c r="K2164" t="s">
        <v>1434</v>
      </c>
      <c r="L2164" t="s">
        <v>669</v>
      </c>
      <c r="M2164" t="s">
        <v>2333</v>
      </c>
    </row>
    <row r="2165" spans="1:14">
      <c r="A2165" s="5">
        <v>2165</v>
      </c>
      <c r="B2165" t="str">
        <f t="shared" si="360"/>
        <v>TO</v>
      </c>
      <c r="C2165" t="str">
        <f t="shared" si="361"/>
        <v>KB</v>
      </c>
      <c r="D2165" t="s">
        <v>4019</v>
      </c>
      <c r="E2165" s="5">
        <v>3</v>
      </c>
      <c r="G2165" s="4" t="s">
        <v>4053</v>
      </c>
      <c r="H2165" s="306" t="s">
        <v>4054</v>
      </c>
      <c r="I2165" s="438" t="s">
        <v>4055</v>
      </c>
      <c r="K2165" t="s">
        <v>1434</v>
      </c>
      <c r="L2165" t="s">
        <v>669</v>
      </c>
      <c r="M2165" t="s">
        <v>2333</v>
      </c>
    </row>
    <row r="2166" spans="1:14">
      <c r="A2166" s="5">
        <v>2166</v>
      </c>
      <c r="B2166" t="str">
        <f t="shared" si="360"/>
        <v>TO</v>
      </c>
      <c r="C2166" t="str">
        <f t="shared" si="361"/>
        <v>KB</v>
      </c>
      <c r="D2166" t="s">
        <v>4019</v>
      </c>
      <c r="E2166" s="5">
        <v>3</v>
      </c>
      <c r="G2166" s="4" t="s">
        <v>4053</v>
      </c>
      <c r="H2166" s="306" t="s">
        <v>4056</v>
      </c>
      <c r="I2166" s="432" t="s">
        <v>4057</v>
      </c>
      <c r="K2166" t="s">
        <v>1434</v>
      </c>
      <c r="L2166" t="s">
        <v>669</v>
      </c>
      <c r="M2166" t="s">
        <v>2333</v>
      </c>
    </row>
    <row r="2167" spans="1:14">
      <c r="A2167" s="5">
        <v>2167</v>
      </c>
      <c r="B2167" t="str">
        <f t="shared" si="360"/>
        <v>TO</v>
      </c>
      <c r="C2167" t="str">
        <f t="shared" si="361"/>
        <v>KB</v>
      </c>
      <c r="D2167" t="s">
        <v>4019</v>
      </c>
      <c r="E2167" s="5">
        <v>3</v>
      </c>
      <c r="G2167" s="4" t="s">
        <v>4058</v>
      </c>
      <c r="H2167" s="306" t="s">
        <v>2736</v>
      </c>
      <c r="I2167" s="432" t="s">
        <v>4059</v>
      </c>
      <c r="K2167" t="s">
        <v>659</v>
      </c>
      <c r="L2167" t="s">
        <v>669</v>
      </c>
      <c r="M2167" t="s">
        <v>2333</v>
      </c>
    </row>
    <row r="2168" spans="1:14">
      <c r="A2168" s="5">
        <v>2168</v>
      </c>
      <c r="B2168" t="str">
        <f t="shared" si="360"/>
        <v>TO</v>
      </c>
      <c r="C2168" t="str">
        <f t="shared" si="361"/>
        <v>KB</v>
      </c>
      <c r="D2168" t="s">
        <v>4019</v>
      </c>
      <c r="E2168" s="5">
        <v>3</v>
      </c>
      <c r="G2168" s="4" t="s">
        <v>4060</v>
      </c>
      <c r="H2168" s="306" t="s">
        <v>4061</v>
      </c>
      <c r="I2168" s="432" t="s">
        <v>4062</v>
      </c>
      <c r="K2168" t="s">
        <v>1434</v>
      </c>
      <c r="L2168" t="s">
        <v>669</v>
      </c>
      <c r="M2168" t="s">
        <v>2333</v>
      </c>
    </row>
    <row r="2169" spans="1:14">
      <c r="A2169" s="5">
        <v>2169</v>
      </c>
      <c r="B2169" t="str">
        <f t="shared" si="360"/>
        <v>TO</v>
      </c>
      <c r="C2169" t="str">
        <f t="shared" si="361"/>
        <v>KB</v>
      </c>
      <c r="D2169" t="s">
        <v>4019</v>
      </c>
      <c r="E2169" s="5">
        <v>3</v>
      </c>
      <c r="G2169" s="4" t="s">
        <v>4060</v>
      </c>
      <c r="H2169" s="306" t="s">
        <v>4063</v>
      </c>
      <c r="I2169" s="438" t="s">
        <v>4064</v>
      </c>
      <c r="K2169" t="s">
        <v>1434</v>
      </c>
      <c r="L2169" t="s">
        <v>669</v>
      </c>
      <c r="M2169" t="s">
        <v>2333</v>
      </c>
    </row>
    <row r="2170" spans="1:14" ht="36">
      <c r="A2170" s="5">
        <v>2170</v>
      </c>
      <c r="B2170" t="str">
        <f t="shared" ref="B2170:B2173" si="362">MID(G2170,11,2)</f>
        <v>TO</v>
      </c>
      <c r="C2170" t="str">
        <f t="shared" ref="C2170:C2173" si="363">MID(G2170,14,2)</f>
        <v>KB</v>
      </c>
      <c r="D2170" t="s">
        <v>4019</v>
      </c>
      <c r="E2170" s="5">
        <v>3</v>
      </c>
      <c r="G2170" s="4" t="s">
        <v>4065</v>
      </c>
      <c r="H2170" s="306" t="s">
        <v>4066</v>
      </c>
      <c r="I2170" s="432" t="s">
        <v>4067</v>
      </c>
      <c r="K2170" t="s">
        <v>659</v>
      </c>
      <c r="L2170" t="s">
        <v>669</v>
      </c>
      <c r="M2170" t="s">
        <v>2333</v>
      </c>
    </row>
    <row r="2171" spans="1:14">
      <c r="A2171" s="5">
        <v>2171</v>
      </c>
      <c r="B2171" t="str">
        <f t="shared" si="362"/>
        <v>TO</v>
      </c>
      <c r="C2171" t="str">
        <f t="shared" si="363"/>
        <v>KB</v>
      </c>
      <c r="D2171" t="s">
        <v>4019</v>
      </c>
      <c r="E2171" s="5">
        <v>3</v>
      </c>
      <c r="G2171" s="4" t="s">
        <v>4065</v>
      </c>
      <c r="H2171" s="306" t="s">
        <v>4068</v>
      </c>
      <c r="I2171" s="432" t="s">
        <v>4069</v>
      </c>
      <c r="K2171" t="s">
        <v>659</v>
      </c>
      <c r="L2171" t="s">
        <v>669</v>
      </c>
      <c r="M2171" t="s">
        <v>2333</v>
      </c>
      <c r="N2171" t="s">
        <v>4070</v>
      </c>
    </row>
    <row r="2172" spans="1:14">
      <c r="A2172" s="5">
        <v>2172</v>
      </c>
      <c r="B2172" t="str">
        <f t="shared" si="362"/>
        <v>TO</v>
      </c>
      <c r="C2172" t="str">
        <f t="shared" si="363"/>
        <v>KB</v>
      </c>
      <c r="D2172" t="s">
        <v>4019</v>
      </c>
      <c r="E2172" s="5">
        <v>3</v>
      </c>
      <c r="G2172" s="4" t="s">
        <v>4065</v>
      </c>
      <c r="H2172" s="306" t="s">
        <v>4071</v>
      </c>
      <c r="I2172" s="432" t="s">
        <v>4072</v>
      </c>
      <c r="K2172" t="s">
        <v>1434</v>
      </c>
      <c r="L2172" t="s">
        <v>669</v>
      </c>
      <c r="M2172" t="s">
        <v>2333</v>
      </c>
    </row>
    <row r="2173" spans="1:14">
      <c r="A2173" s="5">
        <v>2173</v>
      </c>
      <c r="B2173" t="str">
        <f t="shared" si="362"/>
        <v>TO</v>
      </c>
      <c r="C2173" t="str">
        <f t="shared" si="363"/>
        <v>KB</v>
      </c>
      <c r="D2173" t="s">
        <v>4019</v>
      </c>
      <c r="E2173" s="5">
        <v>3</v>
      </c>
      <c r="G2173" s="4" t="s">
        <v>4065</v>
      </c>
      <c r="H2173" s="306" t="s">
        <v>3906</v>
      </c>
      <c r="I2173" s="432" t="s">
        <v>3521</v>
      </c>
      <c r="K2173" t="s">
        <v>659</v>
      </c>
      <c r="L2173" t="s">
        <v>669</v>
      </c>
      <c r="M2173" t="s">
        <v>2333</v>
      </c>
    </row>
    <row r="2174" spans="1:14">
      <c r="A2174" s="5">
        <v>2174</v>
      </c>
      <c r="B2174" t="str">
        <f>MID(G2174,11,2)</f>
        <v>TO</v>
      </c>
      <c r="C2174" t="str">
        <f>MID(G2174,14,2)</f>
        <v>KB</v>
      </c>
      <c r="D2174" t="s">
        <v>4019</v>
      </c>
      <c r="E2174" s="5">
        <v>3</v>
      </c>
      <c r="G2174" s="4" t="s">
        <v>4065</v>
      </c>
      <c r="H2174" s="306" t="s">
        <v>4073</v>
      </c>
      <c r="I2174" s="432" t="s">
        <v>4074</v>
      </c>
      <c r="K2174" t="s">
        <v>1434</v>
      </c>
      <c r="L2174" t="s">
        <v>669</v>
      </c>
      <c r="M2174" t="s">
        <v>2333</v>
      </c>
    </row>
    <row r="2175" spans="1:14">
      <c r="A2175" s="5">
        <v>2175</v>
      </c>
      <c r="B2175" t="str">
        <f>MID(G2175,11,2)</f>
        <v>TO</v>
      </c>
      <c r="C2175" t="str">
        <f>MID(G2175,14,2)</f>
        <v>Ed</v>
      </c>
      <c r="D2175" t="s">
        <v>4019</v>
      </c>
      <c r="E2175" s="5">
        <v>3</v>
      </c>
      <c r="F2175" t="s">
        <v>605</v>
      </c>
      <c r="G2175" s="4" t="s">
        <v>4075</v>
      </c>
      <c r="H2175" s="306" t="s">
        <v>4076</v>
      </c>
      <c r="K2175" t="s">
        <v>2841</v>
      </c>
      <c r="L2175" t="s">
        <v>669</v>
      </c>
      <c r="M2175" t="s">
        <v>1424</v>
      </c>
    </row>
    <row r="2176" spans="1:14" ht="36">
      <c r="A2176" s="5">
        <v>2176</v>
      </c>
      <c r="B2176" t="str">
        <f t="shared" ref="B2176:B2198" si="364">MID(G2176,11,2)</f>
        <v>TO</v>
      </c>
      <c r="C2176" t="str">
        <f t="shared" ref="C2176:C2195" si="365">MID(G2176,14,2)</f>
        <v>KB</v>
      </c>
      <c r="D2176" t="s">
        <v>4019</v>
      </c>
      <c r="E2176" s="5">
        <v>3</v>
      </c>
      <c r="F2176" t="s">
        <v>3843</v>
      </c>
      <c r="G2176" s="4" t="s">
        <v>4077</v>
      </c>
      <c r="H2176" s="306" t="s">
        <v>582</v>
      </c>
      <c r="I2176" s="432" t="s">
        <v>4078</v>
      </c>
      <c r="K2176" t="s">
        <v>1434</v>
      </c>
      <c r="L2176" t="s">
        <v>669</v>
      </c>
      <c r="M2176" t="s">
        <v>2333</v>
      </c>
    </row>
    <row r="2177" spans="1:14">
      <c r="A2177" s="5">
        <v>2177</v>
      </c>
      <c r="B2177" t="str">
        <f>MID(G2177,11,2)</f>
        <v>TO</v>
      </c>
      <c r="C2177" t="str">
        <f>MID(G2177,14,2)</f>
        <v>KB</v>
      </c>
      <c r="D2177" t="s">
        <v>4019</v>
      </c>
      <c r="E2177" s="5">
        <v>1</v>
      </c>
      <c r="G2177" s="4" t="s">
        <v>4079</v>
      </c>
      <c r="H2177" s="306" t="s">
        <v>584</v>
      </c>
      <c r="I2177" s="432" t="s">
        <v>4080</v>
      </c>
      <c r="K2177" t="s">
        <v>1434</v>
      </c>
      <c r="L2177" t="s">
        <v>669</v>
      </c>
      <c r="M2177" t="s">
        <v>2333</v>
      </c>
    </row>
    <row r="2178" spans="1:14">
      <c r="A2178" s="5">
        <v>2178</v>
      </c>
      <c r="B2178" t="str">
        <f t="shared" si="364"/>
        <v>TO</v>
      </c>
      <c r="C2178" t="str">
        <f t="shared" si="365"/>
        <v>KB</v>
      </c>
      <c r="D2178" t="s">
        <v>4019</v>
      </c>
      <c r="E2178" s="5">
        <v>2</v>
      </c>
      <c r="G2178" s="4" t="s">
        <v>4081</v>
      </c>
      <c r="H2178" s="306" t="s">
        <v>4082</v>
      </c>
      <c r="I2178" s="432" t="s">
        <v>3522</v>
      </c>
      <c r="K2178" t="s">
        <v>659</v>
      </c>
      <c r="L2178" t="s">
        <v>669</v>
      </c>
      <c r="M2178" t="s">
        <v>2333</v>
      </c>
    </row>
    <row r="2179" spans="1:14">
      <c r="A2179" s="5">
        <v>2179</v>
      </c>
      <c r="B2179" t="str">
        <f t="shared" si="364"/>
        <v>TO</v>
      </c>
      <c r="C2179" t="str">
        <f t="shared" si="365"/>
        <v>KB</v>
      </c>
      <c r="D2179" t="s">
        <v>4019</v>
      </c>
      <c r="E2179" s="5">
        <v>2</v>
      </c>
      <c r="G2179" s="4" t="s">
        <v>4081</v>
      </c>
      <c r="H2179" s="306" t="s">
        <v>4083</v>
      </c>
      <c r="I2179" s="432" t="s">
        <v>4084</v>
      </c>
      <c r="K2179" t="s">
        <v>659</v>
      </c>
      <c r="L2179" t="s">
        <v>669</v>
      </c>
      <c r="M2179" t="s">
        <v>2333</v>
      </c>
    </row>
    <row r="2180" spans="1:14">
      <c r="A2180" s="5">
        <v>2180</v>
      </c>
      <c r="B2180" t="str">
        <f t="shared" si="364"/>
        <v>TO</v>
      </c>
      <c r="C2180" t="str">
        <f t="shared" si="365"/>
        <v>KB</v>
      </c>
      <c r="D2180" t="s">
        <v>4019</v>
      </c>
      <c r="E2180" s="5">
        <v>2</v>
      </c>
      <c r="G2180" s="4" t="s">
        <v>4081</v>
      </c>
      <c r="H2180" s="306" t="s">
        <v>4085</v>
      </c>
      <c r="I2180" s="432" t="s">
        <v>3821</v>
      </c>
      <c r="K2180" t="s">
        <v>659</v>
      </c>
      <c r="L2180" t="s">
        <v>669</v>
      </c>
      <c r="M2180" t="s">
        <v>2333</v>
      </c>
    </row>
    <row r="2181" spans="1:14">
      <c r="A2181" s="5">
        <v>2181</v>
      </c>
      <c r="B2181" t="str">
        <f t="shared" si="364"/>
        <v>TO</v>
      </c>
      <c r="C2181" t="str">
        <f t="shared" si="365"/>
        <v>KB</v>
      </c>
      <c r="D2181" t="s">
        <v>4019</v>
      </c>
      <c r="E2181" s="5">
        <v>2</v>
      </c>
      <c r="G2181" s="4" t="s">
        <v>4081</v>
      </c>
      <c r="H2181" s="306" t="s">
        <v>4086</v>
      </c>
      <c r="I2181" s="432" t="s">
        <v>4087</v>
      </c>
      <c r="K2181" t="s">
        <v>1434</v>
      </c>
      <c r="L2181" t="s">
        <v>669</v>
      </c>
      <c r="M2181" t="s">
        <v>2333</v>
      </c>
    </row>
    <row r="2182" spans="1:14" ht="36.6" customHeight="1">
      <c r="A2182" s="5">
        <v>2182</v>
      </c>
      <c r="B2182" t="str">
        <f t="shared" si="364"/>
        <v>TO</v>
      </c>
      <c r="C2182" t="str">
        <f t="shared" si="365"/>
        <v>KB</v>
      </c>
      <c r="D2182" t="s">
        <v>4019</v>
      </c>
      <c r="E2182" s="5">
        <v>2</v>
      </c>
      <c r="F2182" t="s">
        <v>3843</v>
      </c>
      <c r="G2182" s="4" t="s">
        <v>4088</v>
      </c>
      <c r="H2182" s="306" t="s">
        <v>4089</v>
      </c>
      <c r="I2182" s="432" t="s">
        <v>4090</v>
      </c>
      <c r="K2182" t="s">
        <v>659</v>
      </c>
      <c r="L2182" t="s">
        <v>669</v>
      </c>
      <c r="M2182" t="s">
        <v>2333</v>
      </c>
      <c r="N2182" t="s">
        <v>4091</v>
      </c>
    </row>
    <row r="2183" spans="1:14">
      <c r="A2183" s="5">
        <v>2183</v>
      </c>
      <c r="B2183" t="str">
        <f t="shared" si="364"/>
        <v>TO</v>
      </c>
      <c r="C2183" t="str">
        <f t="shared" si="365"/>
        <v>KB</v>
      </c>
      <c r="D2183" t="s">
        <v>4019</v>
      </c>
      <c r="E2183" s="5">
        <v>2</v>
      </c>
      <c r="G2183" s="4" t="s">
        <v>4088</v>
      </c>
      <c r="H2183" s="306" t="s">
        <v>1525</v>
      </c>
      <c r="I2183" s="432" t="s">
        <v>3067</v>
      </c>
      <c r="K2183" t="s">
        <v>659</v>
      </c>
      <c r="L2183" t="s">
        <v>669</v>
      </c>
      <c r="M2183" t="s">
        <v>2333</v>
      </c>
    </row>
    <row r="2184" spans="1:14">
      <c r="A2184" s="5">
        <v>2184</v>
      </c>
      <c r="B2184" t="str">
        <f t="shared" si="364"/>
        <v>TO</v>
      </c>
      <c r="C2184" t="str">
        <f t="shared" si="365"/>
        <v>KB</v>
      </c>
      <c r="D2184" t="s">
        <v>4019</v>
      </c>
      <c r="E2184" s="5">
        <v>2</v>
      </c>
      <c r="G2184" s="4" t="s">
        <v>4088</v>
      </c>
      <c r="H2184" s="306" t="s">
        <v>297</v>
      </c>
      <c r="I2184" s="432" t="s">
        <v>2829</v>
      </c>
      <c r="K2184" t="s">
        <v>659</v>
      </c>
      <c r="L2184" t="s">
        <v>669</v>
      </c>
      <c r="M2184" t="s">
        <v>2333</v>
      </c>
      <c r="N2184" t="s">
        <v>4092</v>
      </c>
    </row>
    <row r="2185" spans="1:14">
      <c r="A2185" s="5">
        <v>2185</v>
      </c>
      <c r="B2185" t="str">
        <f t="shared" si="364"/>
        <v>TO</v>
      </c>
      <c r="C2185" t="str">
        <f t="shared" si="365"/>
        <v>KB</v>
      </c>
      <c r="D2185" t="s">
        <v>4019</v>
      </c>
      <c r="E2185" s="5">
        <v>2</v>
      </c>
      <c r="G2185" s="4" t="s">
        <v>4093</v>
      </c>
      <c r="H2185" s="306" t="s">
        <v>4094</v>
      </c>
      <c r="I2185" s="432" t="s">
        <v>4095</v>
      </c>
      <c r="K2185" t="s">
        <v>1434</v>
      </c>
      <c r="L2185" t="s">
        <v>669</v>
      </c>
      <c r="M2185" t="s">
        <v>2333</v>
      </c>
    </row>
    <row r="2186" spans="1:14">
      <c r="A2186" s="5">
        <v>2186</v>
      </c>
      <c r="B2186" t="str">
        <f t="shared" si="364"/>
        <v>TO</v>
      </c>
      <c r="C2186" t="str">
        <f t="shared" si="365"/>
        <v>KB</v>
      </c>
      <c r="D2186" t="s">
        <v>4019</v>
      </c>
      <c r="E2186" s="5">
        <v>2</v>
      </c>
      <c r="G2186" s="4" t="s">
        <v>4093</v>
      </c>
      <c r="H2186" s="306" t="s">
        <v>4096</v>
      </c>
      <c r="I2186" s="432" t="s">
        <v>4097</v>
      </c>
      <c r="K2186" t="s">
        <v>1434</v>
      </c>
      <c r="L2186" t="s">
        <v>669</v>
      </c>
      <c r="M2186" t="s">
        <v>2333</v>
      </c>
    </row>
    <row r="2187" spans="1:14">
      <c r="A2187" s="5">
        <v>2187</v>
      </c>
      <c r="B2187" t="str">
        <f t="shared" si="364"/>
        <v>TO</v>
      </c>
      <c r="C2187" t="str">
        <f t="shared" si="365"/>
        <v>KB</v>
      </c>
      <c r="D2187" t="s">
        <v>4019</v>
      </c>
      <c r="E2187" s="5">
        <v>2</v>
      </c>
      <c r="G2187" s="4" t="s">
        <v>4093</v>
      </c>
      <c r="H2187" s="306" t="s">
        <v>4098</v>
      </c>
      <c r="I2187" s="432" t="s">
        <v>3846</v>
      </c>
      <c r="K2187" t="s">
        <v>659</v>
      </c>
      <c r="L2187" t="s">
        <v>669</v>
      </c>
      <c r="M2187" t="s">
        <v>2333</v>
      </c>
    </row>
    <row r="2188" spans="1:14">
      <c r="A2188" s="5">
        <v>2188</v>
      </c>
      <c r="B2188" t="str">
        <f t="shared" si="364"/>
        <v>TO</v>
      </c>
      <c r="C2188" t="str">
        <f t="shared" si="365"/>
        <v>KB</v>
      </c>
      <c r="D2188" t="s">
        <v>4019</v>
      </c>
      <c r="E2188" s="5">
        <v>2</v>
      </c>
      <c r="G2188" s="4" t="s">
        <v>4099</v>
      </c>
      <c r="H2188" s="306" t="s">
        <v>510</v>
      </c>
      <c r="I2188" s="432" t="s">
        <v>3705</v>
      </c>
      <c r="K2188" t="s">
        <v>659</v>
      </c>
      <c r="L2188" t="s">
        <v>669</v>
      </c>
      <c r="M2188" t="s">
        <v>2333</v>
      </c>
      <c r="N2188" t="s">
        <v>1479</v>
      </c>
    </row>
    <row r="2189" spans="1:14">
      <c r="A2189" s="5">
        <v>2189</v>
      </c>
      <c r="B2189" t="str">
        <f t="shared" si="364"/>
        <v>TO</v>
      </c>
      <c r="C2189" t="str">
        <f t="shared" si="365"/>
        <v>KB</v>
      </c>
      <c r="D2189" t="s">
        <v>4019</v>
      </c>
      <c r="E2189" s="5">
        <v>2</v>
      </c>
      <c r="G2189" s="4" t="s">
        <v>4099</v>
      </c>
      <c r="H2189" s="306" t="s">
        <v>4100</v>
      </c>
      <c r="I2189" s="432" t="s">
        <v>3636</v>
      </c>
      <c r="K2189" t="s">
        <v>659</v>
      </c>
      <c r="L2189" t="s">
        <v>669</v>
      </c>
      <c r="M2189" t="s">
        <v>2392</v>
      </c>
      <c r="N2189" t="s">
        <v>4101</v>
      </c>
    </row>
    <row r="2190" spans="1:14">
      <c r="A2190" s="5">
        <v>2190</v>
      </c>
      <c r="B2190" t="str">
        <f t="shared" si="364"/>
        <v>TO</v>
      </c>
      <c r="C2190" t="str">
        <f t="shared" si="365"/>
        <v>KB</v>
      </c>
      <c r="D2190" t="s">
        <v>4019</v>
      </c>
      <c r="E2190" s="5">
        <v>2</v>
      </c>
      <c r="G2190" s="4" t="s">
        <v>4099</v>
      </c>
      <c r="H2190" s="306" t="s">
        <v>4102</v>
      </c>
      <c r="I2190" s="432" t="s">
        <v>4103</v>
      </c>
      <c r="K2190" t="s">
        <v>659</v>
      </c>
      <c r="L2190" t="s">
        <v>669</v>
      </c>
      <c r="M2190" t="s">
        <v>2392</v>
      </c>
      <c r="N2190" t="s">
        <v>4101</v>
      </c>
    </row>
    <row r="2191" spans="1:14">
      <c r="A2191" s="5">
        <v>2191</v>
      </c>
      <c r="B2191" t="str">
        <f t="shared" si="364"/>
        <v>TO</v>
      </c>
      <c r="C2191" t="str">
        <f t="shared" si="365"/>
        <v>KB</v>
      </c>
      <c r="D2191" t="s">
        <v>4019</v>
      </c>
      <c r="E2191" s="5">
        <v>2</v>
      </c>
      <c r="G2191" s="4" t="s">
        <v>4099</v>
      </c>
      <c r="H2191" s="306" t="s">
        <v>4104</v>
      </c>
      <c r="I2191" s="432" t="s">
        <v>4105</v>
      </c>
      <c r="K2191" t="s">
        <v>1434</v>
      </c>
      <c r="L2191" t="s">
        <v>669</v>
      </c>
      <c r="M2191" t="s">
        <v>2333</v>
      </c>
      <c r="N2191" t="s">
        <v>1479</v>
      </c>
    </row>
    <row r="2192" spans="1:14">
      <c r="A2192" s="5">
        <v>2192</v>
      </c>
      <c r="B2192" t="str">
        <f t="shared" si="364"/>
        <v>TO</v>
      </c>
      <c r="C2192" t="str">
        <f t="shared" si="365"/>
        <v>KB</v>
      </c>
      <c r="D2192" t="s">
        <v>4019</v>
      </c>
      <c r="E2192" s="5">
        <v>2</v>
      </c>
      <c r="G2192" s="4" t="s">
        <v>4099</v>
      </c>
      <c r="H2192" s="306" t="s">
        <v>4106</v>
      </c>
      <c r="I2192" s="432" t="s">
        <v>2831</v>
      </c>
      <c r="K2192" t="s">
        <v>659</v>
      </c>
      <c r="L2192" t="s">
        <v>669</v>
      </c>
      <c r="M2192" t="s">
        <v>2333</v>
      </c>
      <c r="N2192" t="s">
        <v>1479</v>
      </c>
    </row>
    <row r="2193" spans="1:14">
      <c r="A2193" s="5">
        <v>2193</v>
      </c>
      <c r="B2193" t="str">
        <f>MID(G2193,11,2)</f>
        <v>TO</v>
      </c>
      <c r="C2193" t="str">
        <f>MID(G2193,14,2)</f>
        <v>KB</v>
      </c>
      <c r="D2193" t="s">
        <v>4019</v>
      </c>
      <c r="E2193" s="5">
        <v>2</v>
      </c>
      <c r="G2193" s="4" t="s">
        <v>4099</v>
      </c>
      <c r="H2193" s="306" t="s">
        <v>623</v>
      </c>
      <c r="I2193" s="432" t="s">
        <v>2671</v>
      </c>
      <c r="K2193" t="s">
        <v>659</v>
      </c>
      <c r="L2193" t="s">
        <v>669</v>
      </c>
      <c r="M2193" t="s">
        <v>2333</v>
      </c>
      <c r="N2193" t="s">
        <v>1479</v>
      </c>
    </row>
    <row r="2194" spans="1:14">
      <c r="A2194" s="5">
        <v>2194</v>
      </c>
      <c r="B2194" t="str">
        <f t="shared" si="364"/>
        <v>TO</v>
      </c>
      <c r="C2194" t="str">
        <f t="shared" si="365"/>
        <v>KB</v>
      </c>
      <c r="D2194" t="s">
        <v>4019</v>
      </c>
      <c r="E2194" s="5">
        <v>1</v>
      </c>
      <c r="G2194" s="4" t="s">
        <v>4107</v>
      </c>
      <c r="H2194" s="306" t="s">
        <v>588</v>
      </c>
      <c r="I2194" s="432" t="s">
        <v>4108</v>
      </c>
      <c r="K2194" t="s">
        <v>659</v>
      </c>
      <c r="L2194" t="s">
        <v>669</v>
      </c>
      <c r="M2194" t="s">
        <v>2333</v>
      </c>
      <c r="N2194" t="s">
        <v>4109</v>
      </c>
    </row>
    <row r="2195" spans="1:14" ht="36">
      <c r="A2195" s="5">
        <v>2195</v>
      </c>
      <c r="B2195" t="str">
        <f t="shared" si="364"/>
        <v>TO</v>
      </c>
      <c r="C2195" t="str">
        <f t="shared" si="365"/>
        <v>KB</v>
      </c>
      <c r="D2195" t="s">
        <v>4019</v>
      </c>
      <c r="E2195" s="5">
        <v>2</v>
      </c>
      <c r="G2195" s="4" t="s">
        <v>4110</v>
      </c>
      <c r="H2195" t="s">
        <v>589</v>
      </c>
      <c r="I2195" s="432" t="s">
        <v>4111</v>
      </c>
      <c r="K2195" t="s">
        <v>1434</v>
      </c>
      <c r="L2195" t="s">
        <v>669</v>
      </c>
      <c r="M2195" t="s">
        <v>2333</v>
      </c>
    </row>
    <row r="2196" spans="1:14">
      <c r="A2196" s="5">
        <v>2196</v>
      </c>
      <c r="B2196" t="str">
        <f t="shared" ref="B2196" si="366">MID(G2196,11,2)</f>
        <v>TO</v>
      </c>
      <c r="C2196" t="str">
        <f t="shared" ref="C2196:C2226" si="367">MID(G2196,14,2)</f>
        <v>KB</v>
      </c>
      <c r="D2196" t="s">
        <v>4112</v>
      </c>
      <c r="E2196" s="5">
        <v>2</v>
      </c>
      <c r="G2196" s="4" t="s">
        <v>4113</v>
      </c>
      <c r="H2196" s="306" t="s">
        <v>590</v>
      </c>
      <c r="I2196" s="432" t="s">
        <v>4114</v>
      </c>
      <c r="K2196" t="s">
        <v>1434</v>
      </c>
      <c r="L2196" t="s">
        <v>669</v>
      </c>
      <c r="M2196" t="s">
        <v>2333</v>
      </c>
      <c r="N2196" t="s">
        <v>1479</v>
      </c>
    </row>
    <row r="2197" spans="1:14">
      <c r="A2197" s="5">
        <v>2197</v>
      </c>
      <c r="B2197" t="str">
        <f t="shared" ref="B2197" si="368">MID(G2197,11,2)</f>
        <v>TO</v>
      </c>
      <c r="C2197" t="str">
        <f t="shared" si="367"/>
        <v>KB</v>
      </c>
      <c r="D2197" t="s">
        <v>4112</v>
      </c>
      <c r="E2197" s="5">
        <v>2</v>
      </c>
      <c r="F2197" t="s">
        <v>3843</v>
      </c>
      <c r="G2197" s="4" t="s">
        <v>4115</v>
      </c>
      <c r="H2197" t="s">
        <v>591</v>
      </c>
      <c r="I2197" s="432" t="s">
        <v>4116</v>
      </c>
      <c r="K2197" t="s">
        <v>1434</v>
      </c>
      <c r="L2197" t="s">
        <v>669</v>
      </c>
      <c r="M2197" t="s">
        <v>2333</v>
      </c>
    </row>
    <row r="2198" spans="1:14" ht="18.600000000000001">
      <c r="A2198" s="5">
        <v>2198</v>
      </c>
      <c r="B2198" t="str">
        <f t="shared" si="364"/>
        <v>TO</v>
      </c>
      <c r="C2198" t="str">
        <f t="shared" si="367"/>
        <v>KB</v>
      </c>
      <c r="D2198" t="s">
        <v>4019</v>
      </c>
      <c r="E2198" s="5">
        <v>3</v>
      </c>
      <c r="G2198" s="4" t="s">
        <v>4117</v>
      </c>
      <c r="H2198" s="345" t="s">
        <v>3860</v>
      </c>
      <c r="I2198" s="432" t="s">
        <v>2948</v>
      </c>
      <c r="K2198" t="s">
        <v>659</v>
      </c>
      <c r="L2198" t="s">
        <v>669</v>
      </c>
      <c r="M2198" t="s">
        <v>2333</v>
      </c>
    </row>
    <row r="2199" spans="1:14" ht="18.600000000000001">
      <c r="A2199" s="5">
        <v>2199</v>
      </c>
      <c r="B2199" t="str">
        <f t="shared" ref="B2199:B2235" si="369">MID(G2199,11,2)</f>
        <v>TO</v>
      </c>
      <c r="C2199" t="str">
        <f t="shared" si="367"/>
        <v>KB</v>
      </c>
      <c r="D2199" t="s">
        <v>4019</v>
      </c>
      <c r="E2199" s="5">
        <v>3</v>
      </c>
      <c r="G2199" s="4" t="s">
        <v>4118</v>
      </c>
      <c r="H2199" s="345" t="s">
        <v>4119</v>
      </c>
      <c r="I2199" s="432" t="s">
        <v>2583</v>
      </c>
      <c r="K2199" t="s">
        <v>659</v>
      </c>
      <c r="L2199" t="s">
        <v>669</v>
      </c>
      <c r="M2199" t="s">
        <v>2333</v>
      </c>
    </row>
    <row r="2200" spans="1:14" ht="18.600000000000001">
      <c r="A2200" s="5">
        <v>2200</v>
      </c>
      <c r="B2200" t="str">
        <f t="shared" si="369"/>
        <v>TO</v>
      </c>
      <c r="C2200" t="str">
        <f t="shared" si="367"/>
        <v>KB</v>
      </c>
      <c r="D2200" t="s">
        <v>4019</v>
      </c>
      <c r="E2200" s="5">
        <v>3</v>
      </c>
      <c r="G2200" s="4" t="s">
        <v>4118</v>
      </c>
      <c r="H2200" s="345" t="s">
        <v>1483</v>
      </c>
      <c r="I2200" s="432" t="s">
        <v>2288</v>
      </c>
      <c r="K2200" t="s">
        <v>659</v>
      </c>
      <c r="L2200" t="s">
        <v>669</v>
      </c>
      <c r="M2200" t="s">
        <v>2333</v>
      </c>
    </row>
    <row r="2201" spans="1:14" ht="18.600000000000001">
      <c r="A2201" s="5">
        <v>2201</v>
      </c>
      <c r="B2201" t="str">
        <f t="shared" si="369"/>
        <v>TO</v>
      </c>
      <c r="C2201" t="str">
        <f t="shared" si="367"/>
        <v>KB</v>
      </c>
      <c r="D2201" t="s">
        <v>4019</v>
      </c>
      <c r="E2201" s="5">
        <v>3</v>
      </c>
      <c r="G2201" s="4" t="s">
        <v>4118</v>
      </c>
      <c r="H2201" s="345" t="s">
        <v>4120</v>
      </c>
      <c r="I2201" s="432" t="s">
        <v>4121</v>
      </c>
      <c r="K2201" t="s">
        <v>1434</v>
      </c>
      <c r="L2201" t="s">
        <v>669</v>
      </c>
      <c r="M2201" t="s">
        <v>2333</v>
      </c>
    </row>
    <row r="2202" spans="1:14" ht="36">
      <c r="A2202" s="5">
        <v>2202</v>
      </c>
      <c r="B2202" t="str">
        <f t="shared" si="369"/>
        <v>TO</v>
      </c>
      <c r="C2202" t="str">
        <f t="shared" si="367"/>
        <v>KB</v>
      </c>
      <c r="D2202" t="s">
        <v>4019</v>
      </c>
      <c r="E2202" s="5">
        <v>3</v>
      </c>
      <c r="G2202" s="4" t="s">
        <v>4118</v>
      </c>
      <c r="H2202" s="345" t="s">
        <v>4122</v>
      </c>
      <c r="I2202" s="432" t="s">
        <v>4123</v>
      </c>
      <c r="K2202" t="s">
        <v>659</v>
      </c>
      <c r="L2202" t="s">
        <v>669</v>
      </c>
      <c r="M2202" t="s">
        <v>2333</v>
      </c>
    </row>
    <row r="2203" spans="1:14" ht="36">
      <c r="A2203" s="5">
        <v>2203</v>
      </c>
      <c r="B2203" t="str">
        <f t="shared" si="369"/>
        <v>TO</v>
      </c>
      <c r="C2203" t="str">
        <f t="shared" si="367"/>
        <v>KB</v>
      </c>
      <c r="D2203" t="s">
        <v>4019</v>
      </c>
      <c r="E2203" s="5">
        <v>3</v>
      </c>
      <c r="G2203" s="4" t="s">
        <v>4124</v>
      </c>
      <c r="H2203" s="345" t="s">
        <v>4125</v>
      </c>
      <c r="I2203" s="432" t="s">
        <v>4126</v>
      </c>
      <c r="K2203" t="s">
        <v>659</v>
      </c>
      <c r="L2203" t="s">
        <v>669</v>
      </c>
      <c r="M2203" t="s">
        <v>2333</v>
      </c>
    </row>
    <row r="2204" spans="1:14" ht="36">
      <c r="A2204" s="5">
        <v>2204</v>
      </c>
      <c r="B2204" t="str">
        <f t="shared" si="369"/>
        <v>TO</v>
      </c>
      <c r="C2204" t="str">
        <f t="shared" si="367"/>
        <v>KB</v>
      </c>
      <c r="D2204" t="s">
        <v>4019</v>
      </c>
      <c r="E2204" s="5">
        <v>3</v>
      </c>
      <c r="G2204" s="4" t="s">
        <v>4124</v>
      </c>
      <c r="H2204" s="345" t="s">
        <v>4127</v>
      </c>
      <c r="I2204" s="432" t="s">
        <v>4128</v>
      </c>
      <c r="K2204" t="s">
        <v>659</v>
      </c>
      <c r="L2204" t="s">
        <v>669</v>
      </c>
      <c r="M2204" t="s">
        <v>2333</v>
      </c>
    </row>
    <row r="2205" spans="1:14" ht="36">
      <c r="A2205" s="5">
        <v>2205</v>
      </c>
      <c r="B2205" t="str">
        <f t="shared" si="369"/>
        <v>TO</v>
      </c>
      <c r="C2205" t="str">
        <f t="shared" si="367"/>
        <v>KB</v>
      </c>
      <c r="D2205" t="s">
        <v>4019</v>
      </c>
      <c r="E2205" s="5">
        <v>3</v>
      </c>
      <c r="G2205" s="4" t="s">
        <v>4124</v>
      </c>
      <c r="H2205" s="345" t="s">
        <v>4129</v>
      </c>
      <c r="I2205" s="432" t="s">
        <v>4130</v>
      </c>
      <c r="K2205" t="s">
        <v>659</v>
      </c>
      <c r="L2205" t="s">
        <v>669</v>
      </c>
      <c r="M2205" t="s">
        <v>2333</v>
      </c>
    </row>
    <row r="2206" spans="1:14" ht="18.600000000000001">
      <c r="A2206" s="5">
        <v>2206</v>
      </c>
      <c r="B2206" t="str">
        <f t="shared" si="369"/>
        <v>TO</v>
      </c>
      <c r="C2206" t="str">
        <f t="shared" si="367"/>
        <v>KB</v>
      </c>
      <c r="D2206" t="s">
        <v>4019</v>
      </c>
      <c r="E2206" s="5">
        <v>3</v>
      </c>
      <c r="G2206" s="4" t="s">
        <v>4124</v>
      </c>
      <c r="H2206" s="345" t="s">
        <v>3775</v>
      </c>
      <c r="I2206" s="432" t="s">
        <v>3776</v>
      </c>
      <c r="K2206" t="s">
        <v>659</v>
      </c>
      <c r="L2206" t="s">
        <v>669</v>
      </c>
      <c r="M2206" t="s">
        <v>2333</v>
      </c>
    </row>
    <row r="2207" spans="1:14" ht="18.600000000000001">
      <c r="A2207" s="5">
        <v>2207</v>
      </c>
      <c r="B2207" t="str">
        <f t="shared" si="369"/>
        <v>TO</v>
      </c>
      <c r="C2207" t="str">
        <f t="shared" si="367"/>
        <v>KB</v>
      </c>
      <c r="D2207" t="s">
        <v>4019</v>
      </c>
      <c r="E2207" s="5">
        <v>3</v>
      </c>
      <c r="G2207" s="4" t="s">
        <v>4124</v>
      </c>
      <c r="H2207" s="345" t="s">
        <v>602</v>
      </c>
      <c r="I2207" s="432" t="s">
        <v>4131</v>
      </c>
      <c r="K2207" t="s">
        <v>1434</v>
      </c>
      <c r="L2207" t="s">
        <v>669</v>
      </c>
      <c r="M2207" t="s">
        <v>2333</v>
      </c>
    </row>
    <row r="2208" spans="1:14" ht="18.600000000000001">
      <c r="A2208" s="5">
        <v>2208</v>
      </c>
      <c r="B2208" t="str">
        <f t="shared" si="369"/>
        <v>TO</v>
      </c>
      <c r="C2208" t="str">
        <f t="shared" si="367"/>
        <v>KB</v>
      </c>
      <c r="D2208" t="s">
        <v>4112</v>
      </c>
      <c r="E2208" s="5">
        <v>3</v>
      </c>
      <c r="G2208" s="4" t="s">
        <v>4132</v>
      </c>
      <c r="H2208" s="345" t="s">
        <v>4133</v>
      </c>
      <c r="I2208" s="432" t="s">
        <v>4134</v>
      </c>
      <c r="K2208" t="s">
        <v>1434</v>
      </c>
      <c r="L2208" t="s">
        <v>669</v>
      </c>
      <c r="M2208" t="s">
        <v>2333</v>
      </c>
    </row>
    <row r="2209" spans="1:14" ht="18.600000000000001">
      <c r="A2209" s="5">
        <v>2209</v>
      </c>
      <c r="B2209" t="str">
        <f t="shared" si="369"/>
        <v>TO</v>
      </c>
      <c r="C2209" t="str">
        <f t="shared" si="367"/>
        <v>KB</v>
      </c>
      <c r="D2209" t="s">
        <v>4112</v>
      </c>
      <c r="E2209" s="5">
        <v>3</v>
      </c>
      <c r="G2209" s="4" t="s">
        <v>4132</v>
      </c>
      <c r="H2209" s="345" t="s">
        <v>4135</v>
      </c>
      <c r="I2209" s="432" t="s">
        <v>2910</v>
      </c>
      <c r="K2209" t="s">
        <v>659</v>
      </c>
      <c r="L2209" t="s">
        <v>669</v>
      </c>
      <c r="M2209" t="s">
        <v>2333</v>
      </c>
    </row>
    <row r="2210" spans="1:14" ht="18.600000000000001">
      <c r="A2210" s="5">
        <v>2210</v>
      </c>
      <c r="B2210" t="str">
        <f t="shared" si="369"/>
        <v>TO</v>
      </c>
      <c r="C2210" t="str">
        <f t="shared" si="367"/>
        <v>KB</v>
      </c>
      <c r="D2210" t="s">
        <v>4112</v>
      </c>
      <c r="E2210" s="5">
        <v>3</v>
      </c>
      <c r="G2210" s="4" t="s">
        <v>4132</v>
      </c>
      <c r="H2210" s="345" t="s">
        <v>4136</v>
      </c>
      <c r="I2210" s="432" t="s">
        <v>4137</v>
      </c>
      <c r="K2210" t="s">
        <v>659</v>
      </c>
      <c r="L2210" t="s">
        <v>669</v>
      </c>
      <c r="M2210" t="s">
        <v>2333</v>
      </c>
    </row>
    <row r="2211" spans="1:14" ht="18.600000000000001">
      <c r="A2211" s="5">
        <v>2211</v>
      </c>
      <c r="B2211" t="str">
        <f t="shared" si="369"/>
        <v>TO</v>
      </c>
      <c r="C2211" t="str">
        <f t="shared" si="367"/>
        <v>KB</v>
      </c>
      <c r="D2211" t="s">
        <v>4112</v>
      </c>
      <c r="E2211" s="5">
        <v>3</v>
      </c>
      <c r="G2211" s="4" t="s">
        <v>4132</v>
      </c>
      <c r="H2211" s="345" t="s">
        <v>4138</v>
      </c>
      <c r="I2211" s="432" t="s">
        <v>4139</v>
      </c>
      <c r="K2211" t="s">
        <v>659</v>
      </c>
      <c r="L2211" t="s">
        <v>669</v>
      </c>
      <c r="M2211" t="s">
        <v>2333</v>
      </c>
    </row>
    <row r="2212" spans="1:14" ht="18.600000000000001">
      <c r="A2212" s="5">
        <v>2212</v>
      </c>
      <c r="B2212" t="str">
        <f t="shared" si="369"/>
        <v>TO</v>
      </c>
      <c r="C2212" t="str">
        <f t="shared" si="367"/>
        <v>KB</v>
      </c>
      <c r="D2212" t="s">
        <v>4112</v>
      </c>
      <c r="E2212" s="5">
        <v>3</v>
      </c>
      <c r="G2212" s="4" t="s">
        <v>4140</v>
      </c>
      <c r="H2212" s="345" t="s">
        <v>1552</v>
      </c>
      <c r="I2212" s="432" t="s">
        <v>2731</v>
      </c>
      <c r="K2212" t="s">
        <v>659</v>
      </c>
      <c r="L2212" t="s">
        <v>669</v>
      </c>
      <c r="M2212" t="s">
        <v>2333</v>
      </c>
    </row>
    <row r="2213" spans="1:14" ht="18.600000000000001">
      <c r="A2213" s="5">
        <v>2213</v>
      </c>
      <c r="B2213" t="str">
        <f t="shared" si="369"/>
        <v>TO</v>
      </c>
      <c r="C2213" t="str">
        <f t="shared" si="367"/>
        <v>KB</v>
      </c>
      <c r="D2213" t="s">
        <v>4112</v>
      </c>
      <c r="E2213" s="5">
        <v>3</v>
      </c>
      <c r="G2213" s="4" t="s">
        <v>4141</v>
      </c>
      <c r="H2213" s="345" t="s">
        <v>4142</v>
      </c>
      <c r="I2213" s="432" t="s">
        <v>4143</v>
      </c>
      <c r="K2213" t="s">
        <v>1434</v>
      </c>
      <c r="L2213" t="s">
        <v>669</v>
      </c>
      <c r="M2213" t="s">
        <v>2392</v>
      </c>
      <c r="N2213" t="s">
        <v>4144</v>
      </c>
    </row>
    <row r="2214" spans="1:14" ht="18.600000000000001">
      <c r="A2214" s="5">
        <v>2214</v>
      </c>
      <c r="B2214" t="str">
        <f t="shared" si="369"/>
        <v>TO</v>
      </c>
      <c r="C2214" t="str">
        <f t="shared" si="367"/>
        <v>KB</v>
      </c>
      <c r="D2214" t="s">
        <v>4112</v>
      </c>
      <c r="E2214" s="5">
        <v>3</v>
      </c>
      <c r="G2214" s="4" t="s">
        <v>4141</v>
      </c>
      <c r="H2214" s="345" t="s">
        <v>3916</v>
      </c>
      <c r="I2214" s="432" t="s">
        <v>4145</v>
      </c>
      <c r="K2214" t="s">
        <v>659</v>
      </c>
      <c r="L2214" t="s">
        <v>669</v>
      </c>
      <c r="M2214" t="s">
        <v>2333</v>
      </c>
    </row>
    <row r="2215" spans="1:14" ht="18.600000000000001">
      <c r="A2215" s="5">
        <v>2215</v>
      </c>
      <c r="B2215" t="str">
        <f t="shared" si="369"/>
        <v>TO</v>
      </c>
      <c r="C2215" t="str">
        <f t="shared" si="367"/>
        <v>KB</v>
      </c>
      <c r="D2215" t="s">
        <v>4112</v>
      </c>
      <c r="E2215" s="5">
        <v>3</v>
      </c>
      <c r="G2215" s="4" t="s">
        <v>4141</v>
      </c>
      <c r="H2215" s="345" t="s">
        <v>4146</v>
      </c>
      <c r="I2215" s="432" t="s">
        <v>3484</v>
      </c>
      <c r="K2215" t="s">
        <v>659</v>
      </c>
      <c r="L2215" t="s">
        <v>669</v>
      </c>
      <c r="M2215" t="s">
        <v>2333</v>
      </c>
    </row>
    <row r="2216" spans="1:14" ht="36">
      <c r="A2216" s="5">
        <v>2216</v>
      </c>
      <c r="B2216" t="str">
        <f t="shared" si="369"/>
        <v>TO</v>
      </c>
      <c r="C2216" t="str">
        <f t="shared" si="367"/>
        <v>KB</v>
      </c>
      <c r="D2216" t="s">
        <v>4112</v>
      </c>
      <c r="E2216" s="5">
        <v>3</v>
      </c>
      <c r="G2216" s="4" t="s">
        <v>4141</v>
      </c>
      <c r="H2216" s="345" t="s">
        <v>3542</v>
      </c>
      <c r="I2216" s="432" t="s">
        <v>3543</v>
      </c>
      <c r="K2216" t="s">
        <v>659</v>
      </c>
      <c r="L2216" t="s">
        <v>669</v>
      </c>
      <c r="M2216" t="s">
        <v>2333</v>
      </c>
    </row>
    <row r="2217" spans="1:14" ht="18.600000000000001">
      <c r="A2217" s="5">
        <v>2217</v>
      </c>
      <c r="B2217" t="str">
        <f t="shared" si="369"/>
        <v>TO</v>
      </c>
      <c r="C2217" t="str">
        <f t="shared" si="367"/>
        <v>KB</v>
      </c>
      <c r="D2217" t="s">
        <v>4112</v>
      </c>
      <c r="E2217" s="5">
        <v>3</v>
      </c>
      <c r="G2217" s="4" t="s">
        <v>4141</v>
      </c>
      <c r="H2217" s="345" t="s">
        <v>4147</v>
      </c>
      <c r="I2217" s="432" t="s">
        <v>4148</v>
      </c>
      <c r="K2217" t="s">
        <v>1434</v>
      </c>
      <c r="L2217" t="s">
        <v>669</v>
      </c>
      <c r="M2217" t="s">
        <v>2333</v>
      </c>
    </row>
    <row r="2218" spans="1:14" ht="18.600000000000001">
      <c r="A2218" s="5">
        <v>2218</v>
      </c>
      <c r="B2218" t="str">
        <f t="shared" si="369"/>
        <v>TO</v>
      </c>
      <c r="C2218" t="str">
        <f t="shared" si="367"/>
        <v>KB</v>
      </c>
      <c r="D2218" t="s">
        <v>4112</v>
      </c>
      <c r="E2218" s="5">
        <v>3</v>
      </c>
      <c r="G2218" s="4" t="s">
        <v>4149</v>
      </c>
      <c r="H2218" s="345" t="s">
        <v>3445</v>
      </c>
      <c r="I2218" s="432" t="s">
        <v>3446</v>
      </c>
      <c r="K2218" t="s">
        <v>1434</v>
      </c>
      <c r="L2218" t="s">
        <v>669</v>
      </c>
      <c r="M2218" t="s">
        <v>2333</v>
      </c>
    </row>
    <row r="2219" spans="1:14" ht="18.600000000000001">
      <c r="A2219" s="5">
        <v>2219</v>
      </c>
      <c r="B2219" t="str">
        <f t="shared" ref="B2219" si="370">MID(G2219,11,2)</f>
        <v>TO</v>
      </c>
      <c r="C2219" t="str">
        <f t="shared" ref="C2219" si="371">MID(G2219,14,2)</f>
        <v>KB</v>
      </c>
      <c r="D2219" t="s">
        <v>4112</v>
      </c>
      <c r="E2219" s="5">
        <v>3</v>
      </c>
      <c r="G2219" s="4" t="s">
        <v>4149</v>
      </c>
      <c r="H2219" s="345" t="s">
        <v>1540</v>
      </c>
      <c r="I2219" s="432" t="s">
        <v>3412</v>
      </c>
      <c r="K2219" t="s">
        <v>1434</v>
      </c>
      <c r="L2219" t="s">
        <v>669</v>
      </c>
      <c r="M2219" t="s">
        <v>2333</v>
      </c>
    </row>
    <row r="2220" spans="1:14" ht="18.600000000000001">
      <c r="A2220" s="5">
        <v>2220</v>
      </c>
      <c r="B2220" t="str">
        <f t="shared" si="369"/>
        <v>TO</v>
      </c>
      <c r="C2220" t="str">
        <f t="shared" si="367"/>
        <v>KB</v>
      </c>
      <c r="D2220" t="s">
        <v>4150</v>
      </c>
      <c r="E2220">
        <v>3</v>
      </c>
      <c r="G2220" s="4" t="s">
        <v>4151</v>
      </c>
      <c r="H2220" s="345" t="s">
        <v>2980</v>
      </c>
      <c r="I2220" s="432" t="s">
        <v>2981</v>
      </c>
      <c r="K2220" t="s">
        <v>659</v>
      </c>
      <c r="L2220" t="s">
        <v>669</v>
      </c>
      <c r="M2220" t="s">
        <v>2333</v>
      </c>
    </row>
    <row r="2221" spans="1:14" ht="18.600000000000001">
      <c r="A2221" s="5">
        <v>2221</v>
      </c>
      <c r="B2221" t="str">
        <f t="shared" ref="B2221" si="372">MID(G2221,11,2)</f>
        <v>TO</v>
      </c>
      <c r="C2221" t="str">
        <f t="shared" ref="C2221" si="373">MID(G2221,14,2)</f>
        <v>KB</v>
      </c>
      <c r="D2221" t="s">
        <v>4150</v>
      </c>
      <c r="E2221">
        <v>3</v>
      </c>
      <c r="G2221" s="4" t="s">
        <v>4151</v>
      </c>
      <c r="H2221" s="345" t="s">
        <v>2109</v>
      </c>
      <c r="I2221" s="432" t="s">
        <v>2295</v>
      </c>
      <c r="K2221" t="s">
        <v>659</v>
      </c>
      <c r="L2221" t="s">
        <v>669</v>
      </c>
      <c r="M2221" t="s">
        <v>2333</v>
      </c>
    </row>
    <row r="2222" spans="1:14">
      <c r="A2222" s="5">
        <v>2222</v>
      </c>
      <c r="B2222" t="str">
        <f t="shared" ref="B2222:B2224" si="374">MID(G2222,11,2)</f>
        <v>TO</v>
      </c>
      <c r="C2222" t="str">
        <f>MID(G2222,14,2)</f>
        <v>KB</v>
      </c>
      <c r="D2222" t="s">
        <v>4112</v>
      </c>
      <c r="E2222" s="5">
        <v>2</v>
      </c>
      <c r="G2222" s="4" t="s">
        <v>4152</v>
      </c>
      <c r="H2222" s="306" t="s">
        <v>4153</v>
      </c>
      <c r="I2222" s="432" t="s">
        <v>3583</v>
      </c>
      <c r="K2222" t="s">
        <v>659</v>
      </c>
      <c r="L2222" t="s">
        <v>669</v>
      </c>
      <c r="M2222" t="s">
        <v>2333</v>
      </c>
    </row>
    <row r="2223" spans="1:14" ht="36">
      <c r="A2223" s="5">
        <v>2223</v>
      </c>
      <c r="B2223" t="str">
        <f t="shared" si="374"/>
        <v>TO</v>
      </c>
      <c r="C2223" t="str">
        <f>MID(G2223,14,2)</f>
        <v>KB</v>
      </c>
      <c r="D2223" t="s">
        <v>4019</v>
      </c>
      <c r="E2223" s="5">
        <v>1</v>
      </c>
      <c r="G2223" s="4" t="s">
        <v>4154</v>
      </c>
      <c r="H2223" s="306" t="s">
        <v>4155</v>
      </c>
      <c r="I2223" s="432" t="s">
        <v>4156</v>
      </c>
      <c r="K2223" t="s">
        <v>1434</v>
      </c>
      <c r="L2223" t="s">
        <v>669</v>
      </c>
      <c r="M2223" t="s">
        <v>2392</v>
      </c>
      <c r="N2223" t="s">
        <v>4157</v>
      </c>
    </row>
    <row r="2224" spans="1:14" ht="55.95" customHeight="1">
      <c r="A2224" s="5">
        <v>2224</v>
      </c>
      <c r="B2224" t="str">
        <f t="shared" si="374"/>
        <v>TO</v>
      </c>
      <c r="C2224" t="str">
        <f>MID(G2224,14,2)</f>
        <v>KB</v>
      </c>
      <c r="D2224" t="s">
        <v>4019</v>
      </c>
      <c r="E2224" s="5">
        <v>1</v>
      </c>
      <c r="G2224" s="4" t="s">
        <v>4154</v>
      </c>
      <c r="H2224" s="306" t="s">
        <v>4158</v>
      </c>
      <c r="I2224" s="432" t="s">
        <v>4159</v>
      </c>
      <c r="K2224" t="s">
        <v>1434</v>
      </c>
      <c r="L2224" t="s">
        <v>669</v>
      </c>
      <c r="M2224" t="s">
        <v>2392</v>
      </c>
      <c r="N2224" t="s">
        <v>4157</v>
      </c>
    </row>
    <row r="2225" spans="1:14">
      <c r="A2225" s="5">
        <v>2225</v>
      </c>
      <c r="B2225" t="s">
        <v>4160</v>
      </c>
      <c r="C2225" t="s">
        <v>112</v>
      </c>
      <c r="D2225" t="s">
        <v>4112</v>
      </c>
      <c r="E2225" s="5">
        <v>1</v>
      </c>
      <c r="G2225" s="4" t="s">
        <v>4161</v>
      </c>
      <c r="H2225" s="306" t="s">
        <v>4162</v>
      </c>
      <c r="I2225" s="432" t="s">
        <v>4163</v>
      </c>
      <c r="K2225" t="s">
        <v>1434</v>
      </c>
      <c r="L2225" t="s">
        <v>669</v>
      </c>
      <c r="M2225" t="s">
        <v>2392</v>
      </c>
      <c r="N2225" t="s">
        <v>4164</v>
      </c>
    </row>
    <row r="2226" spans="1:14" ht="36">
      <c r="A2226" s="5">
        <v>2226</v>
      </c>
      <c r="B2226" t="str">
        <f t="shared" si="369"/>
        <v>TO</v>
      </c>
      <c r="C2226" t="str">
        <f t="shared" si="367"/>
        <v>KB</v>
      </c>
      <c r="D2226" t="s">
        <v>4112</v>
      </c>
      <c r="E2226" s="5">
        <v>1</v>
      </c>
      <c r="G2226" s="4" t="s">
        <v>4165</v>
      </c>
      <c r="H2226" s="306" t="s">
        <v>4155</v>
      </c>
      <c r="I2226" s="432" t="s">
        <v>4156</v>
      </c>
      <c r="K2226" t="s">
        <v>659</v>
      </c>
      <c r="L2226" t="s">
        <v>669</v>
      </c>
      <c r="M2226" t="s">
        <v>2333</v>
      </c>
      <c r="N2226" t="s">
        <v>4166</v>
      </c>
    </row>
    <row r="2227" spans="1:14" ht="36">
      <c r="A2227" s="5">
        <v>2227</v>
      </c>
      <c r="B2227" t="str">
        <f t="shared" si="369"/>
        <v>TO</v>
      </c>
      <c r="C2227" t="str">
        <f t="shared" ref="C2227:C2262" si="375">MID(G2227,14,2)</f>
        <v>KB</v>
      </c>
      <c r="D2227" t="s">
        <v>4112</v>
      </c>
      <c r="E2227" s="5">
        <v>1</v>
      </c>
      <c r="G2227" s="4" t="s">
        <v>4165</v>
      </c>
      <c r="H2227" s="306" t="s">
        <v>4158</v>
      </c>
      <c r="I2227" s="432" t="s">
        <v>4159</v>
      </c>
      <c r="K2227" t="s">
        <v>659</v>
      </c>
      <c r="L2227" t="s">
        <v>669</v>
      </c>
      <c r="M2227" t="s">
        <v>2333</v>
      </c>
      <c r="N2227" t="s">
        <v>4166</v>
      </c>
    </row>
    <row r="2228" spans="1:14">
      <c r="A2228" s="5">
        <v>2228</v>
      </c>
      <c r="B2228" t="str">
        <f t="shared" si="369"/>
        <v>MH</v>
      </c>
      <c r="C2228" t="str">
        <f t="shared" si="375"/>
        <v>KB</v>
      </c>
      <c r="D2228" t="s">
        <v>4112</v>
      </c>
      <c r="G2228" s="4" t="s">
        <v>4167</v>
      </c>
      <c r="H2228" s="306" t="s">
        <v>547</v>
      </c>
      <c r="I2228" s="432" t="s">
        <v>2505</v>
      </c>
      <c r="K2228" t="s">
        <v>659</v>
      </c>
      <c r="L2228" t="s">
        <v>669</v>
      </c>
      <c r="M2228" t="s">
        <v>2333</v>
      </c>
      <c r="N2228" t="s">
        <v>4168</v>
      </c>
    </row>
    <row r="2229" spans="1:14" ht="36">
      <c r="A2229" s="5">
        <v>2229</v>
      </c>
      <c r="B2229" t="str">
        <f t="shared" si="369"/>
        <v>TO</v>
      </c>
      <c r="C2229" t="str">
        <f t="shared" si="375"/>
        <v>Mo</v>
      </c>
      <c r="D2229" t="s">
        <v>4112</v>
      </c>
      <c r="E2229" s="5">
        <v>2</v>
      </c>
      <c r="G2229" s="4" t="s">
        <v>4169</v>
      </c>
      <c r="H2229" s="306" t="s">
        <v>4170</v>
      </c>
      <c r="K2229" t="s">
        <v>1434</v>
      </c>
      <c r="L2229" t="s">
        <v>669</v>
      </c>
      <c r="M2229" t="s">
        <v>1424</v>
      </c>
    </row>
    <row r="2230" spans="1:14" ht="36">
      <c r="A2230" s="5">
        <v>2230</v>
      </c>
      <c r="B2230" t="str">
        <f>MID(G2230,11,2)</f>
        <v>MH</v>
      </c>
      <c r="C2230" t="str">
        <f>MID(G2230,14,2)</f>
        <v>KB</v>
      </c>
      <c r="D2230" t="s">
        <v>4150</v>
      </c>
      <c r="E2230" s="5">
        <v>1</v>
      </c>
      <c r="G2230" s="4" t="s">
        <v>4171</v>
      </c>
      <c r="H2230" s="306" t="s">
        <v>438</v>
      </c>
      <c r="I2230" s="432" t="s">
        <v>4172</v>
      </c>
      <c r="K2230" t="s">
        <v>659</v>
      </c>
      <c r="L2230" t="s">
        <v>669</v>
      </c>
      <c r="M2230" t="s">
        <v>2333</v>
      </c>
      <c r="N2230" t="s">
        <v>4168</v>
      </c>
    </row>
    <row r="2231" spans="1:14" ht="36">
      <c r="A2231" s="5">
        <v>2231</v>
      </c>
      <c r="B2231" t="str">
        <f t="shared" si="369"/>
        <v>MH</v>
      </c>
      <c r="C2231" t="str">
        <f t="shared" si="375"/>
        <v>KB</v>
      </c>
      <c r="D2231" t="s">
        <v>4150</v>
      </c>
      <c r="E2231" s="5">
        <v>1</v>
      </c>
      <c r="G2231" s="4" t="s">
        <v>4173</v>
      </c>
      <c r="H2231" s="306" t="s">
        <v>4174</v>
      </c>
      <c r="I2231" s="432" t="s">
        <v>4175</v>
      </c>
      <c r="K2231" t="s">
        <v>659</v>
      </c>
      <c r="L2231" t="s">
        <v>669</v>
      </c>
      <c r="M2231" t="s">
        <v>2333</v>
      </c>
      <c r="N2231" t="s">
        <v>4168</v>
      </c>
    </row>
    <row r="2232" spans="1:14" ht="36">
      <c r="A2232" s="5">
        <v>2232</v>
      </c>
      <c r="B2232" t="str">
        <f t="shared" si="369"/>
        <v>MH</v>
      </c>
      <c r="C2232" t="str">
        <f t="shared" si="375"/>
        <v>KB</v>
      </c>
      <c r="D2232" t="s">
        <v>4150</v>
      </c>
      <c r="E2232" s="5">
        <v>1</v>
      </c>
      <c r="G2232" s="4" t="s">
        <v>4176</v>
      </c>
      <c r="H2232" s="306" t="s">
        <v>600</v>
      </c>
      <c r="I2232" s="432" t="s">
        <v>4177</v>
      </c>
      <c r="K2232" t="s">
        <v>1434</v>
      </c>
      <c r="L2232" t="s">
        <v>669</v>
      </c>
      <c r="M2232" t="s">
        <v>2333</v>
      </c>
      <c r="N2232" t="s">
        <v>4168</v>
      </c>
    </row>
    <row r="2233" spans="1:14" ht="18.600000000000001">
      <c r="A2233" s="5">
        <v>2233</v>
      </c>
      <c r="B2233" t="str">
        <f>MID(G2233,11,2)</f>
        <v>MH</v>
      </c>
      <c r="C2233" t="str">
        <f>MID(G2233,14,2)</f>
        <v>KB</v>
      </c>
      <c r="D2233" t="s">
        <v>4150</v>
      </c>
      <c r="E2233" s="5"/>
      <c r="G2233" s="4" t="s">
        <v>4178</v>
      </c>
      <c r="H2233" s="345" t="s">
        <v>602</v>
      </c>
      <c r="I2233" s="432" t="s">
        <v>4131</v>
      </c>
      <c r="K2233" t="s">
        <v>659</v>
      </c>
      <c r="L2233" t="s">
        <v>669</v>
      </c>
      <c r="M2233" t="s">
        <v>2333</v>
      </c>
      <c r="N2233" t="s">
        <v>4168</v>
      </c>
    </row>
    <row r="2234" spans="1:14">
      <c r="A2234" s="5">
        <v>2234</v>
      </c>
      <c r="B2234" t="str">
        <f>MID(G2234,11,2)</f>
        <v>MH</v>
      </c>
      <c r="C2234" t="str">
        <f>MID(G2234,14,2)</f>
        <v>KB</v>
      </c>
      <c r="D2234" t="s">
        <v>4150</v>
      </c>
      <c r="E2234" s="5">
        <v>1</v>
      </c>
      <c r="G2234" s="4" t="s">
        <v>4179</v>
      </c>
      <c r="H2234" s="306" t="s">
        <v>604</v>
      </c>
      <c r="I2234" s="432" t="s">
        <v>4180</v>
      </c>
      <c r="K2234" t="s">
        <v>1434</v>
      </c>
      <c r="L2234" t="s">
        <v>669</v>
      </c>
      <c r="M2234" t="s">
        <v>2333</v>
      </c>
    </row>
    <row r="2235" spans="1:14">
      <c r="A2235" s="5">
        <v>2235</v>
      </c>
      <c r="B2235" t="str">
        <f t="shared" si="369"/>
        <v>TO</v>
      </c>
      <c r="C2235" t="str">
        <f t="shared" si="375"/>
        <v>KB</v>
      </c>
      <c r="D2235" t="s">
        <v>4150</v>
      </c>
      <c r="E2235" s="5">
        <v>3</v>
      </c>
      <c r="G2235" s="4" t="s">
        <v>4181</v>
      </c>
      <c r="H2235" s="306" t="s">
        <v>4182</v>
      </c>
      <c r="I2235" s="432" t="s">
        <v>4183</v>
      </c>
      <c r="K2235" t="s">
        <v>1434</v>
      </c>
      <c r="L2235" t="s">
        <v>669</v>
      </c>
      <c r="M2235" t="s">
        <v>2333</v>
      </c>
    </row>
    <row r="2236" spans="1:14">
      <c r="A2236" s="5">
        <v>2236</v>
      </c>
      <c r="B2236" t="str">
        <f t="shared" ref="B2236:B2262" si="376">MID(G2236,11,2)</f>
        <v>TO</v>
      </c>
      <c r="C2236" t="str">
        <f t="shared" si="375"/>
        <v>KB</v>
      </c>
      <c r="D2236" t="s">
        <v>4150</v>
      </c>
      <c r="E2236" s="5">
        <v>3</v>
      </c>
      <c r="G2236" s="4" t="s">
        <v>4181</v>
      </c>
      <c r="H2236" s="306" t="s">
        <v>4184</v>
      </c>
      <c r="I2236" s="432" t="s">
        <v>4185</v>
      </c>
      <c r="K2236" t="s">
        <v>1434</v>
      </c>
      <c r="L2236" t="s">
        <v>669</v>
      </c>
      <c r="M2236" t="s">
        <v>2333</v>
      </c>
    </row>
    <row r="2237" spans="1:14" ht="36">
      <c r="A2237" s="5">
        <v>2237</v>
      </c>
      <c r="B2237" t="str">
        <f t="shared" si="376"/>
        <v>TO</v>
      </c>
      <c r="C2237" t="str">
        <f t="shared" si="375"/>
        <v>KB</v>
      </c>
      <c r="D2237" t="s">
        <v>4112</v>
      </c>
      <c r="E2237" s="5">
        <v>1</v>
      </c>
      <c r="G2237" s="4" t="s">
        <v>4186</v>
      </c>
      <c r="H2237" s="306" t="s">
        <v>604</v>
      </c>
      <c r="I2237" s="432" t="s">
        <v>4180</v>
      </c>
      <c r="K2237" t="s">
        <v>1434</v>
      </c>
      <c r="L2237" t="s">
        <v>669</v>
      </c>
      <c r="M2237" t="s">
        <v>2333</v>
      </c>
      <c r="N2237" t="s">
        <v>4187</v>
      </c>
    </row>
    <row r="2238" spans="1:14">
      <c r="A2238" s="5">
        <v>2238</v>
      </c>
      <c r="B2238" t="str">
        <f t="shared" ref="B2238:B2239" si="377">MID(G2238,11,2)</f>
        <v>TO</v>
      </c>
      <c r="C2238" t="str">
        <f t="shared" ref="C2238:C2239" si="378">MID(G2238,14,2)</f>
        <v>Ap</v>
      </c>
      <c r="D2238" t="s">
        <v>4188</v>
      </c>
      <c r="E2238" s="5">
        <v>2</v>
      </c>
      <c r="G2238" s="4" t="s">
        <v>4189</v>
      </c>
      <c r="H2238" s="306" t="s">
        <v>4190</v>
      </c>
      <c r="K2238" t="s">
        <v>2841</v>
      </c>
      <c r="L2238" t="s">
        <v>669</v>
      </c>
      <c r="M2238" t="s">
        <v>2333</v>
      </c>
    </row>
    <row r="2239" spans="1:14">
      <c r="A2239" s="5">
        <v>2239</v>
      </c>
      <c r="B2239" t="str">
        <f t="shared" si="377"/>
        <v>TO</v>
      </c>
      <c r="C2239" t="str">
        <f t="shared" si="378"/>
        <v>Ap</v>
      </c>
      <c r="D2239" t="s">
        <v>4188</v>
      </c>
      <c r="E2239" s="5">
        <v>2</v>
      </c>
      <c r="G2239" s="4" t="s">
        <v>4189</v>
      </c>
      <c r="H2239" s="306" t="s">
        <v>4191</v>
      </c>
      <c r="K2239" t="s">
        <v>2841</v>
      </c>
      <c r="L2239" t="s">
        <v>669</v>
      </c>
      <c r="M2239" t="s">
        <v>2333</v>
      </c>
    </row>
    <row r="2240" spans="1:14">
      <c r="A2240" s="5">
        <v>2240</v>
      </c>
      <c r="B2240" t="str">
        <f t="shared" si="376"/>
        <v>TO</v>
      </c>
      <c r="C2240" t="str">
        <f t="shared" si="375"/>
        <v>Ap</v>
      </c>
      <c r="D2240" t="s">
        <v>4188</v>
      </c>
      <c r="E2240" s="5">
        <v>2</v>
      </c>
      <c r="G2240" s="4" t="s">
        <v>4192</v>
      </c>
      <c r="H2240" s="306" t="s">
        <v>4028</v>
      </c>
      <c r="K2240" t="s">
        <v>2841</v>
      </c>
      <c r="L2240" t="s">
        <v>669</v>
      </c>
      <c r="M2240" t="s">
        <v>2333</v>
      </c>
    </row>
    <row r="2241" spans="1:14">
      <c r="A2241" s="5">
        <v>2241</v>
      </c>
      <c r="B2241" t="str">
        <f t="shared" si="376"/>
        <v>TO</v>
      </c>
      <c r="C2241" t="str">
        <f t="shared" si="375"/>
        <v>Ap</v>
      </c>
      <c r="D2241" t="s">
        <v>4188</v>
      </c>
      <c r="E2241" s="5">
        <v>2</v>
      </c>
      <c r="G2241" s="4" t="s">
        <v>4193</v>
      </c>
      <c r="H2241" s="306" t="s">
        <v>4194</v>
      </c>
      <c r="K2241" t="s">
        <v>2841</v>
      </c>
      <c r="L2241" t="s">
        <v>669</v>
      </c>
      <c r="M2241" t="s">
        <v>1424</v>
      </c>
    </row>
    <row r="2242" spans="1:14">
      <c r="A2242" s="5">
        <v>2242</v>
      </c>
      <c r="B2242" t="str">
        <f t="shared" si="376"/>
        <v>TO</v>
      </c>
      <c r="C2242" t="str">
        <f t="shared" si="375"/>
        <v>KB</v>
      </c>
      <c r="D2242" t="s">
        <v>4188</v>
      </c>
      <c r="E2242" s="5">
        <v>2</v>
      </c>
      <c r="F2242" t="s">
        <v>3843</v>
      </c>
      <c r="G2242" s="4" t="s">
        <v>4195</v>
      </c>
      <c r="H2242" s="306" t="s">
        <v>615</v>
      </c>
      <c r="I2242" s="432" t="s">
        <v>4196</v>
      </c>
      <c r="K2242" t="s">
        <v>1434</v>
      </c>
      <c r="L2242" t="s">
        <v>669</v>
      </c>
      <c r="M2242" t="s">
        <v>2333</v>
      </c>
    </row>
    <row r="2243" spans="1:14" ht="40.950000000000003" customHeight="1">
      <c r="A2243" s="5">
        <v>2243</v>
      </c>
      <c r="B2243" t="str">
        <f t="shared" ref="B2243:B2244" si="379">MID(G2243,11,2)</f>
        <v>TO</v>
      </c>
      <c r="C2243" t="str">
        <f t="shared" ref="C2243:C2244" si="380">MID(G2243,14,2)</f>
        <v>KB</v>
      </c>
      <c r="D2243" t="s">
        <v>4188</v>
      </c>
      <c r="E2243" s="5">
        <v>2</v>
      </c>
      <c r="F2243" t="s">
        <v>3843</v>
      </c>
      <c r="G2243" s="4" t="s">
        <v>4197</v>
      </c>
      <c r="H2243" s="306" t="s">
        <v>4198</v>
      </c>
      <c r="I2243" s="432" t="s">
        <v>2996</v>
      </c>
      <c r="K2243" t="s">
        <v>659</v>
      </c>
      <c r="L2243" t="s">
        <v>669</v>
      </c>
      <c r="M2243" t="s">
        <v>3160</v>
      </c>
    </row>
    <row r="2244" spans="1:14" ht="36">
      <c r="A2244" s="5">
        <v>2244</v>
      </c>
      <c r="B2244" t="str">
        <f t="shared" si="379"/>
        <v>TO</v>
      </c>
      <c r="C2244" t="str">
        <f t="shared" si="380"/>
        <v>KB</v>
      </c>
      <c r="D2244" t="s">
        <v>4188</v>
      </c>
      <c r="E2244" s="5">
        <v>2</v>
      </c>
      <c r="F2244" t="s">
        <v>3843</v>
      </c>
      <c r="G2244" s="4" t="s">
        <v>4197</v>
      </c>
      <c r="H2244" s="306" t="s">
        <v>254</v>
      </c>
      <c r="I2244" s="432" t="s">
        <v>2373</v>
      </c>
      <c r="K2244" t="s">
        <v>659</v>
      </c>
      <c r="L2244" t="s">
        <v>669</v>
      </c>
      <c r="M2244" t="s">
        <v>2333</v>
      </c>
      <c r="N2244" s="4" t="s">
        <v>4199</v>
      </c>
    </row>
    <row r="2245" spans="1:14">
      <c r="A2245" s="5">
        <v>2245</v>
      </c>
      <c r="B2245" t="str">
        <f t="shared" si="376"/>
        <v>TO</v>
      </c>
      <c r="C2245" t="str">
        <f t="shared" si="375"/>
        <v>KB</v>
      </c>
      <c r="D2245" t="s">
        <v>4188</v>
      </c>
      <c r="E2245" s="5">
        <v>2</v>
      </c>
      <c r="F2245" t="s">
        <v>3843</v>
      </c>
      <c r="G2245" s="4" t="s">
        <v>4200</v>
      </c>
      <c r="H2245" s="306" t="s">
        <v>4201</v>
      </c>
      <c r="I2245" s="432" t="s">
        <v>4202</v>
      </c>
      <c r="K2245" t="s">
        <v>1434</v>
      </c>
      <c r="L2245" t="s">
        <v>669</v>
      </c>
      <c r="M2245" t="s">
        <v>2333</v>
      </c>
    </row>
    <row r="2246" spans="1:14" ht="36">
      <c r="A2246" s="5">
        <v>2246</v>
      </c>
      <c r="B2246" t="str">
        <f t="shared" si="376"/>
        <v>TO</v>
      </c>
      <c r="C2246" t="str">
        <f t="shared" si="375"/>
        <v>KB</v>
      </c>
      <c r="D2246" t="s">
        <v>4188</v>
      </c>
      <c r="E2246" s="5">
        <v>2</v>
      </c>
      <c r="F2246" t="s">
        <v>3843</v>
      </c>
      <c r="G2246" s="4" t="s">
        <v>4203</v>
      </c>
      <c r="H2246" s="306" t="s">
        <v>3272</v>
      </c>
      <c r="I2246" s="432" t="s">
        <v>3083</v>
      </c>
      <c r="K2246" t="s">
        <v>659</v>
      </c>
      <c r="L2246" t="s">
        <v>669</v>
      </c>
      <c r="M2246" t="s">
        <v>2333</v>
      </c>
      <c r="N2246" s="4" t="s">
        <v>4204</v>
      </c>
    </row>
    <row r="2247" spans="1:14" ht="36">
      <c r="A2247" s="5">
        <v>2247</v>
      </c>
      <c r="B2247" t="str">
        <f t="shared" ref="B2247" si="381">MID(G2247,11,2)</f>
        <v>TO</v>
      </c>
      <c r="C2247" t="str">
        <f t="shared" ref="C2247" si="382">MID(G2247,14,2)</f>
        <v>KB</v>
      </c>
      <c r="D2247" t="s">
        <v>4188</v>
      </c>
      <c r="E2247" s="5">
        <v>2</v>
      </c>
      <c r="F2247" t="s">
        <v>3843</v>
      </c>
      <c r="G2247" s="4" t="s">
        <v>4203</v>
      </c>
      <c r="H2247" s="306" t="s">
        <v>624</v>
      </c>
      <c r="I2247" s="432" t="s">
        <v>4205</v>
      </c>
      <c r="K2247" t="s">
        <v>1434</v>
      </c>
      <c r="L2247" t="s">
        <v>669</v>
      </c>
      <c r="M2247" t="s">
        <v>2333</v>
      </c>
    </row>
    <row r="2248" spans="1:14" ht="40.950000000000003" customHeight="1">
      <c r="A2248" s="5">
        <v>2248</v>
      </c>
      <c r="B2248" t="str">
        <f t="shared" si="376"/>
        <v>TO</v>
      </c>
      <c r="C2248" t="str">
        <f t="shared" si="375"/>
        <v>KB</v>
      </c>
      <c r="D2248" t="s">
        <v>4188</v>
      </c>
      <c r="E2248" s="5">
        <v>2</v>
      </c>
      <c r="F2248" t="s">
        <v>3843</v>
      </c>
      <c r="G2248" s="4" t="s">
        <v>4206</v>
      </c>
      <c r="H2248" s="306" t="s">
        <v>569</v>
      </c>
      <c r="I2248" s="432" t="s">
        <v>3858</v>
      </c>
      <c r="K2248" t="s">
        <v>659</v>
      </c>
      <c r="L2248" t="s">
        <v>669</v>
      </c>
      <c r="M2248" t="s">
        <v>2333</v>
      </c>
      <c r="N2248" t="s">
        <v>4207</v>
      </c>
    </row>
    <row r="2249" spans="1:14">
      <c r="A2249" s="5">
        <v>2249</v>
      </c>
      <c r="B2249" t="str">
        <f t="shared" si="376"/>
        <v>TO</v>
      </c>
      <c r="C2249" t="str">
        <f t="shared" si="375"/>
        <v>KB</v>
      </c>
      <c r="D2249" t="s">
        <v>4188</v>
      </c>
      <c r="E2249" s="5">
        <v>2</v>
      </c>
      <c r="F2249" t="s">
        <v>3843</v>
      </c>
      <c r="G2249" s="4" t="s">
        <v>4208</v>
      </c>
      <c r="H2249" s="306" t="s">
        <v>4209</v>
      </c>
      <c r="I2249" s="432" t="s">
        <v>4210</v>
      </c>
      <c r="K2249" t="s">
        <v>659</v>
      </c>
      <c r="L2249" t="s">
        <v>669</v>
      </c>
      <c r="M2249" t="s">
        <v>2333</v>
      </c>
    </row>
    <row r="2250" spans="1:14">
      <c r="A2250" s="5">
        <v>2250</v>
      </c>
      <c r="B2250" t="str">
        <f t="shared" si="376"/>
        <v>TO</v>
      </c>
      <c r="C2250" t="str">
        <f t="shared" si="375"/>
        <v>KB</v>
      </c>
      <c r="D2250" t="s">
        <v>4188</v>
      </c>
      <c r="E2250" s="5">
        <v>2</v>
      </c>
      <c r="F2250" t="s">
        <v>3843</v>
      </c>
      <c r="G2250" s="4" t="s">
        <v>4208</v>
      </c>
      <c r="H2250" s="306" t="s">
        <v>4085</v>
      </c>
      <c r="I2250" s="432" t="s">
        <v>3821</v>
      </c>
      <c r="K2250" t="s">
        <v>659</v>
      </c>
      <c r="L2250" t="s">
        <v>669</v>
      </c>
      <c r="M2250" t="s">
        <v>2333</v>
      </c>
    </row>
    <row r="2251" spans="1:14">
      <c r="A2251" s="5">
        <v>2251</v>
      </c>
      <c r="B2251" t="str">
        <f t="shared" si="376"/>
        <v>TO</v>
      </c>
      <c r="C2251" t="str">
        <f t="shared" si="375"/>
        <v>KB</v>
      </c>
      <c r="D2251" t="s">
        <v>4188</v>
      </c>
      <c r="E2251" s="5">
        <v>2</v>
      </c>
      <c r="F2251" t="s">
        <v>3843</v>
      </c>
      <c r="G2251" s="4" t="s">
        <v>4211</v>
      </c>
      <c r="H2251" s="306" t="s">
        <v>2246</v>
      </c>
      <c r="I2251" s="432" t="s">
        <v>2247</v>
      </c>
      <c r="K2251" t="s">
        <v>659</v>
      </c>
      <c r="L2251" t="s">
        <v>669</v>
      </c>
      <c r="M2251" t="s">
        <v>2333</v>
      </c>
    </row>
    <row r="2252" spans="1:14">
      <c r="A2252" s="5">
        <v>2252</v>
      </c>
      <c r="B2252" t="str">
        <f t="shared" si="376"/>
        <v>TO</v>
      </c>
      <c r="C2252" t="str">
        <f t="shared" si="375"/>
        <v>KB</v>
      </c>
      <c r="D2252" t="s">
        <v>4188</v>
      </c>
      <c r="E2252" s="5">
        <v>2</v>
      </c>
      <c r="F2252" t="s">
        <v>3843</v>
      </c>
      <c r="G2252" s="4" t="s">
        <v>4212</v>
      </c>
      <c r="H2252" s="306" t="s">
        <v>1336</v>
      </c>
      <c r="I2252" s="432" t="s">
        <v>2177</v>
      </c>
      <c r="K2252" t="s">
        <v>659</v>
      </c>
      <c r="L2252" t="s">
        <v>669</v>
      </c>
      <c r="M2252" t="s">
        <v>2333</v>
      </c>
    </row>
    <row r="2253" spans="1:14">
      <c r="A2253" s="5">
        <v>2253</v>
      </c>
      <c r="B2253" t="str">
        <f t="shared" si="376"/>
        <v>TO</v>
      </c>
      <c r="C2253" t="str">
        <f t="shared" si="375"/>
        <v>KB</v>
      </c>
      <c r="D2253" t="s">
        <v>4188</v>
      </c>
      <c r="E2253" s="5">
        <v>2</v>
      </c>
      <c r="F2253" t="s">
        <v>3843</v>
      </c>
      <c r="G2253" s="4" t="s">
        <v>4212</v>
      </c>
      <c r="H2253" s="306" t="s">
        <v>4213</v>
      </c>
      <c r="I2253" s="432" t="s">
        <v>4214</v>
      </c>
      <c r="K2253" t="s">
        <v>1434</v>
      </c>
      <c r="L2253" t="s">
        <v>669</v>
      </c>
      <c r="M2253" t="s">
        <v>2333</v>
      </c>
    </row>
    <row r="2254" spans="1:14">
      <c r="A2254" s="5">
        <v>2254</v>
      </c>
      <c r="B2254" t="str">
        <f t="shared" si="376"/>
        <v>TO</v>
      </c>
      <c r="C2254" t="str">
        <f t="shared" si="375"/>
        <v>KB</v>
      </c>
      <c r="D2254" t="s">
        <v>4188</v>
      </c>
      <c r="E2254" s="5">
        <v>2</v>
      </c>
      <c r="F2254" t="s">
        <v>3843</v>
      </c>
      <c r="G2254" s="4" t="s">
        <v>4215</v>
      </c>
      <c r="H2254" s="306" t="s">
        <v>438</v>
      </c>
      <c r="I2254" s="432" t="s">
        <v>2446</v>
      </c>
      <c r="K2254" t="s">
        <v>659</v>
      </c>
      <c r="L2254" t="s">
        <v>669</v>
      </c>
      <c r="M2254" t="s">
        <v>2333</v>
      </c>
    </row>
    <row r="2255" spans="1:14">
      <c r="A2255" s="5">
        <v>2255</v>
      </c>
      <c r="B2255" t="str">
        <f t="shared" si="376"/>
        <v>TO</v>
      </c>
      <c r="C2255" t="str">
        <f t="shared" si="375"/>
        <v>KB</v>
      </c>
      <c r="D2255" t="s">
        <v>4188</v>
      </c>
      <c r="E2255" s="5">
        <v>2</v>
      </c>
      <c r="F2255" t="s">
        <v>3843</v>
      </c>
      <c r="G2255" s="4" t="s">
        <v>4215</v>
      </c>
      <c r="H2255" s="306" t="s">
        <v>527</v>
      </c>
      <c r="I2255" s="432" t="s">
        <v>2354</v>
      </c>
      <c r="K2255" t="s">
        <v>659</v>
      </c>
      <c r="L2255" t="s">
        <v>669</v>
      </c>
      <c r="M2255" t="s">
        <v>2333</v>
      </c>
    </row>
    <row r="2256" spans="1:14" ht="36">
      <c r="A2256" s="5">
        <v>2256</v>
      </c>
      <c r="B2256" t="str">
        <f>MID(G2256,11,2)</f>
        <v>TO</v>
      </c>
      <c r="C2256" t="str">
        <f>MID(G2256,14,2)</f>
        <v>KB</v>
      </c>
      <c r="D2256" t="s">
        <v>4188</v>
      </c>
      <c r="E2256" s="5">
        <v>2</v>
      </c>
      <c r="G2256" s="4" t="s">
        <v>4215</v>
      </c>
      <c r="H2256" s="306" t="s">
        <v>4216</v>
      </c>
      <c r="I2256" s="432" t="s">
        <v>4217</v>
      </c>
      <c r="K2256" t="s">
        <v>1434</v>
      </c>
      <c r="L2256" t="s">
        <v>669</v>
      </c>
      <c r="M2256" t="s">
        <v>2333</v>
      </c>
    </row>
    <row r="2257" spans="1:14">
      <c r="A2257" s="5">
        <v>2257</v>
      </c>
      <c r="B2257" t="str">
        <f t="shared" si="376"/>
        <v>TO</v>
      </c>
      <c r="C2257" t="str">
        <f t="shared" si="375"/>
        <v>KB</v>
      </c>
      <c r="D2257" t="s">
        <v>4188</v>
      </c>
      <c r="E2257" s="5">
        <v>3</v>
      </c>
      <c r="G2257" s="4" t="s">
        <v>4218</v>
      </c>
      <c r="H2257" s="306" t="s">
        <v>2780</v>
      </c>
      <c r="I2257" s="432" t="s">
        <v>3207</v>
      </c>
      <c r="K2257" t="s">
        <v>659</v>
      </c>
      <c r="L2257" t="s">
        <v>669</v>
      </c>
      <c r="M2257" t="s">
        <v>2333</v>
      </c>
    </row>
    <row r="2258" spans="1:14">
      <c r="A2258" s="5">
        <v>2258</v>
      </c>
      <c r="B2258" t="str">
        <f t="shared" ref="B2258:B2259" si="383">MID(G2258,11,2)</f>
        <v>TO</v>
      </c>
      <c r="C2258" t="str">
        <f t="shared" ref="C2258:C2259" si="384">MID(G2258,14,2)</f>
        <v>KB</v>
      </c>
      <c r="D2258" t="s">
        <v>4188</v>
      </c>
      <c r="E2258" s="5">
        <v>3</v>
      </c>
      <c r="G2258" s="4" t="s">
        <v>4218</v>
      </c>
      <c r="H2258" s="306" t="s">
        <v>1855</v>
      </c>
      <c r="I2258" s="432" t="s">
        <v>2776</v>
      </c>
      <c r="K2258" t="s">
        <v>659</v>
      </c>
      <c r="L2258" t="s">
        <v>669</v>
      </c>
      <c r="M2258" t="s">
        <v>2333</v>
      </c>
    </row>
    <row r="2259" spans="1:14">
      <c r="A2259" s="5">
        <v>2259</v>
      </c>
      <c r="B2259" t="str">
        <f t="shared" si="383"/>
        <v>TO</v>
      </c>
      <c r="C2259" t="str">
        <f t="shared" si="384"/>
        <v>KB</v>
      </c>
      <c r="D2259" t="s">
        <v>4188</v>
      </c>
      <c r="E2259" s="5">
        <v>3</v>
      </c>
      <c r="G2259" s="4" t="s">
        <v>4219</v>
      </c>
      <c r="H2259" s="306" t="s">
        <v>2778</v>
      </c>
      <c r="I2259" s="432" t="s">
        <v>2779</v>
      </c>
      <c r="K2259" t="s">
        <v>659</v>
      </c>
      <c r="L2259" t="s">
        <v>669</v>
      </c>
      <c r="M2259" t="s">
        <v>2333</v>
      </c>
    </row>
    <row r="2260" spans="1:14">
      <c r="A2260" s="5">
        <v>2260</v>
      </c>
      <c r="B2260" t="str">
        <f t="shared" ref="B2260" si="385">MID(G2260,11,2)</f>
        <v>TO</v>
      </c>
      <c r="C2260" t="str">
        <f t="shared" ref="C2260" si="386">MID(G2260,14,2)</f>
        <v>KB</v>
      </c>
      <c r="D2260" t="s">
        <v>4188</v>
      </c>
      <c r="E2260" s="5">
        <v>3</v>
      </c>
      <c r="G2260" s="4" t="s">
        <v>4220</v>
      </c>
      <c r="H2260" s="306" t="s">
        <v>2782</v>
      </c>
      <c r="I2260" s="432" t="s">
        <v>2783</v>
      </c>
      <c r="K2260" t="s">
        <v>659</v>
      </c>
      <c r="L2260" t="s">
        <v>669</v>
      </c>
      <c r="M2260" t="s">
        <v>2333</v>
      </c>
    </row>
    <row r="2261" spans="1:14">
      <c r="A2261" s="5">
        <v>2261</v>
      </c>
      <c r="B2261" t="str">
        <f t="shared" ref="B2261" si="387">MID(G2261,11,2)</f>
        <v>TO</v>
      </c>
      <c r="C2261" t="str">
        <f t="shared" ref="C2261" si="388">MID(G2261,14,2)</f>
        <v>KB</v>
      </c>
      <c r="D2261" t="s">
        <v>4188</v>
      </c>
      <c r="E2261" s="5">
        <v>3</v>
      </c>
      <c r="G2261" s="4" t="s">
        <v>4220</v>
      </c>
      <c r="H2261" s="306" t="s">
        <v>2790</v>
      </c>
      <c r="I2261" s="432" t="s">
        <v>2791</v>
      </c>
      <c r="K2261" t="s">
        <v>659</v>
      </c>
      <c r="L2261" t="s">
        <v>669</v>
      </c>
      <c r="M2261" t="s">
        <v>2333</v>
      </c>
    </row>
    <row r="2262" spans="1:14">
      <c r="A2262" s="5">
        <v>2262</v>
      </c>
      <c r="B2262" t="str">
        <f t="shared" si="376"/>
        <v>TO</v>
      </c>
      <c r="C2262" t="str">
        <f t="shared" si="375"/>
        <v>KB</v>
      </c>
      <c r="D2262" t="s">
        <v>4188</v>
      </c>
      <c r="E2262" s="5">
        <v>3</v>
      </c>
      <c r="G2262" s="4" t="s">
        <v>4220</v>
      </c>
      <c r="H2262" s="306" t="s">
        <v>3102</v>
      </c>
      <c r="I2262" s="432" t="s">
        <v>2872</v>
      </c>
      <c r="K2262" t="s">
        <v>659</v>
      </c>
      <c r="L2262" t="s">
        <v>669</v>
      </c>
      <c r="M2262" t="s">
        <v>2333</v>
      </c>
    </row>
    <row r="2263" spans="1:14">
      <c r="A2263" s="5">
        <v>2263</v>
      </c>
      <c r="B2263" t="str">
        <f t="shared" ref="B2263" si="389">MID(G2263,11,2)</f>
        <v>TO</v>
      </c>
      <c r="C2263" t="str">
        <f t="shared" ref="C2263" si="390">MID(G2263,14,2)</f>
        <v>KB</v>
      </c>
      <c r="D2263" t="s">
        <v>4188</v>
      </c>
      <c r="E2263" s="5">
        <v>3</v>
      </c>
      <c r="G2263" s="4" t="s">
        <v>4221</v>
      </c>
      <c r="H2263" s="306" t="s">
        <v>4222</v>
      </c>
      <c r="I2263" s="432" t="s">
        <v>4223</v>
      </c>
      <c r="K2263" t="s">
        <v>659</v>
      </c>
      <c r="L2263" t="s">
        <v>669</v>
      </c>
      <c r="M2263" t="s">
        <v>2333</v>
      </c>
    </row>
    <row r="2264" spans="1:14">
      <c r="A2264" s="5">
        <v>2264</v>
      </c>
      <c r="B2264" t="str">
        <f t="shared" ref="B2264:B2265" si="391">MID(G2264,11,2)</f>
        <v>TO</v>
      </c>
      <c r="C2264" t="str">
        <f t="shared" ref="C2264:C2265" si="392">MID(G2264,14,2)</f>
        <v>KB</v>
      </c>
      <c r="D2264" t="s">
        <v>4188</v>
      </c>
      <c r="E2264" s="5">
        <v>3</v>
      </c>
      <c r="G2264" s="4" t="s">
        <v>4221</v>
      </c>
      <c r="H2264" s="306" t="s">
        <v>3330</v>
      </c>
      <c r="I2264" s="432" t="s">
        <v>4224</v>
      </c>
      <c r="K2264" t="s">
        <v>659</v>
      </c>
      <c r="L2264" t="s">
        <v>669</v>
      </c>
      <c r="M2264" t="s">
        <v>2333</v>
      </c>
    </row>
    <row r="2265" spans="1:14">
      <c r="A2265" s="5">
        <v>2265</v>
      </c>
      <c r="B2265" t="str">
        <f t="shared" si="391"/>
        <v>TO</v>
      </c>
      <c r="C2265" t="str">
        <f t="shared" si="392"/>
        <v>KB</v>
      </c>
      <c r="D2265" t="s">
        <v>4188</v>
      </c>
      <c r="E2265" s="5">
        <v>3</v>
      </c>
      <c r="G2265" s="4" t="s">
        <v>4221</v>
      </c>
      <c r="H2265" s="306" t="s">
        <v>4225</v>
      </c>
      <c r="I2265" s="432" t="s">
        <v>4226</v>
      </c>
      <c r="K2265" t="s">
        <v>659</v>
      </c>
      <c r="L2265" t="s">
        <v>669</v>
      </c>
      <c r="M2265" t="s">
        <v>2333</v>
      </c>
    </row>
    <row r="2266" spans="1:14" ht="37.200000000000003" customHeight="1">
      <c r="A2266" s="5">
        <v>2266</v>
      </c>
      <c r="B2266" t="str">
        <f t="shared" ref="B2266:B2270" si="393">MID(G2266,11,2)</f>
        <v>TO</v>
      </c>
      <c r="C2266" t="str">
        <f t="shared" ref="C2266:C2270" si="394">MID(G2266,14,2)</f>
        <v>KB</v>
      </c>
      <c r="D2266" t="s">
        <v>4188</v>
      </c>
      <c r="E2266" s="5">
        <v>2</v>
      </c>
      <c r="F2266" t="s">
        <v>3843</v>
      </c>
      <c r="G2266" s="4" t="s">
        <v>4227</v>
      </c>
      <c r="H2266" s="306" t="s">
        <v>4153</v>
      </c>
      <c r="I2266" s="432" t="s">
        <v>3583</v>
      </c>
      <c r="K2266" t="s">
        <v>659</v>
      </c>
      <c r="L2266" t="s">
        <v>669</v>
      </c>
      <c r="M2266" t="s">
        <v>2333</v>
      </c>
      <c r="N2266" t="s">
        <v>4228</v>
      </c>
    </row>
    <row r="2267" spans="1:14" ht="54">
      <c r="A2267" s="5">
        <v>2267</v>
      </c>
      <c r="B2267" t="str">
        <f t="shared" si="393"/>
        <v>TO</v>
      </c>
      <c r="C2267" t="str">
        <f t="shared" si="394"/>
        <v>KB</v>
      </c>
      <c r="D2267" t="s">
        <v>4188</v>
      </c>
      <c r="E2267" s="5">
        <v>2</v>
      </c>
      <c r="F2267" t="s">
        <v>3843</v>
      </c>
      <c r="G2267" s="4" t="s">
        <v>4227</v>
      </c>
      <c r="H2267" s="306" t="s">
        <v>590</v>
      </c>
      <c r="I2267" s="432" t="s">
        <v>4114</v>
      </c>
      <c r="K2267" t="s">
        <v>659</v>
      </c>
      <c r="L2267" t="s">
        <v>669</v>
      </c>
      <c r="M2267" t="s">
        <v>2333</v>
      </c>
      <c r="N2267" s="4" t="s">
        <v>4229</v>
      </c>
    </row>
    <row r="2268" spans="1:14" ht="54">
      <c r="A2268" s="5">
        <v>2268</v>
      </c>
      <c r="B2268" t="str">
        <f t="shared" si="393"/>
        <v>TO</v>
      </c>
      <c r="C2268" t="str">
        <f t="shared" si="394"/>
        <v>KB</v>
      </c>
      <c r="D2268" t="s">
        <v>4188</v>
      </c>
      <c r="E2268" s="5">
        <v>2</v>
      </c>
      <c r="F2268" t="s">
        <v>3843</v>
      </c>
      <c r="G2268" s="4" t="s">
        <v>4227</v>
      </c>
      <c r="H2268" s="306" t="s">
        <v>571</v>
      </c>
      <c r="I2268" s="432" t="s">
        <v>2829</v>
      </c>
      <c r="K2268" t="s">
        <v>659</v>
      </c>
      <c r="L2268" t="s">
        <v>669</v>
      </c>
      <c r="M2268" t="s">
        <v>2392</v>
      </c>
      <c r="N2268" s="4" t="s">
        <v>4230</v>
      </c>
    </row>
    <row r="2269" spans="1:14" ht="18.600000000000001">
      <c r="A2269" s="5">
        <v>2269</v>
      </c>
      <c r="B2269" t="str">
        <f t="shared" si="393"/>
        <v>TO</v>
      </c>
      <c r="C2269" t="str">
        <f t="shared" si="394"/>
        <v>KB</v>
      </c>
      <c r="D2269" t="s">
        <v>4188</v>
      </c>
      <c r="E2269" s="5">
        <v>2</v>
      </c>
      <c r="G2269" s="4" t="s">
        <v>4231</v>
      </c>
      <c r="H2269" s="345" t="s">
        <v>1697</v>
      </c>
      <c r="I2269" s="432" t="s">
        <v>2742</v>
      </c>
      <c r="K2269" t="s">
        <v>659</v>
      </c>
      <c r="L2269" t="s">
        <v>669</v>
      </c>
      <c r="M2269" t="s">
        <v>2333</v>
      </c>
    </row>
    <row r="2270" spans="1:14">
      <c r="A2270" s="5">
        <v>2270</v>
      </c>
      <c r="B2270" t="str">
        <f t="shared" si="393"/>
        <v>TO</v>
      </c>
      <c r="C2270" t="str">
        <f t="shared" si="394"/>
        <v>KB</v>
      </c>
      <c r="D2270" t="s">
        <v>4188</v>
      </c>
      <c r="E2270" s="5">
        <v>2</v>
      </c>
      <c r="G2270" s="4" t="s">
        <v>4231</v>
      </c>
      <c r="H2270" s="306" t="s">
        <v>471</v>
      </c>
      <c r="I2270" s="432" t="s">
        <v>4000</v>
      </c>
      <c r="K2270" t="s">
        <v>659</v>
      </c>
      <c r="L2270" t="s">
        <v>669</v>
      </c>
      <c r="M2270" t="s">
        <v>2333</v>
      </c>
    </row>
    <row r="2271" spans="1:14" ht="36">
      <c r="A2271" s="5">
        <v>2271</v>
      </c>
      <c r="B2271" t="str">
        <f t="shared" ref="B2271" si="395">MID(G2271,11,2)</f>
        <v>TO</v>
      </c>
      <c r="C2271" t="str">
        <f t="shared" ref="C2271" si="396">MID(G2271,14,2)</f>
        <v>KB</v>
      </c>
      <c r="D2271" t="s">
        <v>4188</v>
      </c>
      <c r="E2271" s="5">
        <v>2</v>
      </c>
      <c r="G2271" s="4" t="s">
        <v>4231</v>
      </c>
      <c r="H2271" s="306" t="s">
        <v>4232</v>
      </c>
      <c r="I2271" s="432" t="s">
        <v>3980</v>
      </c>
      <c r="K2271" t="s">
        <v>1434</v>
      </c>
      <c r="L2271" t="s">
        <v>669</v>
      </c>
      <c r="M2271" t="s">
        <v>2333</v>
      </c>
      <c r="N2271" t="s">
        <v>4233</v>
      </c>
    </row>
    <row r="2272" spans="1:14" ht="18.600000000000001">
      <c r="A2272" s="5">
        <v>2272</v>
      </c>
      <c r="B2272" t="str">
        <f>MID(G2272,11,2)</f>
        <v>TO</v>
      </c>
      <c r="C2272" t="str">
        <f>MID(G2272,14,2)</f>
        <v>KB</v>
      </c>
      <c r="D2272" t="s">
        <v>4188</v>
      </c>
      <c r="E2272" s="5">
        <v>3</v>
      </c>
      <c r="G2272" s="4" t="s">
        <v>4234</v>
      </c>
      <c r="H2272" s="345" t="s">
        <v>1436</v>
      </c>
      <c r="I2272" s="432" t="s">
        <v>4235</v>
      </c>
      <c r="K2272" t="s">
        <v>659</v>
      </c>
      <c r="L2272" t="s">
        <v>669</v>
      </c>
      <c r="M2272" t="s">
        <v>2333</v>
      </c>
    </row>
    <row r="2273" spans="1:13" ht="18.600000000000001">
      <c r="A2273" s="5">
        <v>2273</v>
      </c>
      <c r="B2273" t="str">
        <f t="shared" ref="B2273:B2276" si="397">MID(G2273,11,2)</f>
        <v>TO</v>
      </c>
      <c r="C2273" t="str">
        <f t="shared" ref="C2273:C2276" si="398">MID(G2273,14,2)</f>
        <v>KB</v>
      </c>
      <c r="D2273" t="s">
        <v>4188</v>
      </c>
      <c r="E2273" s="5">
        <v>3</v>
      </c>
      <c r="G2273" s="4" t="s">
        <v>4234</v>
      </c>
      <c r="H2273" s="345" t="s">
        <v>1798</v>
      </c>
      <c r="I2273" s="432" t="s">
        <v>3181</v>
      </c>
      <c r="K2273" t="s">
        <v>659</v>
      </c>
      <c r="L2273" t="s">
        <v>669</v>
      </c>
      <c r="M2273" t="s">
        <v>2333</v>
      </c>
    </row>
    <row r="2274" spans="1:13" ht="18.600000000000001">
      <c r="A2274" s="5">
        <v>2274</v>
      </c>
      <c r="B2274" t="str">
        <f t="shared" si="397"/>
        <v>TO</v>
      </c>
      <c r="C2274" t="str">
        <f t="shared" si="398"/>
        <v>KB</v>
      </c>
      <c r="D2274" t="s">
        <v>4188</v>
      </c>
      <c r="E2274" s="5">
        <v>3</v>
      </c>
      <c r="G2274" s="4" t="s">
        <v>4234</v>
      </c>
      <c r="H2274" s="345" t="s">
        <v>1542</v>
      </c>
      <c r="I2274" s="432" t="s">
        <v>4236</v>
      </c>
      <c r="K2274" t="s">
        <v>659</v>
      </c>
      <c r="L2274" t="s">
        <v>669</v>
      </c>
      <c r="M2274" t="s">
        <v>2333</v>
      </c>
    </row>
    <row r="2275" spans="1:13" ht="18.600000000000001">
      <c r="A2275" s="5">
        <v>2275</v>
      </c>
      <c r="B2275" t="str">
        <f t="shared" si="397"/>
        <v>TO</v>
      </c>
      <c r="C2275" t="str">
        <f t="shared" si="398"/>
        <v>KB</v>
      </c>
      <c r="D2275" t="s">
        <v>4188</v>
      </c>
      <c r="E2275" s="5">
        <v>3</v>
      </c>
      <c r="G2275" s="4" t="s">
        <v>4234</v>
      </c>
      <c r="H2275" s="345" t="s">
        <v>1578</v>
      </c>
      <c r="I2275" s="432" t="s">
        <v>4237</v>
      </c>
      <c r="K2275" t="s">
        <v>659</v>
      </c>
      <c r="L2275" t="s">
        <v>669</v>
      </c>
      <c r="M2275" t="s">
        <v>2333</v>
      </c>
    </row>
    <row r="2276" spans="1:13" ht="18.600000000000001">
      <c r="A2276" s="5">
        <v>2276</v>
      </c>
      <c r="B2276" t="str">
        <f t="shared" si="397"/>
        <v>TO</v>
      </c>
      <c r="C2276" t="str">
        <f t="shared" si="398"/>
        <v>KB</v>
      </c>
      <c r="D2276" t="s">
        <v>4188</v>
      </c>
      <c r="E2276" s="5">
        <v>3</v>
      </c>
      <c r="G2276" s="4" t="s">
        <v>4234</v>
      </c>
      <c r="H2276" s="345" t="s">
        <v>4238</v>
      </c>
      <c r="I2276" s="432" t="s">
        <v>4239</v>
      </c>
      <c r="K2276" t="s">
        <v>1434</v>
      </c>
      <c r="L2276" t="s">
        <v>669</v>
      </c>
      <c r="M2276" t="s">
        <v>2333</v>
      </c>
    </row>
    <row r="2277" spans="1:13" ht="18.600000000000001">
      <c r="A2277" s="5">
        <v>2277</v>
      </c>
      <c r="B2277" t="str">
        <f>MID(G2277,11,2)</f>
        <v>TO</v>
      </c>
      <c r="C2277" t="str">
        <f>MID(G2277,14,2)</f>
        <v>KB</v>
      </c>
      <c r="D2277" t="s">
        <v>4188</v>
      </c>
      <c r="E2277" s="5">
        <v>3</v>
      </c>
      <c r="G2277" s="4" t="s">
        <v>4240</v>
      </c>
      <c r="H2277" s="345" t="s">
        <v>3074</v>
      </c>
      <c r="I2277" s="432" t="s">
        <v>3075</v>
      </c>
      <c r="K2277" t="s">
        <v>659</v>
      </c>
      <c r="L2277" t="s">
        <v>669</v>
      </c>
      <c r="M2277" t="s">
        <v>2333</v>
      </c>
    </row>
    <row r="2278" spans="1:13" ht="36">
      <c r="A2278" s="5">
        <v>2278</v>
      </c>
      <c r="B2278" t="str">
        <f t="shared" ref="B2278:B2285" si="399">MID(G2278,11,2)</f>
        <v>TO</v>
      </c>
      <c r="C2278" t="str">
        <f t="shared" ref="C2278:C2285" si="400">MID(G2278,14,2)</f>
        <v>KB</v>
      </c>
      <c r="D2278" t="s">
        <v>4188</v>
      </c>
      <c r="E2278" s="5">
        <v>3</v>
      </c>
      <c r="G2278" s="4" t="s">
        <v>4240</v>
      </c>
      <c r="H2278" s="345" t="s">
        <v>4241</v>
      </c>
      <c r="I2278" s="432" t="s">
        <v>4242</v>
      </c>
      <c r="K2278" t="s">
        <v>1434</v>
      </c>
      <c r="L2278" t="s">
        <v>669</v>
      </c>
      <c r="M2278" t="s">
        <v>2333</v>
      </c>
    </row>
    <row r="2279" spans="1:13" ht="18.600000000000001">
      <c r="A2279" s="5">
        <v>2279</v>
      </c>
      <c r="B2279" t="str">
        <f t="shared" si="399"/>
        <v>TO</v>
      </c>
      <c r="C2279" t="str">
        <f t="shared" si="400"/>
        <v>KB</v>
      </c>
      <c r="D2279" t="s">
        <v>4188</v>
      </c>
      <c r="E2279" s="5">
        <v>3</v>
      </c>
      <c r="G2279" s="4" t="s">
        <v>4240</v>
      </c>
      <c r="H2279" s="345" t="s">
        <v>1849</v>
      </c>
      <c r="I2279" s="432" t="s">
        <v>3175</v>
      </c>
      <c r="K2279" t="s">
        <v>1434</v>
      </c>
      <c r="L2279" t="s">
        <v>669</v>
      </c>
      <c r="M2279" t="s">
        <v>2333</v>
      </c>
    </row>
    <row r="2280" spans="1:13" ht="18.600000000000001">
      <c r="A2280" s="5">
        <v>2280</v>
      </c>
      <c r="B2280" t="str">
        <f t="shared" si="399"/>
        <v>TO</v>
      </c>
      <c r="C2280" t="str">
        <f t="shared" si="400"/>
        <v>KB</v>
      </c>
      <c r="D2280" t="s">
        <v>4188</v>
      </c>
      <c r="E2280" s="5">
        <v>3</v>
      </c>
      <c r="G2280" s="4" t="s">
        <v>4240</v>
      </c>
      <c r="H2280" s="345" t="s">
        <v>4243</v>
      </c>
      <c r="I2280" s="432" t="s">
        <v>4244</v>
      </c>
      <c r="K2280" t="s">
        <v>1434</v>
      </c>
      <c r="L2280" t="s">
        <v>669</v>
      </c>
      <c r="M2280" t="s">
        <v>2333</v>
      </c>
    </row>
    <row r="2281" spans="1:13" ht="18.600000000000001">
      <c r="A2281" s="5">
        <v>2281</v>
      </c>
      <c r="B2281" t="str">
        <f t="shared" si="399"/>
        <v>TO</v>
      </c>
      <c r="C2281" t="str">
        <f t="shared" si="400"/>
        <v>KB</v>
      </c>
      <c r="D2281" t="s">
        <v>4188</v>
      </c>
      <c r="E2281" s="5">
        <v>3</v>
      </c>
      <c r="G2281" s="4" t="s">
        <v>4240</v>
      </c>
      <c r="H2281" s="345" t="s">
        <v>2207</v>
      </c>
      <c r="I2281" s="432" t="s">
        <v>2208</v>
      </c>
      <c r="K2281" t="s">
        <v>659</v>
      </c>
      <c r="L2281" t="s">
        <v>669</v>
      </c>
      <c r="M2281" t="s">
        <v>2333</v>
      </c>
    </row>
    <row r="2282" spans="1:13" ht="18.600000000000001">
      <c r="A2282" s="5">
        <v>2282</v>
      </c>
      <c r="B2282" t="str">
        <f t="shared" si="399"/>
        <v>TO</v>
      </c>
      <c r="C2282" t="str">
        <f t="shared" si="400"/>
        <v>KB</v>
      </c>
      <c r="D2282" t="s">
        <v>4188</v>
      </c>
      <c r="E2282" s="5">
        <v>3</v>
      </c>
      <c r="G2282" s="4" t="s">
        <v>4245</v>
      </c>
      <c r="H2282" s="345" t="s">
        <v>4246</v>
      </c>
      <c r="I2282" s="432" t="s">
        <v>4247</v>
      </c>
      <c r="K2282" t="s">
        <v>1434</v>
      </c>
      <c r="L2282" t="s">
        <v>669</v>
      </c>
      <c r="M2282" t="s">
        <v>2333</v>
      </c>
    </row>
    <row r="2283" spans="1:13" ht="18.600000000000001">
      <c r="A2283" s="5">
        <v>2283</v>
      </c>
      <c r="B2283" t="str">
        <f t="shared" si="399"/>
        <v>TO</v>
      </c>
      <c r="C2283" t="str">
        <f t="shared" si="400"/>
        <v>KB</v>
      </c>
      <c r="D2283" t="s">
        <v>4188</v>
      </c>
      <c r="E2283" s="5">
        <v>3</v>
      </c>
      <c r="G2283" s="4" t="s">
        <v>4245</v>
      </c>
      <c r="H2283" s="345" t="s">
        <v>4248</v>
      </c>
      <c r="I2283" s="432" t="s">
        <v>4249</v>
      </c>
      <c r="K2283" t="s">
        <v>659</v>
      </c>
      <c r="L2283" t="s">
        <v>669</v>
      </c>
      <c r="M2283" t="s">
        <v>2333</v>
      </c>
    </row>
    <row r="2284" spans="1:13" ht="18.600000000000001">
      <c r="A2284" s="5">
        <v>2284</v>
      </c>
      <c r="B2284" t="str">
        <f t="shared" si="399"/>
        <v>TO</v>
      </c>
      <c r="C2284" t="str">
        <f t="shared" si="400"/>
        <v>KB</v>
      </c>
      <c r="D2284" t="s">
        <v>4188</v>
      </c>
      <c r="E2284" s="5">
        <v>3</v>
      </c>
      <c r="G2284" s="4" t="s">
        <v>4245</v>
      </c>
      <c r="H2284" s="345" t="s">
        <v>4250</v>
      </c>
      <c r="I2284" s="432" t="s">
        <v>4251</v>
      </c>
      <c r="K2284" t="s">
        <v>1434</v>
      </c>
      <c r="L2284" t="s">
        <v>669</v>
      </c>
      <c r="M2284" t="s">
        <v>2333</v>
      </c>
    </row>
    <row r="2285" spans="1:13" ht="36">
      <c r="A2285" s="5">
        <v>2285</v>
      </c>
      <c r="B2285" t="str">
        <f t="shared" si="399"/>
        <v>TO</v>
      </c>
      <c r="C2285" t="str">
        <f t="shared" si="400"/>
        <v>KB</v>
      </c>
      <c r="D2285" t="s">
        <v>4188</v>
      </c>
      <c r="E2285" s="5">
        <v>3</v>
      </c>
      <c r="G2285" s="4" t="s">
        <v>4245</v>
      </c>
      <c r="H2285" s="345" t="s">
        <v>4252</v>
      </c>
      <c r="I2285" s="432" t="s">
        <v>4253</v>
      </c>
      <c r="K2285" t="s">
        <v>1434</v>
      </c>
      <c r="L2285" t="s">
        <v>669</v>
      </c>
      <c r="M2285" t="s">
        <v>2333</v>
      </c>
    </row>
    <row r="2286" spans="1:13" ht="36">
      <c r="A2286" s="5">
        <v>2286</v>
      </c>
      <c r="B2286" t="str">
        <f t="shared" ref="B2286:B2294" si="401">MID(G2286,11,2)</f>
        <v>TO</v>
      </c>
      <c r="C2286" t="str">
        <f t="shared" ref="C2286:C2294" si="402">MID(G2286,14,2)</f>
        <v>KB</v>
      </c>
      <c r="D2286" t="s">
        <v>4188</v>
      </c>
      <c r="E2286" s="5">
        <v>3</v>
      </c>
      <c r="G2286" s="4" t="s">
        <v>4245</v>
      </c>
      <c r="H2286" s="345" t="s">
        <v>4254</v>
      </c>
      <c r="I2286" s="432" t="s">
        <v>4255</v>
      </c>
      <c r="K2286" t="s">
        <v>1434</v>
      </c>
      <c r="L2286" t="s">
        <v>669</v>
      </c>
      <c r="M2286" t="s">
        <v>2333</v>
      </c>
    </row>
    <row r="2287" spans="1:13" ht="18.600000000000001">
      <c r="A2287" s="5">
        <v>2287</v>
      </c>
      <c r="B2287" t="str">
        <f t="shared" si="401"/>
        <v>TO</v>
      </c>
      <c r="C2287" t="str">
        <f t="shared" si="402"/>
        <v>KB</v>
      </c>
      <c r="D2287" t="s">
        <v>4188</v>
      </c>
      <c r="E2287" s="5">
        <v>3</v>
      </c>
      <c r="G2287" s="4" t="s">
        <v>4256</v>
      </c>
      <c r="H2287" s="345" t="s">
        <v>5324</v>
      </c>
      <c r="I2287" s="432" t="s">
        <v>4257</v>
      </c>
      <c r="K2287" t="s">
        <v>1434</v>
      </c>
      <c r="L2287" t="s">
        <v>669</v>
      </c>
      <c r="M2287" t="s">
        <v>2333</v>
      </c>
    </row>
    <row r="2288" spans="1:13" ht="36">
      <c r="A2288" s="5">
        <v>2288</v>
      </c>
      <c r="B2288" t="str">
        <f t="shared" si="401"/>
        <v>TO</v>
      </c>
      <c r="C2288" t="str">
        <f t="shared" si="402"/>
        <v>KB</v>
      </c>
      <c r="D2288" t="s">
        <v>4188</v>
      </c>
      <c r="E2288" s="5">
        <v>3</v>
      </c>
      <c r="G2288" s="4" t="s">
        <v>4256</v>
      </c>
      <c r="H2288" s="345" t="s">
        <v>4258</v>
      </c>
      <c r="I2288" s="432" t="s">
        <v>4259</v>
      </c>
      <c r="K2288" t="s">
        <v>1434</v>
      </c>
      <c r="L2288" t="s">
        <v>669</v>
      </c>
      <c r="M2288" t="s">
        <v>2333</v>
      </c>
    </row>
    <row r="2289" spans="1:14" ht="18.600000000000001">
      <c r="A2289" s="5">
        <v>2289</v>
      </c>
      <c r="B2289" t="str">
        <f t="shared" si="401"/>
        <v>TO</v>
      </c>
      <c r="C2289" t="str">
        <f t="shared" si="402"/>
        <v>KB</v>
      </c>
      <c r="D2289" t="s">
        <v>4188</v>
      </c>
      <c r="E2289" s="5">
        <v>3</v>
      </c>
      <c r="G2289" s="4" t="s">
        <v>4256</v>
      </c>
      <c r="H2289" s="345" t="s">
        <v>3735</v>
      </c>
      <c r="I2289" s="432" t="s">
        <v>3779</v>
      </c>
      <c r="K2289" t="s">
        <v>659</v>
      </c>
      <c r="L2289" t="s">
        <v>669</v>
      </c>
      <c r="M2289" t="s">
        <v>2333</v>
      </c>
    </row>
    <row r="2290" spans="1:14" ht="36">
      <c r="A2290" s="5">
        <v>2290</v>
      </c>
      <c r="B2290" t="str">
        <f t="shared" si="401"/>
        <v>TO</v>
      </c>
      <c r="C2290" t="str">
        <f t="shared" si="402"/>
        <v>KB</v>
      </c>
      <c r="D2290" t="s">
        <v>4188</v>
      </c>
      <c r="E2290" s="5">
        <v>3</v>
      </c>
      <c r="G2290" s="4" t="s">
        <v>4256</v>
      </c>
      <c r="H2290" s="345" t="s">
        <v>4260</v>
      </c>
      <c r="I2290" s="432" t="s">
        <v>4261</v>
      </c>
      <c r="K2290" t="s">
        <v>1434</v>
      </c>
      <c r="L2290" t="s">
        <v>669</v>
      </c>
      <c r="M2290" t="s">
        <v>2333</v>
      </c>
    </row>
    <row r="2291" spans="1:14" ht="36">
      <c r="A2291" s="5">
        <v>2291</v>
      </c>
      <c r="B2291" t="str">
        <f t="shared" si="401"/>
        <v>TO</v>
      </c>
      <c r="C2291" t="str">
        <f t="shared" si="402"/>
        <v>KB</v>
      </c>
      <c r="D2291" t="s">
        <v>4188</v>
      </c>
      <c r="E2291" s="5">
        <v>3</v>
      </c>
      <c r="G2291" s="4" t="s">
        <v>4256</v>
      </c>
      <c r="H2291" s="345" t="s">
        <v>4262</v>
      </c>
      <c r="I2291" s="432" t="s">
        <v>4263</v>
      </c>
      <c r="K2291" t="s">
        <v>1434</v>
      </c>
      <c r="L2291" t="s">
        <v>669</v>
      </c>
      <c r="M2291" t="s">
        <v>2333</v>
      </c>
    </row>
    <row r="2292" spans="1:14" ht="18.600000000000001">
      <c r="A2292" s="5">
        <v>2292</v>
      </c>
      <c r="B2292" t="str">
        <f t="shared" si="401"/>
        <v>TO</v>
      </c>
      <c r="C2292" t="str">
        <f t="shared" si="402"/>
        <v>KB</v>
      </c>
      <c r="D2292" t="s">
        <v>4188</v>
      </c>
      <c r="E2292" s="5">
        <v>3</v>
      </c>
      <c r="G2292" s="4" t="s">
        <v>4264</v>
      </c>
      <c r="H2292" s="345" t="s">
        <v>4265</v>
      </c>
      <c r="I2292" s="432" t="s">
        <v>4266</v>
      </c>
      <c r="K2292" t="s">
        <v>1434</v>
      </c>
      <c r="L2292" t="s">
        <v>669</v>
      </c>
      <c r="M2292" t="s">
        <v>2333</v>
      </c>
    </row>
    <row r="2293" spans="1:14" ht="36">
      <c r="A2293" s="5">
        <v>2293</v>
      </c>
      <c r="B2293" t="str">
        <f t="shared" si="401"/>
        <v>TO</v>
      </c>
      <c r="C2293" t="str">
        <f t="shared" si="402"/>
        <v>KB</v>
      </c>
      <c r="D2293" t="s">
        <v>4188</v>
      </c>
      <c r="E2293" s="5">
        <v>3</v>
      </c>
      <c r="G2293" s="4" t="s">
        <v>4264</v>
      </c>
      <c r="H2293" s="345" t="s">
        <v>4267</v>
      </c>
      <c r="I2293" s="432" t="s">
        <v>4268</v>
      </c>
      <c r="K2293" t="s">
        <v>1434</v>
      </c>
      <c r="L2293" t="s">
        <v>669</v>
      </c>
      <c r="M2293" t="s">
        <v>2333</v>
      </c>
    </row>
    <row r="2294" spans="1:14" ht="36">
      <c r="A2294" s="5">
        <v>2294</v>
      </c>
      <c r="B2294" t="str">
        <f t="shared" si="401"/>
        <v>TO</v>
      </c>
      <c r="C2294" t="str">
        <f t="shared" si="402"/>
        <v>KB</v>
      </c>
      <c r="D2294" t="s">
        <v>4188</v>
      </c>
      <c r="E2294" s="5">
        <v>3</v>
      </c>
      <c r="G2294" s="4" t="s">
        <v>4264</v>
      </c>
      <c r="H2294" s="345" t="s">
        <v>4269</v>
      </c>
      <c r="I2294" s="432" t="s">
        <v>4270</v>
      </c>
      <c r="K2294" t="s">
        <v>1434</v>
      </c>
      <c r="L2294" t="s">
        <v>669</v>
      </c>
      <c r="M2294" t="s">
        <v>2333</v>
      </c>
    </row>
    <row r="2295" spans="1:14" ht="18.600000000000001">
      <c r="A2295" s="5">
        <v>2295</v>
      </c>
      <c r="B2295" t="str">
        <f>MID(G2295,11,2)</f>
        <v>TO</v>
      </c>
      <c r="C2295" t="str">
        <f>MID(G2295,14,2)</f>
        <v>KB</v>
      </c>
      <c r="D2295" t="s">
        <v>4188</v>
      </c>
      <c r="E2295" s="5">
        <v>3</v>
      </c>
      <c r="G2295" s="4" t="s">
        <v>4271</v>
      </c>
      <c r="H2295" s="70" t="s">
        <v>4272</v>
      </c>
      <c r="I2295" s="438" t="s">
        <v>4273</v>
      </c>
      <c r="K2295" t="s">
        <v>1434</v>
      </c>
      <c r="L2295" t="s">
        <v>669</v>
      </c>
      <c r="M2295" t="s">
        <v>2333</v>
      </c>
    </row>
    <row r="2296" spans="1:14" ht="18.600000000000001">
      <c r="A2296" s="5">
        <v>2296</v>
      </c>
      <c r="B2296" t="str">
        <f t="shared" ref="B2296:B2300" si="403">MID(G2296,11,2)</f>
        <v>TO</v>
      </c>
      <c r="C2296" t="str">
        <f t="shared" ref="C2296:C2300" si="404">MID(G2296,14,2)</f>
        <v>KB</v>
      </c>
      <c r="D2296" t="s">
        <v>4188</v>
      </c>
      <c r="E2296" s="5">
        <v>3</v>
      </c>
      <c r="G2296" s="4" t="s">
        <v>4271</v>
      </c>
      <c r="H2296" s="70" t="s">
        <v>4274</v>
      </c>
      <c r="I2296" s="438" t="s">
        <v>4275</v>
      </c>
      <c r="K2296" t="s">
        <v>1434</v>
      </c>
      <c r="L2296" t="s">
        <v>669</v>
      </c>
      <c r="M2296" t="s">
        <v>2333</v>
      </c>
    </row>
    <row r="2297" spans="1:14" ht="18.600000000000001">
      <c r="A2297" s="5">
        <v>2297</v>
      </c>
      <c r="B2297" t="str">
        <f t="shared" si="403"/>
        <v>TO</v>
      </c>
      <c r="C2297" t="str">
        <f t="shared" si="404"/>
        <v>KB</v>
      </c>
      <c r="D2297" t="s">
        <v>4188</v>
      </c>
      <c r="E2297" s="5">
        <v>3</v>
      </c>
      <c r="G2297" s="4" t="s">
        <v>4271</v>
      </c>
      <c r="H2297" s="70" t="s">
        <v>5325</v>
      </c>
      <c r="I2297" s="438" t="s">
        <v>4276</v>
      </c>
      <c r="K2297" t="s">
        <v>1434</v>
      </c>
      <c r="L2297" t="s">
        <v>669</v>
      </c>
      <c r="M2297" t="s">
        <v>2333</v>
      </c>
    </row>
    <row r="2298" spans="1:14" ht="18.600000000000001">
      <c r="A2298" s="5">
        <v>2298</v>
      </c>
      <c r="B2298" t="str">
        <f t="shared" si="403"/>
        <v>TO</v>
      </c>
      <c r="C2298" t="str">
        <f t="shared" si="404"/>
        <v>KB</v>
      </c>
      <c r="D2298" t="s">
        <v>4188</v>
      </c>
      <c r="E2298" s="5">
        <v>3</v>
      </c>
      <c r="G2298" s="4" t="s">
        <v>4271</v>
      </c>
      <c r="H2298" s="70" t="s">
        <v>4277</v>
      </c>
      <c r="I2298" s="438" t="s">
        <v>4278</v>
      </c>
      <c r="K2298" t="s">
        <v>1434</v>
      </c>
      <c r="L2298" t="s">
        <v>669</v>
      </c>
      <c r="M2298" t="s">
        <v>2333</v>
      </c>
    </row>
    <row r="2299" spans="1:14" ht="18.600000000000001">
      <c r="A2299" s="5">
        <v>2299</v>
      </c>
      <c r="B2299" t="str">
        <f t="shared" si="403"/>
        <v>TO</v>
      </c>
      <c r="C2299" t="str">
        <f t="shared" si="404"/>
        <v>KB</v>
      </c>
      <c r="D2299" t="s">
        <v>4188</v>
      </c>
      <c r="E2299" s="5">
        <v>3</v>
      </c>
      <c r="G2299" s="4" t="s">
        <v>4271</v>
      </c>
      <c r="H2299" s="70" t="s">
        <v>5327</v>
      </c>
      <c r="I2299" s="438" t="s">
        <v>4279</v>
      </c>
      <c r="K2299" t="s">
        <v>659</v>
      </c>
      <c r="L2299" t="s">
        <v>669</v>
      </c>
      <c r="M2299" t="s">
        <v>2333</v>
      </c>
      <c r="N2299" t="s">
        <v>5326</v>
      </c>
    </row>
    <row r="2300" spans="1:14" ht="18.600000000000001">
      <c r="A2300" s="5">
        <v>2300</v>
      </c>
      <c r="B2300" t="str">
        <f t="shared" si="403"/>
        <v>TO</v>
      </c>
      <c r="C2300" t="str">
        <f t="shared" si="404"/>
        <v>KB</v>
      </c>
      <c r="D2300" t="s">
        <v>4188</v>
      </c>
      <c r="E2300" s="5">
        <v>3</v>
      </c>
      <c r="G2300" s="4" t="s">
        <v>4271</v>
      </c>
      <c r="H2300" s="70" t="s">
        <v>4280</v>
      </c>
      <c r="I2300" s="438" t="s">
        <v>4281</v>
      </c>
      <c r="K2300" t="s">
        <v>1434</v>
      </c>
      <c r="L2300" t="s">
        <v>669</v>
      </c>
      <c r="M2300" t="s">
        <v>2333</v>
      </c>
    </row>
    <row r="2301" spans="1:14" ht="18.600000000000001">
      <c r="A2301" s="5">
        <v>2301</v>
      </c>
      <c r="B2301" t="str">
        <f t="shared" ref="B2301:B2306" si="405">MID(G2301,11,2)</f>
        <v>TO</v>
      </c>
      <c r="C2301" t="str">
        <f t="shared" ref="C2301:C2306" si="406">MID(G2301,14,2)</f>
        <v>KB</v>
      </c>
      <c r="D2301" t="s">
        <v>4188</v>
      </c>
      <c r="E2301" s="5">
        <v>3</v>
      </c>
      <c r="G2301" s="4" t="s">
        <v>4282</v>
      </c>
      <c r="H2301" s="70" t="s">
        <v>4283</v>
      </c>
      <c r="I2301" s="438" t="s">
        <v>4284</v>
      </c>
      <c r="K2301" t="s">
        <v>1434</v>
      </c>
      <c r="L2301" t="s">
        <v>669</v>
      </c>
      <c r="M2301" t="s">
        <v>2333</v>
      </c>
    </row>
    <row r="2302" spans="1:14" ht="36">
      <c r="A2302" s="5">
        <v>2302</v>
      </c>
      <c r="B2302" t="str">
        <f t="shared" si="405"/>
        <v>TO</v>
      </c>
      <c r="C2302" t="str">
        <f t="shared" si="406"/>
        <v>KB</v>
      </c>
      <c r="D2302" t="s">
        <v>4188</v>
      </c>
      <c r="E2302" s="5">
        <v>3</v>
      </c>
      <c r="G2302" s="4" t="s">
        <v>4282</v>
      </c>
      <c r="H2302" s="70" t="s">
        <v>4285</v>
      </c>
      <c r="I2302" s="438" t="s">
        <v>4286</v>
      </c>
      <c r="K2302" t="s">
        <v>1434</v>
      </c>
      <c r="L2302" t="s">
        <v>669</v>
      </c>
      <c r="M2302" t="s">
        <v>2333</v>
      </c>
    </row>
    <row r="2303" spans="1:14" ht="18.600000000000001">
      <c r="A2303" s="5">
        <v>2303</v>
      </c>
      <c r="B2303" t="str">
        <f t="shared" si="405"/>
        <v>TO</v>
      </c>
      <c r="C2303" t="str">
        <f t="shared" si="406"/>
        <v>KB</v>
      </c>
      <c r="D2303" t="s">
        <v>4188</v>
      </c>
      <c r="E2303" s="5">
        <v>3</v>
      </c>
      <c r="G2303" s="4" t="s">
        <v>4282</v>
      </c>
      <c r="H2303" s="70" t="s">
        <v>4287</v>
      </c>
      <c r="I2303" s="438" t="s">
        <v>4288</v>
      </c>
      <c r="K2303" t="s">
        <v>1434</v>
      </c>
      <c r="L2303" t="s">
        <v>669</v>
      </c>
      <c r="M2303" t="s">
        <v>2333</v>
      </c>
    </row>
    <row r="2304" spans="1:14" ht="18.600000000000001">
      <c r="A2304" s="5">
        <v>2304</v>
      </c>
      <c r="B2304" t="str">
        <f t="shared" si="405"/>
        <v>TO</v>
      </c>
      <c r="C2304" t="str">
        <f t="shared" si="406"/>
        <v>KB</v>
      </c>
      <c r="D2304" t="s">
        <v>4188</v>
      </c>
      <c r="E2304" s="5">
        <v>3</v>
      </c>
      <c r="G2304" s="4" t="s">
        <v>4282</v>
      </c>
      <c r="H2304" s="70" t="s">
        <v>4289</v>
      </c>
      <c r="I2304" s="438" t="s">
        <v>4290</v>
      </c>
      <c r="K2304" t="s">
        <v>1434</v>
      </c>
      <c r="L2304" t="s">
        <v>669</v>
      </c>
      <c r="M2304" t="s">
        <v>2333</v>
      </c>
    </row>
    <row r="2305" spans="1:14" ht="18.600000000000001">
      <c r="A2305" s="5">
        <v>2305</v>
      </c>
      <c r="B2305" t="str">
        <f t="shared" si="405"/>
        <v>TO</v>
      </c>
      <c r="C2305" t="str">
        <f t="shared" si="406"/>
        <v>KB</v>
      </c>
      <c r="D2305" t="s">
        <v>4188</v>
      </c>
      <c r="E2305" s="5">
        <v>3</v>
      </c>
      <c r="G2305" s="4" t="s">
        <v>4282</v>
      </c>
      <c r="H2305" s="70" t="s">
        <v>4291</v>
      </c>
      <c r="I2305" s="438" t="s">
        <v>4292</v>
      </c>
      <c r="K2305" t="s">
        <v>1434</v>
      </c>
      <c r="L2305" t="s">
        <v>669</v>
      </c>
      <c r="M2305" t="s">
        <v>2333</v>
      </c>
    </row>
    <row r="2306" spans="1:14" ht="36">
      <c r="A2306" s="5">
        <v>2306</v>
      </c>
      <c r="B2306" t="str">
        <f t="shared" si="405"/>
        <v>TO</v>
      </c>
      <c r="C2306" t="str">
        <f t="shared" si="406"/>
        <v>KB</v>
      </c>
      <c r="D2306" t="s">
        <v>4188</v>
      </c>
      <c r="E2306" s="5">
        <v>3</v>
      </c>
      <c r="G2306" s="4" t="s">
        <v>4282</v>
      </c>
      <c r="H2306" s="70" t="s">
        <v>4293</v>
      </c>
      <c r="I2306" s="438" t="s">
        <v>4294</v>
      </c>
      <c r="K2306" t="s">
        <v>659</v>
      </c>
      <c r="L2306" t="s">
        <v>669</v>
      </c>
      <c r="M2306" t="s">
        <v>2333</v>
      </c>
    </row>
    <row r="2307" spans="1:14">
      <c r="A2307" s="5">
        <v>2307</v>
      </c>
      <c r="B2307" t="s">
        <v>114</v>
      </c>
      <c r="C2307" t="s">
        <v>17</v>
      </c>
      <c r="D2307" t="s">
        <v>4295</v>
      </c>
      <c r="E2307" s="5">
        <v>1</v>
      </c>
      <c r="G2307" s="4" t="s">
        <v>4296</v>
      </c>
      <c r="H2307" s="306" t="s">
        <v>4297</v>
      </c>
      <c r="I2307" s="432" t="s">
        <v>4298</v>
      </c>
      <c r="K2307" t="s">
        <v>1434</v>
      </c>
      <c r="L2307" t="s">
        <v>669</v>
      </c>
      <c r="M2307" t="s">
        <v>2333</v>
      </c>
    </row>
    <row r="2308" spans="1:14">
      <c r="A2308" s="5">
        <v>2308</v>
      </c>
      <c r="B2308" t="s">
        <v>114</v>
      </c>
      <c r="C2308" t="s">
        <v>17</v>
      </c>
      <c r="D2308" t="s">
        <v>4295</v>
      </c>
      <c r="E2308" s="5">
        <v>2</v>
      </c>
      <c r="G2308" s="4" t="s">
        <v>4299</v>
      </c>
      <c r="H2308" s="306" t="s">
        <v>4300</v>
      </c>
      <c r="I2308" s="432" t="s">
        <v>4301</v>
      </c>
      <c r="K2308" t="s">
        <v>1434</v>
      </c>
      <c r="L2308" t="s">
        <v>669</v>
      </c>
      <c r="M2308" t="s">
        <v>2333</v>
      </c>
    </row>
    <row r="2309" spans="1:14">
      <c r="A2309" s="5">
        <v>2309</v>
      </c>
      <c r="B2309" t="str">
        <f t="shared" ref="B2309" si="407">MID(G2309,11,2)</f>
        <v>TO</v>
      </c>
      <c r="C2309" t="str">
        <f t="shared" ref="C2309" si="408">MID(G2309,14,2)</f>
        <v>KB</v>
      </c>
      <c r="D2309" t="s">
        <v>4295</v>
      </c>
      <c r="E2309" s="5">
        <v>2</v>
      </c>
      <c r="G2309" s="4" t="s">
        <v>4299</v>
      </c>
      <c r="H2309" s="306" t="s">
        <v>4302</v>
      </c>
      <c r="I2309" s="432" t="s">
        <v>4303</v>
      </c>
      <c r="K2309" t="s">
        <v>1434</v>
      </c>
      <c r="L2309" t="s">
        <v>669</v>
      </c>
      <c r="M2309" t="s">
        <v>2333</v>
      </c>
    </row>
    <row r="2310" spans="1:14">
      <c r="A2310" s="5">
        <v>2310</v>
      </c>
      <c r="B2310" t="str">
        <f t="shared" ref="B2310:B2313" si="409">MID(G2310,11,2)</f>
        <v>TO</v>
      </c>
      <c r="C2310" t="str">
        <f t="shared" ref="C2310:C2313" si="410">MID(G2310,14,2)</f>
        <v>KB</v>
      </c>
      <c r="D2310" t="s">
        <v>4295</v>
      </c>
      <c r="E2310" s="5">
        <v>2</v>
      </c>
      <c r="G2310" s="4" t="s">
        <v>4299</v>
      </c>
      <c r="H2310" s="306" t="s">
        <v>4304</v>
      </c>
      <c r="I2310" s="432" t="s">
        <v>4305</v>
      </c>
      <c r="K2310" t="s">
        <v>659</v>
      </c>
      <c r="L2310" t="s">
        <v>669</v>
      </c>
      <c r="M2310" t="s">
        <v>2333</v>
      </c>
    </row>
    <row r="2311" spans="1:14">
      <c r="A2311" s="5">
        <v>2311</v>
      </c>
      <c r="B2311" t="str">
        <f t="shared" si="409"/>
        <v>TO</v>
      </c>
      <c r="C2311" t="str">
        <f t="shared" si="410"/>
        <v>KB</v>
      </c>
      <c r="D2311" t="s">
        <v>4295</v>
      </c>
      <c r="E2311" s="5">
        <v>2</v>
      </c>
      <c r="G2311" s="4" t="s">
        <v>4299</v>
      </c>
      <c r="H2311" s="306" t="s">
        <v>4306</v>
      </c>
      <c r="I2311" s="432" t="s">
        <v>4307</v>
      </c>
      <c r="K2311" t="s">
        <v>659</v>
      </c>
      <c r="L2311" t="s">
        <v>669</v>
      </c>
      <c r="M2311" t="s">
        <v>2392</v>
      </c>
      <c r="N2311" t="s">
        <v>5328</v>
      </c>
    </row>
    <row r="2312" spans="1:14">
      <c r="A2312" s="5">
        <v>2312</v>
      </c>
      <c r="B2312" t="str">
        <f t="shared" si="409"/>
        <v>TO</v>
      </c>
      <c r="C2312" t="str">
        <f t="shared" si="410"/>
        <v>KB</v>
      </c>
      <c r="D2312" t="s">
        <v>4295</v>
      </c>
      <c r="E2312" s="5">
        <v>2</v>
      </c>
      <c r="G2312" s="4" t="s">
        <v>4299</v>
      </c>
      <c r="H2312" s="306" t="s">
        <v>4309</v>
      </c>
      <c r="I2312" s="432" t="s">
        <v>4310</v>
      </c>
      <c r="K2312" t="s">
        <v>1434</v>
      </c>
      <c r="L2312" t="s">
        <v>669</v>
      </c>
      <c r="M2312" t="s">
        <v>2333</v>
      </c>
    </row>
    <row r="2313" spans="1:14" ht="36">
      <c r="A2313" s="5">
        <v>2313</v>
      </c>
      <c r="B2313" t="str">
        <f t="shared" si="409"/>
        <v>TO</v>
      </c>
      <c r="C2313" t="str">
        <f t="shared" si="410"/>
        <v>KB</v>
      </c>
      <c r="D2313" t="s">
        <v>4295</v>
      </c>
      <c r="E2313" s="5">
        <v>2</v>
      </c>
      <c r="G2313" s="4" t="s">
        <v>4311</v>
      </c>
      <c r="H2313" s="70" t="s">
        <v>4312</v>
      </c>
      <c r="I2313" s="438" t="s">
        <v>4313</v>
      </c>
      <c r="K2313" t="s">
        <v>1434</v>
      </c>
      <c r="L2313" t="s">
        <v>669</v>
      </c>
      <c r="M2313" t="s">
        <v>2333</v>
      </c>
    </row>
    <row r="2314" spans="1:14" ht="18.600000000000001">
      <c r="A2314" s="5">
        <v>2314</v>
      </c>
      <c r="B2314" t="str">
        <f t="shared" ref="B2314:B2316" si="411">MID(G2314,11,2)</f>
        <v>TO</v>
      </c>
      <c r="C2314" t="str">
        <f t="shared" ref="C2314:C2316" si="412">MID(G2314,14,2)</f>
        <v>KB</v>
      </c>
      <c r="D2314" t="s">
        <v>4295</v>
      </c>
      <c r="E2314" s="5">
        <v>2</v>
      </c>
      <c r="G2314" s="4" t="s">
        <v>4311</v>
      </c>
      <c r="H2314" s="70" t="s">
        <v>4314</v>
      </c>
      <c r="I2314" s="438" t="s">
        <v>4315</v>
      </c>
      <c r="K2314" t="s">
        <v>1434</v>
      </c>
      <c r="L2314" t="s">
        <v>669</v>
      </c>
      <c r="M2314" t="s">
        <v>2333</v>
      </c>
    </row>
    <row r="2315" spans="1:14" ht="18.600000000000001">
      <c r="A2315" s="5">
        <v>2315</v>
      </c>
      <c r="B2315" t="str">
        <f t="shared" si="411"/>
        <v>TO</v>
      </c>
      <c r="C2315" t="str">
        <f t="shared" si="412"/>
        <v>KB</v>
      </c>
      <c r="D2315" t="s">
        <v>4295</v>
      </c>
      <c r="E2315" s="5">
        <v>2</v>
      </c>
      <c r="G2315" s="4" t="s">
        <v>4311</v>
      </c>
      <c r="H2315" s="70" t="s">
        <v>4316</v>
      </c>
      <c r="I2315" s="438" t="s">
        <v>4317</v>
      </c>
      <c r="K2315" t="s">
        <v>1434</v>
      </c>
      <c r="L2315" t="s">
        <v>669</v>
      </c>
      <c r="M2315" t="s">
        <v>2333</v>
      </c>
    </row>
    <row r="2316" spans="1:14" ht="18.600000000000001">
      <c r="A2316" s="5">
        <v>2316</v>
      </c>
      <c r="B2316" t="str">
        <f t="shared" si="411"/>
        <v>TO</v>
      </c>
      <c r="C2316" t="str">
        <f t="shared" si="412"/>
        <v>KB</v>
      </c>
      <c r="D2316" t="s">
        <v>4295</v>
      </c>
      <c r="E2316" s="5">
        <v>2</v>
      </c>
      <c r="G2316" s="4" t="s">
        <v>4311</v>
      </c>
      <c r="H2316" s="70" t="s">
        <v>4318</v>
      </c>
      <c r="I2316" s="438" t="s">
        <v>4319</v>
      </c>
      <c r="K2316" t="s">
        <v>1434</v>
      </c>
      <c r="L2316" t="s">
        <v>669</v>
      </c>
      <c r="M2316" t="s">
        <v>2333</v>
      </c>
    </row>
    <row r="2317" spans="1:14" ht="18.600000000000001">
      <c r="A2317" s="5">
        <v>2317</v>
      </c>
      <c r="B2317" t="str">
        <f t="shared" ref="B2317:B2319" si="413">MID(G2317,11,2)</f>
        <v>TO</v>
      </c>
      <c r="C2317" t="str">
        <f t="shared" ref="C2317:C2319" si="414">MID(G2317,14,2)</f>
        <v>KB</v>
      </c>
      <c r="D2317" t="s">
        <v>4295</v>
      </c>
      <c r="E2317" s="5">
        <v>2</v>
      </c>
      <c r="G2317" s="4" t="s">
        <v>4311</v>
      </c>
      <c r="H2317" s="70" t="s">
        <v>1843</v>
      </c>
      <c r="I2317" s="438" t="s">
        <v>3173</v>
      </c>
      <c r="K2317" t="s">
        <v>659</v>
      </c>
      <c r="L2317" t="s">
        <v>669</v>
      </c>
      <c r="M2317" t="s">
        <v>2333</v>
      </c>
    </row>
    <row r="2318" spans="1:14" ht="18.600000000000001">
      <c r="A2318" s="5">
        <v>2318</v>
      </c>
      <c r="B2318" t="str">
        <f t="shared" si="413"/>
        <v>TO</v>
      </c>
      <c r="C2318" t="str">
        <f t="shared" si="414"/>
        <v>KB</v>
      </c>
      <c r="D2318" t="s">
        <v>4295</v>
      </c>
      <c r="E2318" s="5">
        <v>2</v>
      </c>
      <c r="G2318" s="4" t="s">
        <v>4320</v>
      </c>
      <c r="H2318" s="70" t="s">
        <v>4321</v>
      </c>
      <c r="I2318" s="438" t="s">
        <v>4322</v>
      </c>
      <c r="K2318" t="s">
        <v>1434</v>
      </c>
      <c r="L2318" t="s">
        <v>669</v>
      </c>
      <c r="M2318" t="s">
        <v>2333</v>
      </c>
    </row>
    <row r="2319" spans="1:14" ht="18.600000000000001">
      <c r="A2319" s="5">
        <v>2319</v>
      </c>
      <c r="B2319" t="str">
        <f t="shared" si="413"/>
        <v>TO</v>
      </c>
      <c r="C2319" t="str">
        <f t="shared" si="414"/>
        <v>KB</v>
      </c>
      <c r="D2319" t="s">
        <v>4295</v>
      </c>
      <c r="E2319" s="5">
        <v>2</v>
      </c>
      <c r="G2319" s="4" t="s">
        <v>4320</v>
      </c>
      <c r="H2319" s="70" t="s">
        <v>4323</v>
      </c>
      <c r="I2319" s="438" t="s">
        <v>4324</v>
      </c>
      <c r="K2319" t="s">
        <v>659</v>
      </c>
      <c r="L2319" t="s">
        <v>669</v>
      </c>
      <c r="M2319" t="s">
        <v>2333</v>
      </c>
    </row>
    <row r="2320" spans="1:14" ht="18.600000000000001">
      <c r="A2320" s="5">
        <v>2320</v>
      </c>
      <c r="B2320" t="str">
        <f t="shared" ref="B2320:B2327" si="415">MID(G2320,11,2)</f>
        <v>TO</v>
      </c>
      <c r="C2320" t="str">
        <f t="shared" ref="C2320:C2327" si="416">MID(G2320,14,2)</f>
        <v>KB</v>
      </c>
      <c r="D2320" t="s">
        <v>4295</v>
      </c>
      <c r="E2320" s="5">
        <v>2</v>
      </c>
      <c r="G2320" s="4" t="s">
        <v>4320</v>
      </c>
      <c r="H2320" s="70" t="s">
        <v>4325</v>
      </c>
      <c r="I2320" s="438" t="s">
        <v>4326</v>
      </c>
      <c r="K2320" t="s">
        <v>1434</v>
      </c>
      <c r="L2320" t="s">
        <v>669</v>
      </c>
      <c r="M2320" t="s">
        <v>2102</v>
      </c>
    </row>
    <row r="2321" spans="1:13" ht="18.600000000000001">
      <c r="A2321" s="5">
        <v>2321</v>
      </c>
      <c r="B2321" t="str">
        <f t="shared" si="415"/>
        <v>TO</v>
      </c>
      <c r="C2321" t="str">
        <f t="shared" si="416"/>
        <v>KB</v>
      </c>
      <c r="D2321" t="s">
        <v>4295</v>
      </c>
      <c r="E2321" s="5">
        <v>2</v>
      </c>
      <c r="G2321" s="4" t="s">
        <v>4320</v>
      </c>
      <c r="H2321" s="70" t="s">
        <v>4327</v>
      </c>
      <c r="I2321" s="438" t="s">
        <v>4328</v>
      </c>
      <c r="K2321" t="s">
        <v>1434</v>
      </c>
      <c r="L2321" t="s">
        <v>669</v>
      </c>
      <c r="M2321" t="s">
        <v>2102</v>
      </c>
    </row>
    <row r="2322" spans="1:13" ht="36">
      <c r="A2322" s="5">
        <v>2322</v>
      </c>
      <c r="B2322" t="str">
        <f t="shared" si="415"/>
        <v>TO</v>
      </c>
      <c r="C2322" t="str">
        <f t="shared" si="416"/>
        <v>KB</v>
      </c>
      <c r="D2322" t="s">
        <v>4295</v>
      </c>
      <c r="E2322" s="5">
        <v>2</v>
      </c>
      <c r="G2322" s="4" t="s">
        <v>4320</v>
      </c>
      <c r="H2322" s="70" t="s">
        <v>4329</v>
      </c>
      <c r="I2322" s="438" t="s">
        <v>4330</v>
      </c>
      <c r="K2322" t="s">
        <v>1434</v>
      </c>
      <c r="L2322" t="s">
        <v>669</v>
      </c>
      <c r="M2322" t="s">
        <v>2333</v>
      </c>
    </row>
    <row r="2323" spans="1:13" ht="36">
      <c r="A2323" s="5">
        <v>2323</v>
      </c>
      <c r="B2323" t="str">
        <f t="shared" si="415"/>
        <v>TO</v>
      </c>
      <c r="C2323" t="str">
        <f t="shared" si="416"/>
        <v>KB</v>
      </c>
      <c r="D2323" t="s">
        <v>4295</v>
      </c>
      <c r="E2323" s="5">
        <v>3</v>
      </c>
      <c r="G2323" s="4" t="s">
        <v>4331</v>
      </c>
      <c r="H2323" s="70" t="s">
        <v>4332</v>
      </c>
      <c r="I2323" s="438" t="s">
        <v>4333</v>
      </c>
      <c r="K2323" t="s">
        <v>1434</v>
      </c>
      <c r="L2323" t="s">
        <v>669</v>
      </c>
      <c r="M2323" t="s">
        <v>2333</v>
      </c>
    </row>
    <row r="2324" spans="1:13" ht="18.600000000000001">
      <c r="A2324" s="5">
        <v>2324</v>
      </c>
      <c r="B2324" t="str">
        <f t="shared" si="415"/>
        <v>TO</v>
      </c>
      <c r="C2324" t="str">
        <f t="shared" si="416"/>
        <v>KB</v>
      </c>
      <c r="D2324" t="s">
        <v>4295</v>
      </c>
      <c r="E2324" s="5">
        <v>3</v>
      </c>
      <c r="G2324" s="4" t="s">
        <v>4331</v>
      </c>
      <c r="H2324" s="70" t="s">
        <v>4334</v>
      </c>
      <c r="I2324" s="438" t="s">
        <v>4335</v>
      </c>
      <c r="K2324" t="s">
        <v>1434</v>
      </c>
      <c r="L2324" t="s">
        <v>669</v>
      </c>
      <c r="M2324" t="s">
        <v>2333</v>
      </c>
    </row>
    <row r="2325" spans="1:13">
      <c r="A2325" s="5">
        <v>2325</v>
      </c>
      <c r="B2325" t="str">
        <f t="shared" si="415"/>
        <v>TO</v>
      </c>
      <c r="C2325" t="str">
        <f t="shared" si="416"/>
        <v>KB</v>
      </c>
      <c r="D2325" t="s">
        <v>4295</v>
      </c>
      <c r="E2325" s="5">
        <v>3</v>
      </c>
      <c r="G2325" s="4" t="s">
        <v>4331</v>
      </c>
      <c r="H2325" s="306" t="s">
        <v>1837</v>
      </c>
      <c r="I2325" s="432" t="s">
        <v>4336</v>
      </c>
      <c r="K2325" t="s">
        <v>659</v>
      </c>
      <c r="L2325" t="s">
        <v>669</v>
      </c>
      <c r="M2325" t="s">
        <v>2333</v>
      </c>
    </row>
    <row r="2326" spans="1:13" ht="36">
      <c r="A2326" s="5">
        <v>2326</v>
      </c>
      <c r="B2326" t="str">
        <f t="shared" si="415"/>
        <v>TO</v>
      </c>
      <c r="C2326" t="str">
        <f t="shared" si="416"/>
        <v>KB</v>
      </c>
      <c r="D2326" t="s">
        <v>4295</v>
      </c>
      <c r="E2326" s="5">
        <v>3</v>
      </c>
      <c r="G2326" s="4" t="s">
        <v>4331</v>
      </c>
      <c r="H2326" s="306" t="s">
        <v>1867</v>
      </c>
      <c r="I2326" s="432" t="s">
        <v>4337</v>
      </c>
      <c r="K2326" t="s">
        <v>659</v>
      </c>
      <c r="L2326" t="s">
        <v>669</v>
      </c>
      <c r="M2326" t="s">
        <v>2333</v>
      </c>
    </row>
    <row r="2327" spans="1:13">
      <c r="A2327" s="5">
        <v>2327</v>
      </c>
      <c r="B2327" t="str">
        <f t="shared" si="415"/>
        <v>TO</v>
      </c>
      <c r="C2327" t="str">
        <f t="shared" si="416"/>
        <v>KB</v>
      </c>
      <c r="D2327" t="s">
        <v>4295</v>
      </c>
      <c r="E2327" s="5">
        <v>3</v>
      </c>
      <c r="G2327" s="4" t="s">
        <v>4331</v>
      </c>
      <c r="H2327" s="306" t="s">
        <v>4338</v>
      </c>
      <c r="I2327" s="432" t="s">
        <v>4339</v>
      </c>
      <c r="K2327" t="s">
        <v>1434</v>
      </c>
      <c r="L2327" t="s">
        <v>669</v>
      </c>
      <c r="M2327" t="s">
        <v>2392</v>
      </c>
    </row>
    <row r="2328" spans="1:13">
      <c r="A2328" s="5">
        <v>2328</v>
      </c>
      <c r="B2328" t="str">
        <f t="shared" ref="B2328:B2333" si="417">MID(G2328,11,2)</f>
        <v>TO</v>
      </c>
      <c r="C2328" t="str">
        <f t="shared" ref="C2328:C2333" si="418">MID(G2328,14,2)</f>
        <v>KB</v>
      </c>
      <c r="D2328" t="s">
        <v>4295</v>
      </c>
      <c r="E2328" s="5">
        <v>3</v>
      </c>
      <c r="G2328" s="4" t="s">
        <v>4340</v>
      </c>
      <c r="H2328" s="306" t="s">
        <v>4341</v>
      </c>
      <c r="I2328" s="432" t="s">
        <v>4342</v>
      </c>
      <c r="K2328" t="s">
        <v>1434</v>
      </c>
      <c r="L2328" t="s">
        <v>669</v>
      </c>
      <c r="M2328" t="s">
        <v>2333</v>
      </c>
    </row>
    <row r="2329" spans="1:13">
      <c r="A2329" s="5">
        <v>2329</v>
      </c>
      <c r="B2329" t="str">
        <f t="shared" si="417"/>
        <v>TO</v>
      </c>
      <c r="C2329" t="str">
        <f t="shared" si="418"/>
        <v>KB</v>
      </c>
      <c r="D2329" t="s">
        <v>4295</v>
      </c>
      <c r="E2329" s="5">
        <v>3</v>
      </c>
      <c r="G2329" s="4" t="s">
        <v>4340</v>
      </c>
      <c r="H2329" s="306" t="s">
        <v>5330</v>
      </c>
      <c r="I2329" s="432" t="s">
        <v>4343</v>
      </c>
      <c r="K2329" t="s">
        <v>659</v>
      </c>
      <c r="L2329" t="s">
        <v>669</v>
      </c>
      <c r="M2329" t="s">
        <v>2333</v>
      </c>
    </row>
    <row r="2330" spans="1:13">
      <c r="A2330" s="5">
        <v>2330</v>
      </c>
      <c r="B2330" t="str">
        <f t="shared" si="417"/>
        <v>TO</v>
      </c>
      <c r="C2330" t="str">
        <f t="shared" si="418"/>
        <v>KB</v>
      </c>
      <c r="D2330" t="s">
        <v>4295</v>
      </c>
      <c r="E2330" s="5">
        <v>3</v>
      </c>
      <c r="G2330" s="4" t="s">
        <v>4340</v>
      </c>
      <c r="H2330" s="306" t="s">
        <v>4344</v>
      </c>
      <c r="I2330" s="432" t="s">
        <v>4345</v>
      </c>
      <c r="K2330" t="s">
        <v>1434</v>
      </c>
      <c r="L2330" t="s">
        <v>669</v>
      </c>
      <c r="M2330" t="s">
        <v>2333</v>
      </c>
    </row>
    <row r="2331" spans="1:13">
      <c r="A2331" s="5">
        <v>2331</v>
      </c>
      <c r="B2331" t="str">
        <f t="shared" si="417"/>
        <v>TO</v>
      </c>
      <c r="C2331" t="str">
        <f t="shared" si="418"/>
        <v>KB</v>
      </c>
      <c r="D2331" t="s">
        <v>4295</v>
      </c>
      <c r="E2331" s="5">
        <v>3</v>
      </c>
      <c r="G2331" s="4" t="s">
        <v>4340</v>
      </c>
      <c r="H2331" s="306" t="s">
        <v>4346</v>
      </c>
      <c r="I2331" s="432" t="s">
        <v>4347</v>
      </c>
      <c r="K2331" t="s">
        <v>1434</v>
      </c>
      <c r="L2331" t="s">
        <v>669</v>
      </c>
      <c r="M2331" t="s">
        <v>2333</v>
      </c>
    </row>
    <row r="2332" spans="1:13">
      <c r="A2332" s="5">
        <v>2332</v>
      </c>
      <c r="B2332" t="str">
        <f t="shared" si="417"/>
        <v>TO</v>
      </c>
      <c r="C2332" t="str">
        <f t="shared" si="418"/>
        <v>KB</v>
      </c>
      <c r="D2332" t="s">
        <v>4295</v>
      </c>
      <c r="E2332" s="5">
        <v>3</v>
      </c>
      <c r="G2332" s="4" t="s">
        <v>4340</v>
      </c>
      <c r="H2332" s="306" t="s">
        <v>4348</v>
      </c>
      <c r="I2332" s="432" t="s">
        <v>4349</v>
      </c>
      <c r="K2332" t="s">
        <v>1434</v>
      </c>
      <c r="L2332" t="s">
        <v>669</v>
      </c>
      <c r="M2332" t="s">
        <v>2333</v>
      </c>
    </row>
    <row r="2333" spans="1:13">
      <c r="A2333" s="5">
        <v>2333</v>
      </c>
      <c r="B2333" t="str">
        <f t="shared" si="417"/>
        <v>TO</v>
      </c>
      <c r="C2333" t="str">
        <f t="shared" si="418"/>
        <v>KB</v>
      </c>
      <c r="D2333" t="s">
        <v>4295</v>
      </c>
      <c r="E2333" s="5">
        <v>3</v>
      </c>
      <c r="G2333" s="4" t="s">
        <v>5331</v>
      </c>
      <c r="H2333" s="306" t="s">
        <v>4351</v>
      </c>
      <c r="I2333" s="432" t="s">
        <v>4352</v>
      </c>
      <c r="K2333" t="s">
        <v>1434</v>
      </c>
      <c r="L2333" t="s">
        <v>669</v>
      </c>
      <c r="M2333" t="s">
        <v>2333</v>
      </c>
    </row>
    <row r="2334" spans="1:13">
      <c r="A2334" s="5">
        <v>2334</v>
      </c>
      <c r="B2334" t="str">
        <f t="shared" ref="B2334:B2337" si="419">MID(G2334,11,2)</f>
        <v>TO</v>
      </c>
      <c r="C2334" t="str">
        <f t="shared" ref="C2334:C2337" si="420">MID(G2334,14,2)</f>
        <v>KB</v>
      </c>
      <c r="D2334" t="s">
        <v>4295</v>
      </c>
      <c r="E2334" s="5">
        <v>3</v>
      </c>
      <c r="G2334" s="4" t="s">
        <v>4350</v>
      </c>
      <c r="H2334" s="306" t="s">
        <v>4353</v>
      </c>
      <c r="I2334" s="432" t="s">
        <v>4354</v>
      </c>
      <c r="K2334" t="s">
        <v>1434</v>
      </c>
      <c r="L2334" t="s">
        <v>669</v>
      </c>
      <c r="M2334" t="s">
        <v>2333</v>
      </c>
    </row>
    <row r="2335" spans="1:13">
      <c r="A2335" s="5">
        <v>2335</v>
      </c>
      <c r="B2335" t="str">
        <f t="shared" si="419"/>
        <v>TO</v>
      </c>
      <c r="C2335" t="str">
        <f t="shared" si="420"/>
        <v>KB</v>
      </c>
      <c r="D2335" t="s">
        <v>4295</v>
      </c>
      <c r="E2335" s="5">
        <v>3</v>
      </c>
      <c r="G2335" s="4" t="s">
        <v>4350</v>
      </c>
      <c r="H2335" s="306" t="s">
        <v>1963</v>
      </c>
      <c r="I2335" s="432" t="s">
        <v>4355</v>
      </c>
      <c r="K2335" t="s">
        <v>659</v>
      </c>
      <c r="L2335" t="s">
        <v>669</v>
      </c>
      <c r="M2335" t="s">
        <v>2333</v>
      </c>
    </row>
    <row r="2336" spans="1:13">
      <c r="A2336" s="5">
        <v>2336</v>
      </c>
      <c r="B2336" t="str">
        <f t="shared" si="419"/>
        <v>TO</v>
      </c>
      <c r="C2336" t="str">
        <f t="shared" si="420"/>
        <v>KB</v>
      </c>
      <c r="D2336" t="s">
        <v>4295</v>
      </c>
      <c r="E2336" s="5">
        <v>3</v>
      </c>
      <c r="G2336" s="4" t="s">
        <v>4350</v>
      </c>
      <c r="H2336" s="306" t="s">
        <v>4356</v>
      </c>
      <c r="I2336" s="432" t="s">
        <v>4357</v>
      </c>
      <c r="K2336" t="s">
        <v>659</v>
      </c>
      <c r="L2336" t="s">
        <v>669</v>
      </c>
      <c r="M2336" t="s">
        <v>2777</v>
      </c>
    </row>
    <row r="2337" spans="1:14">
      <c r="A2337" s="5">
        <v>2337</v>
      </c>
      <c r="B2337" t="str">
        <f t="shared" si="419"/>
        <v>TO</v>
      </c>
      <c r="C2337" t="str">
        <f t="shared" si="420"/>
        <v>KB</v>
      </c>
      <c r="D2337" t="s">
        <v>4295</v>
      </c>
      <c r="E2337" s="5">
        <v>3</v>
      </c>
      <c r="G2337" s="4" t="s">
        <v>4350</v>
      </c>
      <c r="H2337" s="306" t="s">
        <v>4358</v>
      </c>
      <c r="I2337" s="432" t="s">
        <v>4359</v>
      </c>
      <c r="K2337" t="s">
        <v>1434</v>
      </c>
      <c r="L2337" t="s">
        <v>669</v>
      </c>
      <c r="M2337" t="s">
        <v>2333</v>
      </c>
    </row>
    <row r="2338" spans="1:14">
      <c r="A2338" s="5">
        <v>2338</v>
      </c>
      <c r="B2338" t="str">
        <f>MID(G2338,11,2)</f>
        <v>TO</v>
      </c>
      <c r="C2338" t="str">
        <f>MID(G2338,14,2)</f>
        <v>KB</v>
      </c>
      <c r="D2338" t="s">
        <v>4295</v>
      </c>
      <c r="E2338" s="5">
        <v>1</v>
      </c>
      <c r="F2338" t="s">
        <v>2766</v>
      </c>
      <c r="G2338" s="4" t="s">
        <v>4360</v>
      </c>
      <c r="H2338" s="306" t="s">
        <v>621</v>
      </c>
      <c r="I2338" s="432" t="s">
        <v>4361</v>
      </c>
      <c r="K2338" t="s">
        <v>1434</v>
      </c>
      <c r="L2338" t="s">
        <v>669</v>
      </c>
      <c r="M2338" t="s">
        <v>2333</v>
      </c>
    </row>
    <row r="2339" spans="1:14" ht="18.600000000000001">
      <c r="A2339" s="5">
        <v>2339</v>
      </c>
      <c r="B2339" t="str">
        <f t="shared" ref="B2339" si="421">MID(G2339,11,2)</f>
        <v>TO</v>
      </c>
      <c r="C2339" t="str">
        <f t="shared" ref="C2339" si="422">MID(G2339,14,2)</f>
        <v>KB</v>
      </c>
      <c r="D2339" t="s">
        <v>4295</v>
      </c>
      <c r="E2339" s="5">
        <v>1</v>
      </c>
      <c r="F2339" t="s">
        <v>2766</v>
      </c>
      <c r="G2339" s="4" t="s">
        <v>4360</v>
      </c>
      <c r="H2339" s="70" t="s">
        <v>4362</v>
      </c>
      <c r="I2339" s="438" t="s">
        <v>4363</v>
      </c>
      <c r="K2339" t="s">
        <v>1434</v>
      </c>
      <c r="L2339" t="s">
        <v>669</v>
      </c>
      <c r="M2339" t="s">
        <v>2333</v>
      </c>
    </row>
    <row r="2340" spans="1:14" ht="18.600000000000001">
      <c r="A2340" s="5">
        <v>2340</v>
      </c>
      <c r="B2340" t="str">
        <f t="shared" ref="B2340" si="423">MID(G2340,11,2)</f>
        <v>TO</v>
      </c>
      <c r="C2340" t="str">
        <f t="shared" ref="C2340" si="424">MID(G2340,14,2)</f>
        <v>KB</v>
      </c>
      <c r="D2340" t="s">
        <v>4295</v>
      </c>
      <c r="E2340" s="5">
        <v>1</v>
      </c>
      <c r="F2340" t="s">
        <v>2766</v>
      </c>
      <c r="G2340" s="4" t="s">
        <v>4360</v>
      </c>
      <c r="H2340" s="70" t="s">
        <v>2722</v>
      </c>
      <c r="I2340" s="438" t="s">
        <v>4364</v>
      </c>
      <c r="K2340" t="s">
        <v>1434</v>
      </c>
      <c r="L2340" t="s">
        <v>669</v>
      </c>
      <c r="M2340" t="s">
        <v>2333</v>
      </c>
    </row>
    <row r="2341" spans="1:14" ht="36">
      <c r="A2341" s="5">
        <v>2341</v>
      </c>
      <c r="B2341" t="s">
        <v>4365</v>
      </c>
      <c r="C2341" t="s">
        <v>112</v>
      </c>
      <c r="D2341" t="s">
        <v>4295</v>
      </c>
      <c r="E2341" s="5">
        <v>1</v>
      </c>
      <c r="G2341" s="4" t="s">
        <v>4366</v>
      </c>
      <c r="H2341" s="306" t="s">
        <v>4367</v>
      </c>
      <c r="I2341" s="436" t="s">
        <v>4298</v>
      </c>
      <c r="K2341" t="s">
        <v>659</v>
      </c>
      <c r="L2341" t="s">
        <v>669</v>
      </c>
      <c r="M2341" s="1" t="s">
        <v>2333</v>
      </c>
    </row>
    <row r="2342" spans="1:14" ht="36">
      <c r="A2342" s="5">
        <v>2342</v>
      </c>
      <c r="B2342" t="s">
        <v>152</v>
      </c>
      <c r="C2342" t="str">
        <f t="shared" ref="C2342:C2343" si="425">MID(G2342,14,2)</f>
        <v>KB</v>
      </c>
      <c r="D2342" t="s">
        <v>4295</v>
      </c>
      <c r="E2342" s="5">
        <v>1</v>
      </c>
      <c r="F2342" t="s">
        <v>3843</v>
      </c>
      <c r="G2342" s="4" t="s">
        <v>4368</v>
      </c>
      <c r="H2342" s="306" t="s">
        <v>569</v>
      </c>
      <c r="I2342" s="432" t="s">
        <v>3858</v>
      </c>
      <c r="K2342" t="s">
        <v>659</v>
      </c>
      <c r="L2342" t="s">
        <v>669</v>
      </c>
      <c r="M2342" t="s">
        <v>2333</v>
      </c>
      <c r="N2342" t="s">
        <v>4207</v>
      </c>
    </row>
    <row r="2343" spans="1:14" ht="36">
      <c r="A2343" s="5">
        <v>2343</v>
      </c>
      <c r="B2343" t="str">
        <f t="shared" ref="B2343" si="426">MID(G2343,11,2)</f>
        <v>TO</v>
      </c>
      <c r="C2343" t="str">
        <f t="shared" si="425"/>
        <v>KB</v>
      </c>
      <c r="D2343" t="s">
        <v>4295</v>
      </c>
      <c r="E2343" s="5">
        <v>1</v>
      </c>
      <c r="F2343" t="s">
        <v>3843</v>
      </c>
      <c r="G2343" s="4" t="s">
        <v>4369</v>
      </c>
      <c r="H2343" s="70" t="s">
        <v>508</v>
      </c>
      <c r="I2343" s="438" t="s">
        <v>3657</v>
      </c>
      <c r="K2343" t="s">
        <v>659</v>
      </c>
      <c r="L2343" t="s">
        <v>669</v>
      </c>
      <c r="M2343" s="1" t="s">
        <v>2333</v>
      </c>
    </row>
    <row r="2344" spans="1:14" ht="36">
      <c r="A2344" s="5">
        <v>2344</v>
      </c>
      <c r="B2344" t="str">
        <f t="shared" ref="B2344:B2346" si="427">MID(G2344,11,2)</f>
        <v>TO</v>
      </c>
      <c r="C2344" t="str">
        <f t="shared" ref="C2344:C2346" si="428">MID(G2344,14,2)</f>
        <v>KB</v>
      </c>
      <c r="D2344" t="s">
        <v>4295</v>
      </c>
      <c r="E2344" s="5">
        <v>1</v>
      </c>
      <c r="F2344" t="s">
        <v>3843</v>
      </c>
      <c r="G2344" s="4" t="s">
        <v>4370</v>
      </c>
      <c r="H2344" s="306" t="s">
        <v>4371</v>
      </c>
      <c r="I2344" s="432" t="s">
        <v>4196</v>
      </c>
      <c r="K2344" t="s">
        <v>659</v>
      </c>
      <c r="L2344" t="s">
        <v>669</v>
      </c>
      <c r="M2344" t="s">
        <v>2333</v>
      </c>
      <c r="N2344" t="s">
        <v>4207</v>
      </c>
    </row>
    <row r="2345" spans="1:14">
      <c r="A2345" s="5">
        <v>2345</v>
      </c>
      <c r="B2345" t="str">
        <f>MID(G2345,11,2)</f>
        <v>TO</v>
      </c>
      <c r="C2345" t="str">
        <f>MID(G2345,14,2)</f>
        <v>KB</v>
      </c>
      <c r="D2345" t="s">
        <v>4295</v>
      </c>
      <c r="E2345" s="5"/>
      <c r="F2345" t="s">
        <v>3843</v>
      </c>
      <c r="G2345" s="4" t="s">
        <v>4372</v>
      </c>
      <c r="H2345" s="306" t="s">
        <v>254</v>
      </c>
      <c r="I2345" s="432" t="s">
        <v>2373</v>
      </c>
      <c r="K2345" t="s">
        <v>659</v>
      </c>
      <c r="L2345" t="s">
        <v>669</v>
      </c>
      <c r="M2345" t="s">
        <v>2333</v>
      </c>
    </row>
    <row r="2346" spans="1:14" ht="36">
      <c r="A2346" s="5">
        <v>2346</v>
      </c>
      <c r="B2346" t="str">
        <f t="shared" si="427"/>
        <v>TO</v>
      </c>
      <c r="C2346" t="str">
        <f t="shared" si="428"/>
        <v>KB</v>
      </c>
      <c r="D2346" t="s">
        <v>4295</v>
      </c>
      <c r="E2346" s="5">
        <v>1</v>
      </c>
      <c r="F2346" t="s">
        <v>2766</v>
      </c>
      <c r="G2346" s="4" t="s">
        <v>4373</v>
      </c>
      <c r="H2346" t="s">
        <v>617</v>
      </c>
      <c r="I2346" s="432" t="s">
        <v>4374</v>
      </c>
      <c r="K2346" t="s">
        <v>659</v>
      </c>
      <c r="L2346" t="s">
        <v>669</v>
      </c>
      <c r="M2346" t="s">
        <v>2333</v>
      </c>
      <c r="N2346" t="s">
        <v>4375</v>
      </c>
    </row>
    <row r="2347" spans="1:14" ht="36">
      <c r="A2347" s="5">
        <v>2347</v>
      </c>
      <c r="B2347" t="str">
        <f t="shared" ref="B2347" si="429">MID(G2347,11,2)</f>
        <v>TO</v>
      </c>
      <c r="C2347" t="str">
        <f t="shared" ref="C2347" si="430">MID(G2347,14,2)</f>
        <v>KB</v>
      </c>
      <c r="D2347" t="s">
        <v>4295</v>
      </c>
      <c r="E2347" s="5">
        <v>2</v>
      </c>
      <c r="F2347" t="s">
        <v>3843</v>
      </c>
      <c r="G2347" s="4" t="s">
        <v>4376</v>
      </c>
      <c r="H2347" s="70" t="s">
        <v>4377</v>
      </c>
      <c r="I2347" s="438" t="s">
        <v>3646</v>
      </c>
      <c r="K2347" t="s">
        <v>659</v>
      </c>
      <c r="L2347" t="s">
        <v>669</v>
      </c>
      <c r="M2347" t="s">
        <v>2333</v>
      </c>
    </row>
    <row r="2348" spans="1:14" ht="38.4" customHeight="1">
      <c r="A2348" s="5">
        <v>2348</v>
      </c>
      <c r="B2348" t="str">
        <f>MID(G2348,11,2)</f>
        <v>TO</v>
      </c>
      <c r="C2348" t="str">
        <f>MID(G2348,14,2)</f>
        <v>KB</v>
      </c>
      <c r="D2348" t="s">
        <v>4295</v>
      </c>
      <c r="E2348" s="5">
        <v>2</v>
      </c>
      <c r="F2348" t="s">
        <v>3843</v>
      </c>
      <c r="G2348" s="4" t="s">
        <v>4378</v>
      </c>
      <c r="H2348" s="70" t="s">
        <v>2684</v>
      </c>
      <c r="I2348" s="438" t="s">
        <v>4379</v>
      </c>
      <c r="K2348" t="s">
        <v>659</v>
      </c>
      <c r="L2348" t="s">
        <v>669</v>
      </c>
      <c r="M2348" t="s">
        <v>2333</v>
      </c>
    </row>
    <row r="2349" spans="1:14" ht="38.4" customHeight="1">
      <c r="A2349" s="5">
        <v>2349</v>
      </c>
      <c r="B2349" t="str">
        <f>MID(G2349,11,2)</f>
        <v>TO</v>
      </c>
      <c r="C2349" t="str">
        <f>MID(G2349,14,2)</f>
        <v>KB</v>
      </c>
      <c r="D2349" t="s">
        <v>4295</v>
      </c>
      <c r="E2349" s="5">
        <v>2</v>
      </c>
      <c r="F2349" t="s">
        <v>3843</v>
      </c>
      <c r="G2349" s="4" t="s">
        <v>4376</v>
      </c>
      <c r="H2349" s="70" t="s">
        <v>4380</v>
      </c>
      <c r="I2349" s="438" t="s">
        <v>2899</v>
      </c>
      <c r="K2349" t="s">
        <v>659</v>
      </c>
      <c r="L2349" t="s">
        <v>669</v>
      </c>
      <c r="M2349" t="s">
        <v>2333</v>
      </c>
    </row>
    <row r="2350" spans="1:14" ht="38.4" customHeight="1">
      <c r="A2350" s="5">
        <v>2350</v>
      </c>
      <c r="B2350" t="str">
        <f t="shared" ref="B2350" si="431">MID(G2350,11,2)</f>
        <v>TO</v>
      </c>
      <c r="C2350" t="str">
        <f t="shared" ref="C2350" si="432">MID(G2350,14,2)</f>
        <v>KB</v>
      </c>
      <c r="D2350" t="s">
        <v>4295</v>
      </c>
      <c r="E2350" s="5">
        <v>2</v>
      </c>
      <c r="F2350" t="s">
        <v>3843</v>
      </c>
      <c r="G2350" s="4" t="s">
        <v>4378</v>
      </c>
      <c r="H2350" s="70" t="s">
        <v>4381</v>
      </c>
      <c r="I2350" s="438" t="s">
        <v>3054</v>
      </c>
      <c r="K2350" t="s">
        <v>659</v>
      </c>
      <c r="L2350" t="s">
        <v>669</v>
      </c>
      <c r="M2350" t="s">
        <v>2333</v>
      </c>
    </row>
    <row r="2351" spans="1:14" ht="38.4" customHeight="1">
      <c r="A2351" s="5">
        <v>2351</v>
      </c>
      <c r="B2351" t="str">
        <f>MID(G2351,11,2)</f>
        <v>TO</v>
      </c>
      <c r="C2351" t="str">
        <f>MID(G2351,14,2)</f>
        <v>KB</v>
      </c>
      <c r="D2351" t="s">
        <v>4295</v>
      </c>
      <c r="E2351" s="5">
        <v>2</v>
      </c>
      <c r="F2351" t="s">
        <v>3843</v>
      </c>
      <c r="G2351" s="4" t="s">
        <v>4378</v>
      </c>
      <c r="H2351" s="306" t="s">
        <v>443</v>
      </c>
      <c r="I2351" s="432" t="s">
        <v>2948</v>
      </c>
      <c r="K2351" t="s">
        <v>659</v>
      </c>
      <c r="L2351" t="s">
        <v>669</v>
      </c>
      <c r="M2351" t="s">
        <v>3160</v>
      </c>
      <c r="N2351" t="s">
        <v>4382</v>
      </c>
    </row>
    <row r="2352" spans="1:14" ht="36">
      <c r="A2352" s="5">
        <v>2352</v>
      </c>
      <c r="B2352" t="str">
        <f>MID(G2352,11,2)</f>
        <v>TO</v>
      </c>
      <c r="C2352" t="str">
        <f>MID(G2352,14,2)</f>
        <v>KB</v>
      </c>
      <c r="D2352" t="s">
        <v>4295</v>
      </c>
      <c r="E2352" s="5">
        <v>2</v>
      </c>
      <c r="F2352" t="s">
        <v>3843</v>
      </c>
      <c r="G2352" s="4" t="s">
        <v>4378</v>
      </c>
      <c r="H2352" s="70" t="s">
        <v>3961</v>
      </c>
      <c r="I2352" s="438" t="s">
        <v>3962</v>
      </c>
      <c r="K2352" t="s">
        <v>659</v>
      </c>
      <c r="L2352" t="s">
        <v>669</v>
      </c>
      <c r="M2352" t="s">
        <v>2333</v>
      </c>
    </row>
    <row r="2353" spans="1:15">
      <c r="A2353" s="5">
        <v>2354</v>
      </c>
      <c r="B2353" t="str">
        <f>MID(G2353,11,2)</f>
        <v>TO</v>
      </c>
      <c r="C2353" t="str">
        <f>MID(G2353,14,2)</f>
        <v>KB</v>
      </c>
      <c r="D2353" t="s">
        <v>4295</v>
      </c>
      <c r="E2353" s="5">
        <v>2</v>
      </c>
      <c r="F2353" t="s">
        <v>3843</v>
      </c>
      <c r="G2353" s="4" t="s">
        <v>4383</v>
      </c>
      <c r="H2353" s="306" t="s">
        <v>4384</v>
      </c>
      <c r="I2353" s="432" t="s">
        <v>3834</v>
      </c>
      <c r="K2353" t="s">
        <v>659</v>
      </c>
      <c r="L2353" t="s">
        <v>669</v>
      </c>
      <c r="M2353" t="s">
        <v>2392</v>
      </c>
      <c r="N2353" s="399" t="s">
        <v>5319</v>
      </c>
    </row>
    <row r="2354" spans="1:15">
      <c r="A2354" s="5">
        <v>2355</v>
      </c>
      <c r="B2354" t="str">
        <f>MID(G2354,11,2)</f>
        <v>TO</v>
      </c>
      <c r="C2354" t="str">
        <f>MID(G2354,14,2)</f>
        <v>KB</v>
      </c>
      <c r="D2354" t="s">
        <v>4295</v>
      </c>
      <c r="E2354" s="5">
        <v>2</v>
      </c>
      <c r="G2354" s="4" t="s">
        <v>5414</v>
      </c>
      <c r="H2354" s="306" t="s">
        <v>4385</v>
      </c>
      <c r="I2354" s="438" t="s">
        <v>4386</v>
      </c>
      <c r="K2354" t="s">
        <v>659</v>
      </c>
      <c r="L2354" t="s">
        <v>669</v>
      </c>
      <c r="M2354" t="s">
        <v>2333</v>
      </c>
    </row>
    <row r="2355" spans="1:15">
      <c r="A2355" s="5">
        <v>2356</v>
      </c>
      <c r="B2355" t="str">
        <f>MID(G2355,11,2)</f>
        <v>TO</v>
      </c>
      <c r="C2355" t="str">
        <f>MID(G2355,14,2)</f>
        <v>KB</v>
      </c>
      <c r="D2355" t="s">
        <v>4295</v>
      </c>
      <c r="E2355" s="5">
        <v>2</v>
      </c>
      <c r="G2355" s="4" t="s">
        <v>4383</v>
      </c>
      <c r="H2355" s="306" t="s">
        <v>4387</v>
      </c>
      <c r="I2355" s="432" t="s">
        <v>3846</v>
      </c>
      <c r="K2355" t="s">
        <v>659</v>
      </c>
      <c r="L2355" t="s">
        <v>669</v>
      </c>
      <c r="M2355" t="s">
        <v>2333</v>
      </c>
    </row>
    <row r="2356" spans="1:15" ht="18.600000000000001">
      <c r="A2356" s="5">
        <v>2357</v>
      </c>
      <c r="B2356" t="str">
        <f t="shared" ref="B2356" si="433">MID(G2356,11,2)</f>
        <v>TO</v>
      </c>
      <c r="C2356" t="str">
        <f t="shared" ref="C2356" si="434">MID(G2356,14,2)</f>
        <v>KB</v>
      </c>
      <c r="D2356" t="s">
        <v>4295</v>
      </c>
      <c r="E2356" s="5">
        <v>3</v>
      </c>
      <c r="G2356" s="4" t="s">
        <v>4388</v>
      </c>
      <c r="H2356" s="70" t="s">
        <v>1438</v>
      </c>
      <c r="I2356" s="438" t="s">
        <v>4389</v>
      </c>
      <c r="K2356" t="s">
        <v>1434</v>
      </c>
      <c r="L2356" t="s">
        <v>669</v>
      </c>
      <c r="M2356" t="s">
        <v>2333</v>
      </c>
    </row>
    <row r="2357" spans="1:15" ht="36">
      <c r="A2357" s="5">
        <v>2358</v>
      </c>
      <c r="B2357" t="str">
        <f t="shared" ref="B2357:B2358" si="435">MID(G2357,11,2)</f>
        <v>TO</v>
      </c>
      <c r="C2357" t="str">
        <f t="shared" ref="C2357:C2358" si="436">MID(G2357,14,2)</f>
        <v>KB</v>
      </c>
      <c r="D2357" t="s">
        <v>4295</v>
      </c>
      <c r="E2357" s="5">
        <v>3</v>
      </c>
      <c r="G2357" s="4" t="s">
        <v>4388</v>
      </c>
      <c r="H2357" s="70" t="s">
        <v>4390</v>
      </c>
      <c r="I2357" s="438" t="s">
        <v>4391</v>
      </c>
      <c r="K2357" t="s">
        <v>1434</v>
      </c>
      <c r="L2357" t="s">
        <v>669</v>
      </c>
      <c r="M2357" t="s">
        <v>2333</v>
      </c>
    </row>
    <row r="2358" spans="1:15" ht="39.6" customHeight="1">
      <c r="A2358" s="5">
        <v>2359</v>
      </c>
      <c r="B2358" t="str">
        <f t="shared" si="435"/>
        <v>TO</v>
      </c>
      <c r="C2358" t="str">
        <f t="shared" si="436"/>
        <v>KB</v>
      </c>
      <c r="D2358" t="s">
        <v>4295</v>
      </c>
      <c r="E2358" s="5">
        <v>3</v>
      </c>
      <c r="G2358" s="4" t="s">
        <v>4388</v>
      </c>
      <c r="H2358" s="70" t="s">
        <v>4392</v>
      </c>
      <c r="I2358" s="438" t="s">
        <v>4393</v>
      </c>
      <c r="K2358" t="s">
        <v>1434</v>
      </c>
      <c r="L2358" t="s">
        <v>669</v>
      </c>
      <c r="M2358" t="s">
        <v>2333</v>
      </c>
    </row>
    <row r="2359" spans="1:15" ht="18.600000000000001">
      <c r="A2359" s="5">
        <v>2360</v>
      </c>
      <c r="B2359" t="str">
        <f>MID(G2359,11,2)</f>
        <v>TO</v>
      </c>
      <c r="C2359" t="str">
        <f>MID(G2359,14,2)</f>
        <v>KB</v>
      </c>
      <c r="D2359" t="s">
        <v>4295</v>
      </c>
      <c r="E2359" s="5">
        <v>3</v>
      </c>
      <c r="G2359" s="4" t="s">
        <v>5332</v>
      </c>
      <c r="H2359" s="70" t="s">
        <v>4395</v>
      </c>
      <c r="I2359" s="438" t="s">
        <v>4396</v>
      </c>
      <c r="K2359" t="s">
        <v>1434</v>
      </c>
      <c r="L2359" t="s">
        <v>669</v>
      </c>
      <c r="M2359" t="s">
        <v>2333</v>
      </c>
    </row>
    <row r="2360" spans="1:15" ht="36">
      <c r="A2360" s="5">
        <v>2361</v>
      </c>
      <c r="B2360" t="str">
        <f t="shared" ref="B2360:B2361" si="437">MID(G2360,11,2)</f>
        <v>TO</v>
      </c>
      <c r="C2360" t="str">
        <f t="shared" ref="C2360:C2361" si="438">MID(G2360,14,2)</f>
        <v>KB</v>
      </c>
      <c r="D2360" t="s">
        <v>4295</v>
      </c>
      <c r="E2360" s="5">
        <v>3</v>
      </c>
      <c r="G2360" s="4" t="s">
        <v>4394</v>
      </c>
      <c r="H2360" s="70" t="s">
        <v>4397</v>
      </c>
      <c r="I2360" s="438" t="s">
        <v>4398</v>
      </c>
      <c r="K2360" t="s">
        <v>1434</v>
      </c>
      <c r="L2360" t="s">
        <v>669</v>
      </c>
      <c r="M2360" t="s">
        <v>2333</v>
      </c>
    </row>
    <row r="2361" spans="1:15" ht="18.600000000000001">
      <c r="A2361" s="5">
        <v>2362</v>
      </c>
      <c r="B2361" t="str">
        <f t="shared" si="437"/>
        <v>TO</v>
      </c>
      <c r="C2361" t="str">
        <f t="shared" si="438"/>
        <v>KB</v>
      </c>
      <c r="D2361" t="s">
        <v>4295</v>
      </c>
      <c r="E2361" s="5">
        <v>3</v>
      </c>
      <c r="G2361" s="4" t="s">
        <v>4394</v>
      </c>
      <c r="H2361" s="70" t="s">
        <v>4399</v>
      </c>
      <c r="I2361" s="438" t="s">
        <v>4400</v>
      </c>
      <c r="K2361" t="s">
        <v>659</v>
      </c>
      <c r="L2361" t="s">
        <v>669</v>
      </c>
      <c r="M2361" t="s">
        <v>2333</v>
      </c>
    </row>
    <row r="2362" spans="1:15">
      <c r="A2362" s="5">
        <v>2363</v>
      </c>
      <c r="B2362" t="str">
        <f t="shared" ref="B2362" si="439">MID(G2362,11,2)</f>
        <v>MH</v>
      </c>
      <c r="C2362" t="str">
        <f t="shared" ref="C2362:C2363" si="440">MID(G2362,14,2)</f>
        <v>KB</v>
      </c>
      <c r="D2362" t="s">
        <v>4295</v>
      </c>
      <c r="E2362" s="5">
        <v>1</v>
      </c>
      <c r="G2362" s="4" t="s">
        <v>4401</v>
      </c>
      <c r="H2362" s="306" t="s">
        <v>4402</v>
      </c>
      <c r="I2362" s="432" t="s">
        <v>4361</v>
      </c>
      <c r="K2362" t="s">
        <v>659</v>
      </c>
      <c r="L2362" t="s">
        <v>669</v>
      </c>
      <c r="M2362" t="s">
        <v>2333</v>
      </c>
      <c r="N2362" t="s">
        <v>4403</v>
      </c>
    </row>
    <row r="2363" spans="1:15" ht="36">
      <c r="A2363" s="5">
        <v>2364</v>
      </c>
      <c r="B2363" t="s">
        <v>152</v>
      </c>
      <c r="C2363" t="str">
        <f t="shared" si="440"/>
        <v>KB</v>
      </c>
      <c r="D2363" t="s">
        <v>4295</v>
      </c>
      <c r="E2363" s="5">
        <v>3</v>
      </c>
      <c r="G2363" s="4" t="s">
        <v>4404</v>
      </c>
      <c r="H2363" s="306" t="s">
        <v>438</v>
      </c>
      <c r="I2363" s="432" t="s">
        <v>2446</v>
      </c>
      <c r="K2363" t="s">
        <v>659</v>
      </c>
      <c r="L2363" t="s">
        <v>669</v>
      </c>
      <c r="M2363" t="s">
        <v>2333</v>
      </c>
      <c r="N2363" t="s">
        <v>4405</v>
      </c>
    </row>
    <row r="2364" spans="1:15" ht="18.600000000000001">
      <c r="A2364" s="5">
        <v>2365</v>
      </c>
      <c r="B2364" t="str">
        <f>MID(G2364,11,2)</f>
        <v>TO</v>
      </c>
      <c r="C2364" t="str">
        <f>MID(G2364,14,2)</f>
        <v>KB</v>
      </c>
      <c r="D2364" t="s">
        <v>4295</v>
      </c>
      <c r="E2364" s="5">
        <v>2</v>
      </c>
      <c r="G2364" s="4" t="s">
        <v>4406</v>
      </c>
      <c r="H2364" s="70" t="s">
        <v>4407</v>
      </c>
      <c r="I2364" s="438" t="s">
        <v>4408</v>
      </c>
      <c r="K2364" t="s">
        <v>1434</v>
      </c>
      <c r="L2364" t="s">
        <v>669</v>
      </c>
      <c r="M2364" t="s">
        <v>2392</v>
      </c>
      <c r="N2364" t="s">
        <v>5334</v>
      </c>
    </row>
    <row r="2365" spans="1:15" ht="36">
      <c r="A2365" s="5">
        <v>2366</v>
      </c>
      <c r="B2365" t="s">
        <v>152</v>
      </c>
      <c r="C2365" t="str">
        <f>MID(G2365,14,2)</f>
        <v>KB</v>
      </c>
      <c r="D2365" t="s">
        <v>4295</v>
      </c>
      <c r="E2365" s="5">
        <v>2</v>
      </c>
      <c r="F2365" t="s">
        <v>3843</v>
      </c>
      <c r="G2365" s="4" t="s">
        <v>4409</v>
      </c>
      <c r="H2365" s="70" t="s">
        <v>4410</v>
      </c>
      <c r="I2365" s="438" t="s">
        <v>4411</v>
      </c>
      <c r="K2365" t="s">
        <v>659</v>
      </c>
      <c r="L2365" t="s">
        <v>669</v>
      </c>
      <c r="M2365" t="s">
        <v>2333</v>
      </c>
      <c r="N2365" t="s">
        <v>4308</v>
      </c>
    </row>
    <row r="2366" spans="1:15" ht="54">
      <c r="A2366" s="5">
        <v>2367</v>
      </c>
      <c r="B2366" t="str">
        <f t="shared" ref="B2366" si="441">MID(G2366,11,2)</f>
        <v>TO</v>
      </c>
      <c r="C2366" t="str">
        <f t="shared" ref="C2366" si="442">MID(G2366,14,2)</f>
        <v>KB</v>
      </c>
      <c r="D2366" t="s">
        <v>4295</v>
      </c>
      <c r="E2366" s="5">
        <v>2</v>
      </c>
      <c r="F2366" t="s">
        <v>3843</v>
      </c>
      <c r="G2366" s="4" t="s">
        <v>4412</v>
      </c>
      <c r="H2366" s="306" t="s">
        <v>510</v>
      </c>
      <c r="I2366" s="432" t="s">
        <v>3705</v>
      </c>
      <c r="K2366" t="s">
        <v>659</v>
      </c>
      <c r="L2366" t="s">
        <v>669</v>
      </c>
      <c r="M2366" s="1" t="s">
        <v>2333</v>
      </c>
      <c r="N2366" t="s">
        <v>4308</v>
      </c>
      <c r="O2366" s="4" t="s">
        <v>4413</v>
      </c>
    </row>
    <row r="2367" spans="1:15">
      <c r="A2367" s="5">
        <v>2368</v>
      </c>
      <c r="B2367" t="str">
        <f>MID(G2367,11,2)</f>
        <v>TO</v>
      </c>
      <c r="C2367" t="str">
        <f>MID(G2367,14,2)</f>
        <v>KB</v>
      </c>
      <c r="D2367" t="s">
        <v>4295</v>
      </c>
      <c r="E2367" s="5">
        <v>2</v>
      </c>
      <c r="F2367" t="s">
        <v>3843</v>
      </c>
      <c r="G2367" s="4" t="s">
        <v>4414</v>
      </c>
      <c r="H2367" s="306" t="s">
        <v>623</v>
      </c>
      <c r="I2367" s="432" t="s">
        <v>2671</v>
      </c>
      <c r="K2367" t="s">
        <v>659</v>
      </c>
      <c r="L2367" t="s">
        <v>669</v>
      </c>
      <c r="M2367" s="1" t="s">
        <v>3160</v>
      </c>
      <c r="N2367" t="s">
        <v>4308</v>
      </c>
      <c r="O2367" s="4" t="s">
        <v>4099</v>
      </c>
    </row>
    <row r="2368" spans="1:15" ht="36">
      <c r="A2368" s="5">
        <v>2369</v>
      </c>
      <c r="B2368" t="str">
        <f t="shared" ref="B2368" si="443">MID(G2368,11,2)</f>
        <v>TO</v>
      </c>
      <c r="C2368" t="str">
        <f t="shared" ref="C2368" si="444">MID(G2368,14,2)</f>
        <v>KB</v>
      </c>
      <c r="D2368" t="s">
        <v>4295</v>
      </c>
      <c r="E2368" s="5">
        <v>2</v>
      </c>
      <c r="F2368" t="s">
        <v>3843</v>
      </c>
      <c r="G2368" s="4" t="s">
        <v>4415</v>
      </c>
      <c r="H2368" s="306" t="s">
        <v>625</v>
      </c>
      <c r="I2368" s="432" t="s">
        <v>3829</v>
      </c>
      <c r="K2368" t="s">
        <v>659</v>
      </c>
      <c r="L2368" t="s">
        <v>669</v>
      </c>
      <c r="M2368" s="1" t="s">
        <v>2333</v>
      </c>
    </row>
    <row r="2369" spans="1:14" ht="36">
      <c r="A2369" s="5">
        <v>2369</v>
      </c>
      <c r="B2369" t="str">
        <f t="shared" ref="B2369" si="445">MID(G2369,11,2)</f>
        <v>TO</v>
      </c>
      <c r="C2369" t="str">
        <f t="shared" ref="C2369" si="446">MID(G2369,14,2)</f>
        <v>KB</v>
      </c>
      <c r="D2369" t="s">
        <v>4295</v>
      </c>
      <c r="E2369" s="5">
        <v>2</v>
      </c>
      <c r="F2369" t="s">
        <v>3843</v>
      </c>
      <c r="G2369" s="4" t="s">
        <v>4415</v>
      </c>
      <c r="H2369" s="306" t="s">
        <v>5335</v>
      </c>
      <c r="I2369" s="432" t="s">
        <v>5336</v>
      </c>
      <c r="K2369" t="s">
        <v>659</v>
      </c>
      <c r="L2369" t="s">
        <v>669</v>
      </c>
      <c r="M2369" s="1" t="s">
        <v>2333</v>
      </c>
    </row>
    <row r="2370" spans="1:14">
      <c r="A2370" s="5">
        <v>2370</v>
      </c>
      <c r="B2370" t="str">
        <f>MID(G2370,11,2)</f>
        <v>TO</v>
      </c>
      <c r="C2370" t="str">
        <f>MID(G2370,14,2)</f>
        <v>KB</v>
      </c>
      <c r="D2370" t="s">
        <v>4295</v>
      </c>
      <c r="E2370" s="5">
        <v>1</v>
      </c>
      <c r="F2370" t="s">
        <v>2766</v>
      </c>
      <c r="G2370" s="4" t="s">
        <v>4416</v>
      </c>
      <c r="H2370" t="s">
        <v>627</v>
      </c>
      <c r="I2370" s="432" t="s">
        <v>2485</v>
      </c>
      <c r="K2370" t="s">
        <v>659</v>
      </c>
      <c r="L2370" t="s">
        <v>669</v>
      </c>
      <c r="M2370" s="1" t="s">
        <v>2333</v>
      </c>
      <c r="N2370" t="s">
        <v>4417</v>
      </c>
    </row>
    <row r="2371" spans="1:14">
      <c r="A2371" s="5">
        <v>2371</v>
      </c>
      <c r="B2371" t="str">
        <f t="shared" ref="B2371:B2374" si="447">MID(G2371,11,2)</f>
        <v>TO</v>
      </c>
      <c r="C2371" t="str">
        <f t="shared" ref="C2371:C2374" si="448">MID(G2371,14,2)</f>
        <v>KB</v>
      </c>
      <c r="D2371" t="s">
        <v>4418</v>
      </c>
      <c r="E2371" s="5">
        <v>3</v>
      </c>
      <c r="G2371" s="4" t="s">
        <v>4419</v>
      </c>
      <c r="H2371" s="306" t="s">
        <v>634</v>
      </c>
      <c r="I2371" s="432" t="s">
        <v>2671</v>
      </c>
      <c r="K2371" t="s">
        <v>659</v>
      </c>
      <c r="L2371" t="s">
        <v>669</v>
      </c>
      <c r="M2371" s="1" t="s">
        <v>2333</v>
      </c>
      <c r="N2371" t="s">
        <v>4420</v>
      </c>
    </row>
    <row r="2372" spans="1:14">
      <c r="A2372" s="5">
        <v>2372</v>
      </c>
      <c r="B2372" t="str">
        <f t="shared" si="447"/>
        <v>TO</v>
      </c>
      <c r="C2372" t="str">
        <f t="shared" si="448"/>
        <v>KB</v>
      </c>
      <c r="D2372" t="s">
        <v>4418</v>
      </c>
      <c r="E2372" s="5">
        <v>3</v>
      </c>
      <c r="G2372" s="4" t="s">
        <v>4421</v>
      </c>
      <c r="H2372" t="s">
        <v>4422</v>
      </c>
      <c r="I2372" s="438" t="s">
        <v>4423</v>
      </c>
      <c r="K2372" t="s">
        <v>1434</v>
      </c>
      <c r="L2372" t="s">
        <v>669</v>
      </c>
      <c r="M2372" s="1" t="s">
        <v>2333</v>
      </c>
    </row>
    <row r="2373" spans="1:14">
      <c r="A2373" s="5">
        <v>2373</v>
      </c>
      <c r="B2373" t="str">
        <f t="shared" si="447"/>
        <v>TO</v>
      </c>
      <c r="C2373" t="str">
        <f t="shared" si="448"/>
        <v>KB</v>
      </c>
      <c r="D2373" t="s">
        <v>4418</v>
      </c>
      <c r="E2373" s="5">
        <v>3</v>
      </c>
      <c r="G2373" s="4" t="s">
        <v>4421</v>
      </c>
      <c r="H2373" t="s">
        <v>5417</v>
      </c>
      <c r="I2373" s="438" t="s">
        <v>4424</v>
      </c>
      <c r="K2373" t="s">
        <v>1434</v>
      </c>
      <c r="L2373" t="s">
        <v>669</v>
      </c>
      <c r="M2373" s="1" t="s">
        <v>2333</v>
      </c>
    </row>
    <row r="2374" spans="1:14">
      <c r="A2374" s="5">
        <v>2374</v>
      </c>
      <c r="B2374" t="str">
        <f t="shared" si="447"/>
        <v>TO</v>
      </c>
      <c r="C2374" t="str">
        <f t="shared" si="448"/>
        <v>KB</v>
      </c>
      <c r="D2374" t="s">
        <v>4418</v>
      </c>
      <c r="E2374" s="5">
        <v>3</v>
      </c>
      <c r="G2374" s="4" t="s">
        <v>4421</v>
      </c>
      <c r="H2374" t="s">
        <v>4425</v>
      </c>
      <c r="I2374" s="438" t="s">
        <v>4426</v>
      </c>
      <c r="K2374" t="s">
        <v>1434</v>
      </c>
      <c r="L2374" t="s">
        <v>669</v>
      </c>
      <c r="M2374" s="1" t="s">
        <v>2333</v>
      </c>
    </row>
    <row r="2375" spans="1:14">
      <c r="A2375" s="5">
        <v>2375</v>
      </c>
      <c r="B2375" t="str">
        <f t="shared" ref="B2375:B2376" si="449">MID(G2375,11,2)</f>
        <v>TO</v>
      </c>
      <c r="C2375" t="str">
        <f t="shared" ref="C2375:C2376" si="450">MID(G2375,14,2)</f>
        <v>KB</v>
      </c>
      <c r="D2375" t="s">
        <v>4418</v>
      </c>
      <c r="E2375" s="5">
        <v>3</v>
      </c>
      <c r="G2375" s="4" t="s">
        <v>4421</v>
      </c>
      <c r="H2375" t="s">
        <v>4427</v>
      </c>
      <c r="I2375" s="438" t="s">
        <v>4428</v>
      </c>
      <c r="K2375" t="s">
        <v>659</v>
      </c>
      <c r="L2375" t="s">
        <v>669</v>
      </c>
      <c r="M2375" s="1" t="s">
        <v>2333</v>
      </c>
    </row>
    <row r="2376" spans="1:14" ht="36">
      <c r="A2376" s="5">
        <v>2376</v>
      </c>
      <c r="B2376" t="str">
        <f t="shared" si="449"/>
        <v>TO</v>
      </c>
      <c r="C2376" t="str">
        <f t="shared" si="450"/>
        <v>KB</v>
      </c>
      <c r="D2376" t="s">
        <v>4418</v>
      </c>
      <c r="E2376" s="5">
        <v>3</v>
      </c>
      <c r="G2376" s="4" t="s">
        <v>5416</v>
      </c>
      <c r="H2376" s="306" t="s">
        <v>4390</v>
      </c>
      <c r="I2376" s="432" t="s">
        <v>4429</v>
      </c>
      <c r="K2376" t="s">
        <v>1434</v>
      </c>
      <c r="L2376" t="s">
        <v>669</v>
      </c>
      <c r="M2376" s="1" t="s">
        <v>2333</v>
      </c>
    </row>
    <row r="2377" spans="1:14">
      <c r="A2377" s="5">
        <v>2377</v>
      </c>
      <c r="B2377" t="str">
        <f t="shared" ref="B2377" si="451">MID(G2377,11,2)</f>
        <v>TO</v>
      </c>
      <c r="C2377" t="str">
        <f t="shared" ref="C2377" si="452">MID(G2377,14,2)</f>
        <v>KB</v>
      </c>
      <c r="D2377" t="s">
        <v>4418</v>
      </c>
      <c r="E2377" s="5">
        <v>3</v>
      </c>
      <c r="G2377" s="4" t="s">
        <v>4430</v>
      </c>
      <c r="H2377" s="306" t="s">
        <v>4431</v>
      </c>
      <c r="I2377" s="432" t="s">
        <v>4432</v>
      </c>
      <c r="K2377" t="s">
        <v>1434</v>
      </c>
      <c r="L2377" t="s">
        <v>669</v>
      </c>
      <c r="M2377" s="1" t="s">
        <v>2333</v>
      </c>
    </row>
    <row r="2378" spans="1:14">
      <c r="A2378" s="5">
        <v>2378</v>
      </c>
      <c r="B2378" t="str">
        <f t="shared" ref="B2378:B2383" si="453">MID(G2378,11,2)</f>
        <v>TO</v>
      </c>
      <c r="C2378" t="str">
        <f t="shared" ref="C2378:C2383" si="454">MID(G2378,14,2)</f>
        <v>KB</v>
      </c>
      <c r="D2378" t="s">
        <v>4418</v>
      </c>
      <c r="E2378" s="5">
        <v>3</v>
      </c>
      <c r="G2378" s="4" t="s">
        <v>4430</v>
      </c>
      <c r="H2378" s="306" t="s">
        <v>4433</v>
      </c>
      <c r="I2378" s="432" t="s">
        <v>4434</v>
      </c>
      <c r="K2378" t="s">
        <v>1434</v>
      </c>
      <c r="L2378" t="s">
        <v>669</v>
      </c>
      <c r="M2378" s="1" t="s">
        <v>2333</v>
      </c>
    </row>
    <row r="2379" spans="1:14">
      <c r="A2379" s="5">
        <v>2379</v>
      </c>
      <c r="B2379" t="str">
        <f t="shared" si="453"/>
        <v>TO</v>
      </c>
      <c r="C2379" t="str">
        <f t="shared" si="454"/>
        <v>KB</v>
      </c>
      <c r="D2379" t="s">
        <v>4418</v>
      </c>
      <c r="E2379" s="5">
        <v>3</v>
      </c>
      <c r="G2379" s="4" t="s">
        <v>4430</v>
      </c>
      <c r="H2379" s="306" t="s">
        <v>4435</v>
      </c>
      <c r="I2379" s="432" t="s">
        <v>4436</v>
      </c>
      <c r="K2379" t="s">
        <v>1434</v>
      </c>
      <c r="L2379" t="s">
        <v>669</v>
      </c>
      <c r="M2379" s="1" t="s">
        <v>2333</v>
      </c>
    </row>
    <row r="2380" spans="1:14">
      <c r="A2380" s="5">
        <v>2380</v>
      </c>
      <c r="B2380" t="str">
        <f t="shared" si="453"/>
        <v>TO</v>
      </c>
      <c r="C2380" t="str">
        <f t="shared" si="454"/>
        <v>KB</v>
      </c>
      <c r="D2380" t="s">
        <v>4418</v>
      </c>
      <c r="E2380" s="5">
        <v>3</v>
      </c>
      <c r="G2380" s="4" t="s">
        <v>4430</v>
      </c>
      <c r="H2380" s="306" t="s">
        <v>4437</v>
      </c>
      <c r="I2380" s="432" t="s">
        <v>4438</v>
      </c>
      <c r="K2380" t="s">
        <v>1434</v>
      </c>
      <c r="L2380" t="s">
        <v>669</v>
      </c>
      <c r="M2380" s="1" t="s">
        <v>2333</v>
      </c>
    </row>
    <row r="2381" spans="1:14" ht="36">
      <c r="A2381" s="5">
        <v>2381</v>
      </c>
      <c r="B2381" t="str">
        <f t="shared" si="453"/>
        <v>TO</v>
      </c>
      <c r="C2381" t="str">
        <f t="shared" si="454"/>
        <v>KB</v>
      </c>
      <c r="D2381" t="s">
        <v>4418</v>
      </c>
      <c r="E2381" s="5">
        <v>3</v>
      </c>
      <c r="G2381" s="4" t="s">
        <v>4430</v>
      </c>
      <c r="H2381" s="306" t="s">
        <v>4439</v>
      </c>
      <c r="I2381" s="432" t="s">
        <v>4440</v>
      </c>
      <c r="K2381" t="s">
        <v>1434</v>
      </c>
      <c r="L2381" t="s">
        <v>669</v>
      </c>
      <c r="M2381" s="1" t="s">
        <v>2333</v>
      </c>
    </row>
    <row r="2382" spans="1:14" ht="36">
      <c r="A2382" s="5">
        <v>2382</v>
      </c>
      <c r="B2382" t="str">
        <f t="shared" si="453"/>
        <v>TO</v>
      </c>
      <c r="C2382" t="str">
        <f t="shared" si="454"/>
        <v>KB</v>
      </c>
      <c r="D2382" t="s">
        <v>4418</v>
      </c>
      <c r="E2382" s="5">
        <v>3</v>
      </c>
      <c r="G2382" s="4" t="s">
        <v>4430</v>
      </c>
      <c r="H2382" s="306" t="s">
        <v>3495</v>
      </c>
      <c r="I2382" s="432" t="s">
        <v>4441</v>
      </c>
      <c r="K2382" t="s">
        <v>659</v>
      </c>
      <c r="L2382" t="s">
        <v>669</v>
      </c>
      <c r="M2382" s="1" t="s">
        <v>2333</v>
      </c>
    </row>
    <row r="2383" spans="1:14">
      <c r="A2383" s="5">
        <v>2383</v>
      </c>
      <c r="B2383" t="str">
        <f t="shared" si="453"/>
        <v>TO</v>
      </c>
      <c r="C2383" t="str">
        <f t="shared" si="454"/>
        <v>KB</v>
      </c>
      <c r="D2383" t="s">
        <v>4418</v>
      </c>
      <c r="E2383" s="5">
        <v>3</v>
      </c>
      <c r="G2383" s="4" t="s">
        <v>4430</v>
      </c>
      <c r="H2383" s="306" t="s">
        <v>4442</v>
      </c>
      <c r="I2383" s="432" t="s">
        <v>4443</v>
      </c>
      <c r="K2383" t="s">
        <v>1434</v>
      </c>
      <c r="L2383" t="s">
        <v>669</v>
      </c>
      <c r="M2383" s="1" t="s">
        <v>2333</v>
      </c>
    </row>
    <row r="2384" spans="1:14">
      <c r="A2384" s="5">
        <v>2384</v>
      </c>
      <c r="B2384" t="str">
        <f>MID(G2384,11,2)</f>
        <v>TO</v>
      </c>
      <c r="C2384" t="str">
        <f>MID(G2384,14,2)</f>
        <v>KB</v>
      </c>
      <c r="D2384" t="s">
        <v>4418</v>
      </c>
      <c r="E2384" s="5">
        <v>3</v>
      </c>
      <c r="G2384" s="4" t="s">
        <v>5418</v>
      </c>
      <c r="H2384" s="306" t="s">
        <v>3808</v>
      </c>
      <c r="I2384" s="432" t="s">
        <v>4445</v>
      </c>
      <c r="K2384" t="s">
        <v>659</v>
      </c>
      <c r="L2384" t="s">
        <v>669</v>
      </c>
      <c r="M2384" s="1" t="s">
        <v>2333</v>
      </c>
    </row>
    <row r="2385" spans="1:15">
      <c r="A2385" s="5">
        <v>2385</v>
      </c>
      <c r="B2385" t="str">
        <f>MID(G2385,11,2)</f>
        <v>TO</v>
      </c>
      <c r="C2385" t="str">
        <f>MID(G2385,14,2)</f>
        <v>KB</v>
      </c>
      <c r="D2385" t="s">
        <v>4418</v>
      </c>
      <c r="E2385" s="5">
        <v>3</v>
      </c>
      <c r="G2385" s="4" t="s">
        <v>4444</v>
      </c>
      <c r="H2385" s="306" t="s">
        <v>4047</v>
      </c>
      <c r="I2385" s="432" t="s">
        <v>4446</v>
      </c>
      <c r="K2385" t="s">
        <v>659</v>
      </c>
      <c r="L2385" t="s">
        <v>669</v>
      </c>
      <c r="M2385" s="1" t="s">
        <v>2333</v>
      </c>
    </row>
    <row r="2386" spans="1:15">
      <c r="A2386" s="5">
        <v>2386</v>
      </c>
      <c r="B2386" t="str">
        <f>MID(G2386,11,2)</f>
        <v>TO</v>
      </c>
      <c r="C2386" t="str">
        <f>MID(G2386,14,2)</f>
        <v>KB</v>
      </c>
      <c r="D2386" t="s">
        <v>4418</v>
      </c>
      <c r="E2386" s="5">
        <v>3</v>
      </c>
      <c r="G2386" s="4" t="s">
        <v>4444</v>
      </c>
      <c r="H2386" s="306" t="s">
        <v>4447</v>
      </c>
      <c r="I2386" s="432" t="s">
        <v>4448</v>
      </c>
      <c r="K2386" t="s">
        <v>659</v>
      </c>
      <c r="L2386" t="s">
        <v>669</v>
      </c>
      <c r="M2386" s="1" t="s">
        <v>2333</v>
      </c>
    </row>
    <row r="2387" spans="1:15">
      <c r="A2387" s="5">
        <v>2387</v>
      </c>
      <c r="B2387" t="str">
        <f>MID(G2387,11,2)</f>
        <v>TO</v>
      </c>
      <c r="C2387" t="str">
        <f>MID(G2387,14,2)</f>
        <v>KB</v>
      </c>
      <c r="D2387" t="s">
        <v>4418</v>
      </c>
      <c r="E2387" s="5">
        <v>3</v>
      </c>
      <c r="G2387" s="4" t="s">
        <v>4444</v>
      </c>
      <c r="H2387" s="306" t="s">
        <v>4449</v>
      </c>
      <c r="I2387" s="432" t="s">
        <v>4450</v>
      </c>
      <c r="K2387" t="s">
        <v>1434</v>
      </c>
      <c r="L2387" t="s">
        <v>669</v>
      </c>
      <c r="M2387" s="1" t="s">
        <v>2333</v>
      </c>
    </row>
    <row r="2388" spans="1:15" ht="36">
      <c r="A2388" s="5">
        <v>2388</v>
      </c>
      <c r="B2388" t="str">
        <f>MID(G2388,11,2)</f>
        <v>TO</v>
      </c>
      <c r="C2388" t="str">
        <f>MID(G2388,14,2)</f>
        <v>KB</v>
      </c>
      <c r="D2388" t="s">
        <v>4418</v>
      </c>
      <c r="E2388" s="5">
        <v>3</v>
      </c>
      <c r="F2388" t="s">
        <v>3843</v>
      </c>
      <c r="G2388" s="4" t="s">
        <v>4444</v>
      </c>
      <c r="H2388" s="306" t="s">
        <v>4106</v>
      </c>
      <c r="I2388" s="432" t="s">
        <v>2831</v>
      </c>
      <c r="K2388" t="s">
        <v>659</v>
      </c>
      <c r="L2388" t="s">
        <v>669</v>
      </c>
      <c r="M2388" s="1" t="s">
        <v>2333</v>
      </c>
      <c r="N2388" t="s">
        <v>4308</v>
      </c>
      <c r="O2388" s="4" t="s">
        <v>4451</v>
      </c>
    </row>
    <row r="2389" spans="1:15" ht="36">
      <c r="A2389" s="5">
        <v>2389</v>
      </c>
      <c r="B2389" t="str">
        <f t="shared" ref="B2389:B2391" si="455">MID(G2389,11,2)</f>
        <v>TO</v>
      </c>
      <c r="C2389" t="str">
        <f t="shared" ref="C2389:C2391" si="456">MID(G2389,14,2)</f>
        <v>KB</v>
      </c>
      <c r="D2389" t="s">
        <v>4418</v>
      </c>
      <c r="E2389" s="5">
        <v>1</v>
      </c>
      <c r="F2389" t="s">
        <v>4452</v>
      </c>
      <c r="G2389" s="4" t="s">
        <v>4453</v>
      </c>
      <c r="H2389" s="306" t="s">
        <v>635</v>
      </c>
      <c r="I2389" s="432" t="s">
        <v>4454</v>
      </c>
      <c r="K2389" t="s">
        <v>1434</v>
      </c>
      <c r="L2389" t="s">
        <v>669</v>
      </c>
      <c r="M2389" s="1" t="s">
        <v>2333</v>
      </c>
    </row>
    <row r="2390" spans="1:15">
      <c r="A2390" s="5">
        <v>2390</v>
      </c>
      <c r="B2390" t="str">
        <f t="shared" si="455"/>
        <v>TO</v>
      </c>
      <c r="C2390" t="str">
        <f t="shared" si="456"/>
        <v>KB</v>
      </c>
      <c r="D2390" t="s">
        <v>4418</v>
      </c>
      <c r="E2390" s="5">
        <v>1</v>
      </c>
      <c r="F2390" t="s">
        <v>3843</v>
      </c>
      <c r="G2390" s="4" t="s">
        <v>4455</v>
      </c>
      <c r="H2390" s="306" t="s">
        <v>4456</v>
      </c>
      <c r="I2390" s="432" t="s">
        <v>4457</v>
      </c>
      <c r="K2390" t="s">
        <v>1434</v>
      </c>
      <c r="L2390" t="s">
        <v>669</v>
      </c>
      <c r="M2390" s="1" t="s">
        <v>2333</v>
      </c>
      <c r="O2390" t="s">
        <v>4458</v>
      </c>
    </row>
    <row r="2391" spans="1:15">
      <c r="A2391" s="5">
        <v>2391</v>
      </c>
      <c r="B2391" t="str">
        <f t="shared" si="455"/>
        <v>TO</v>
      </c>
      <c r="C2391" t="str">
        <f t="shared" si="456"/>
        <v>KB</v>
      </c>
      <c r="D2391" t="s">
        <v>4418</v>
      </c>
      <c r="E2391" s="5">
        <v>1</v>
      </c>
      <c r="F2391" t="s">
        <v>3843</v>
      </c>
      <c r="G2391" s="4" t="s">
        <v>4459</v>
      </c>
      <c r="H2391" s="306" t="s">
        <v>4460</v>
      </c>
      <c r="I2391" s="432" t="s">
        <v>4461</v>
      </c>
      <c r="K2391" t="s">
        <v>659</v>
      </c>
      <c r="L2391" t="s">
        <v>669</v>
      </c>
      <c r="M2391" s="1" t="s">
        <v>2333</v>
      </c>
    </row>
    <row r="2392" spans="1:15">
      <c r="A2392" s="5">
        <v>2392</v>
      </c>
      <c r="B2392" t="str">
        <f>MID(G2392,11,2)</f>
        <v>TO</v>
      </c>
      <c r="C2392" t="str">
        <f>MID(G2392,14,2)</f>
        <v>KB</v>
      </c>
      <c r="D2392" t="s">
        <v>4418</v>
      </c>
      <c r="E2392" s="5">
        <v>2</v>
      </c>
      <c r="F2392" t="s">
        <v>3843</v>
      </c>
      <c r="G2392" s="4" t="s">
        <v>4462</v>
      </c>
      <c r="H2392" s="306" t="s">
        <v>4463</v>
      </c>
      <c r="I2392" s="432" t="s">
        <v>3949</v>
      </c>
      <c r="K2392" t="s">
        <v>1434</v>
      </c>
      <c r="L2392" t="s">
        <v>669</v>
      </c>
      <c r="M2392" t="s">
        <v>2333</v>
      </c>
    </row>
    <row r="2393" spans="1:15">
      <c r="A2393" s="5">
        <v>2393</v>
      </c>
      <c r="B2393" t="str">
        <f>MID(G2393,11,2)</f>
        <v>TO</v>
      </c>
      <c r="C2393" t="str">
        <f>MID(G2393,14,2)</f>
        <v>KB</v>
      </c>
      <c r="D2393" t="s">
        <v>4418</v>
      </c>
      <c r="E2393" s="5">
        <v>2</v>
      </c>
      <c r="F2393" t="s">
        <v>3843</v>
      </c>
      <c r="G2393" s="4" t="s">
        <v>4462</v>
      </c>
      <c r="H2393" s="306" t="s">
        <v>590</v>
      </c>
      <c r="I2393" s="432" t="s">
        <v>4114</v>
      </c>
      <c r="K2393" t="s">
        <v>659</v>
      </c>
      <c r="L2393" t="s">
        <v>669</v>
      </c>
      <c r="M2393" t="s">
        <v>2333</v>
      </c>
      <c r="N2393" t="s">
        <v>4308</v>
      </c>
    </row>
    <row r="2394" spans="1:15" ht="17.399999999999999" customHeight="1">
      <c r="A2394" s="5">
        <v>2394</v>
      </c>
      <c r="B2394" t="str">
        <f t="shared" ref="B2394:B2395" si="457">MID(G2394,11,2)</f>
        <v>TO</v>
      </c>
      <c r="C2394" t="str">
        <f t="shared" ref="C2394:C2395" si="458">MID(G2394,14,2)</f>
        <v>KB</v>
      </c>
      <c r="D2394" t="s">
        <v>4418</v>
      </c>
      <c r="E2394" s="5">
        <v>2</v>
      </c>
      <c r="F2394" t="s">
        <v>4464</v>
      </c>
      <c r="G2394" s="4" t="s">
        <v>4465</v>
      </c>
      <c r="H2394" s="306" t="s">
        <v>4100</v>
      </c>
      <c r="I2394" s="432" t="s">
        <v>3636</v>
      </c>
      <c r="K2394" t="s">
        <v>1434</v>
      </c>
      <c r="L2394" t="s">
        <v>669</v>
      </c>
      <c r="M2394" t="s">
        <v>2333</v>
      </c>
      <c r="N2394" t="s">
        <v>4308</v>
      </c>
      <c r="O2394" s="4" t="s">
        <v>4099</v>
      </c>
    </row>
    <row r="2395" spans="1:15">
      <c r="A2395" s="5">
        <v>2395</v>
      </c>
      <c r="B2395" t="str">
        <f t="shared" si="457"/>
        <v>TO</v>
      </c>
      <c r="C2395" t="str">
        <f t="shared" si="458"/>
        <v>KB</v>
      </c>
      <c r="D2395" t="s">
        <v>4418</v>
      </c>
      <c r="E2395" s="5">
        <v>2</v>
      </c>
      <c r="F2395" t="s">
        <v>4464</v>
      </c>
      <c r="G2395" s="4" t="s">
        <v>4466</v>
      </c>
      <c r="H2395" s="306" t="s">
        <v>4467</v>
      </c>
      <c r="I2395" s="432" t="s">
        <v>4468</v>
      </c>
      <c r="K2395" t="s">
        <v>1434</v>
      </c>
      <c r="L2395" t="s">
        <v>669</v>
      </c>
      <c r="M2395" t="s">
        <v>2333</v>
      </c>
    </row>
    <row r="2396" spans="1:15">
      <c r="A2396" s="5">
        <v>2396</v>
      </c>
      <c r="B2396" t="str">
        <f>MID(G2396,11,2)</f>
        <v>TO</v>
      </c>
      <c r="C2396" t="str">
        <f>MID(G2396,14,2)</f>
        <v>KB</v>
      </c>
      <c r="D2396" t="s">
        <v>4418</v>
      </c>
      <c r="E2396" s="5">
        <v>2</v>
      </c>
      <c r="F2396" t="s">
        <v>4464</v>
      </c>
      <c r="G2396" s="4" t="s">
        <v>4466</v>
      </c>
      <c r="H2396" s="306" t="s">
        <v>4469</v>
      </c>
      <c r="I2396" s="432" t="s">
        <v>3992</v>
      </c>
      <c r="K2396" t="s">
        <v>659</v>
      </c>
      <c r="L2396" t="s">
        <v>669</v>
      </c>
      <c r="M2396" t="s">
        <v>2333</v>
      </c>
    </row>
    <row r="2397" spans="1:15">
      <c r="A2397" s="5">
        <v>2397</v>
      </c>
      <c r="B2397" t="str">
        <f>MID(G2397,11,2)</f>
        <v>TO</v>
      </c>
      <c r="C2397" t="str">
        <f>MID(G2397,14,2)</f>
        <v>KB</v>
      </c>
      <c r="D2397" t="s">
        <v>4418</v>
      </c>
      <c r="E2397" s="5">
        <v>2</v>
      </c>
      <c r="F2397" t="s">
        <v>4464</v>
      </c>
      <c r="G2397" s="4" t="s">
        <v>4470</v>
      </c>
      <c r="H2397" s="306" t="s">
        <v>4371</v>
      </c>
      <c r="I2397" s="432" t="s">
        <v>4471</v>
      </c>
      <c r="K2397" t="s">
        <v>659</v>
      </c>
      <c r="L2397" t="s">
        <v>669</v>
      </c>
      <c r="M2397" t="s">
        <v>2333</v>
      </c>
    </row>
    <row r="2398" spans="1:15">
      <c r="A2398" s="5">
        <v>2398</v>
      </c>
      <c r="B2398" t="str">
        <f t="shared" ref="B2398:B2399" si="459">MID(G2398,11,2)</f>
        <v>TO</v>
      </c>
      <c r="C2398" t="str">
        <f t="shared" ref="C2398:C2399" si="460">MID(G2398,14,2)</f>
        <v>KB</v>
      </c>
      <c r="D2398" t="s">
        <v>4418</v>
      </c>
      <c r="E2398" s="5">
        <v>2</v>
      </c>
      <c r="F2398" t="s">
        <v>4464</v>
      </c>
      <c r="G2398" s="4" t="s">
        <v>4470</v>
      </c>
      <c r="H2398" s="306" t="s">
        <v>4472</v>
      </c>
      <c r="I2398" s="432" t="s">
        <v>3975</v>
      </c>
      <c r="K2398" t="s">
        <v>659</v>
      </c>
      <c r="L2398" t="s">
        <v>669</v>
      </c>
      <c r="M2398" t="s">
        <v>3160</v>
      </c>
      <c r="N2398" t="s">
        <v>4473</v>
      </c>
    </row>
    <row r="2399" spans="1:15">
      <c r="A2399" s="5">
        <v>2399</v>
      </c>
      <c r="B2399" t="str">
        <f t="shared" si="459"/>
        <v>TO</v>
      </c>
      <c r="C2399" t="str">
        <f t="shared" si="460"/>
        <v>KB</v>
      </c>
      <c r="D2399" t="s">
        <v>4418</v>
      </c>
      <c r="E2399" s="5">
        <v>2</v>
      </c>
      <c r="F2399" t="s">
        <v>4464</v>
      </c>
      <c r="G2399" s="4" t="s">
        <v>4470</v>
      </c>
      <c r="H2399" s="306" t="s">
        <v>2259</v>
      </c>
      <c r="I2399" s="432" t="s">
        <v>4474</v>
      </c>
      <c r="K2399" t="s">
        <v>659</v>
      </c>
      <c r="L2399" t="s">
        <v>669</v>
      </c>
      <c r="M2399" t="s">
        <v>2333</v>
      </c>
    </row>
    <row r="2400" spans="1:15" ht="36">
      <c r="A2400" s="5">
        <v>2400</v>
      </c>
      <c r="B2400" t="s">
        <v>152</v>
      </c>
      <c r="C2400" t="str">
        <f>MID(G2400,14,2)</f>
        <v>KB</v>
      </c>
      <c r="D2400" t="s">
        <v>4418</v>
      </c>
      <c r="E2400" s="5">
        <v>2</v>
      </c>
      <c r="F2400" t="s">
        <v>4464</v>
      </c>
      <c r="G2400" s="4" t="s">
        <v>4475</v>
      </c>
      <c r="H2400" s="306" t="s">
        <v>4306</v>
      </c>
      <c r="I2400" s="432" t="s">
        <v>4476</v>
      </c>
      <c r="K2400" t="s">
        <v>659</v>
      </c>
      <c r="L2400" t="s">
        <v>669</v>
      </c>
      <c r="M2400" t="s">
        <v>2333</v>
      </c>
      <c r="N2400" t="s">
        <v>4308</v>
      </c>
    </row>
    <row r="2401" spans="1:15">
      <c r="A2401" s="5">
        <v>2401</v>
      </c>
      <c r="B2401" t="str">
        <f t="shared" ref="B2401" si="461">MID(G2401,11,2)</f>
        <v>TO</v>
      </c>
      <c r="C2401" t="str">
        <f t="shared" ref="C2401" si="462">MID(G2401,14,2)</f>
        <v>KB</v>
      </c>
      <c r="D2401" t="s">
        <v>4418</v>
      </c>
      <c r="E2401" s="5">
        <v>2</v>
      </c>
      <c r="F2401" t="s">
        <v>4464</v>
      </c>
      <c r="G2401" s="4" t="s">
        <v>4477</v>
      </c>
      <c r="H2401" s="306" t="s">
        <v>4086</v>
      </c>
      <c r="I2401" s="432" t="s">
        <v>4087</v>
      </c>
      <c r="K2401" t="s">
        <v>1434</v>
      </c>
      <c r="L2401" t="s">
        <v>669</v>
      </c>
      <c r="M2401" t="s">
        <v>2333</v>
      </c>
    </row>
    <row r="2402" spans="1:15">
      <c r="A2402" s="5">
        <v>2402</v>
      </c>
      <c r="B2402" t="str">
        <f t="shared" ref="B2402:B2403" si="463">MID(G2402,11,2)</f>
        <v>TO</v>
      </c>
      <c r="C2402" t="str">
        <f t="shared" ref="C2402:C2403" si="464">MID(G2402,14,2)</f>
        <v>KB</v>
      </c>
      <c r="D2402" t="s">
        <v>4418</v>
      </c>
      <c r="E2402" s="5">
        <v>2</v>
      </c>
      <c r="F2402" t="s">
        <v>4464</v>
      </c>
      <c r="G2402" s="4" t="s">
        <v>4477</v>
      </c>
      <c r="H2402" t="s">
        <v>4478</v>
      </c>
      <c r="I2402" s="432" t="s">
        <v>4479</v>
      </c>
      <c r="K2402" t="s">
        <v>659</v>
      </c>
      <c r="L2402" t="s">
        <v>669</v>
      </c>
      <c r="M2402" t="s">
        <v>2333</v>
      </c>
    </row>
    <row r="2403" spans="1:15">
      <c r="A2403" s="5">
        <v>2403</v>
      </c>
      <c r="B2403" t="str">
        <f t="shared" si="463"/>
        <v>TO</v>
      </c>
      <c r="C2403" t="str">
        <f t="shared" si="464"/>
        <v>KB</v>
      </c>
      <c r="D2403" t="s">
        <v>4418</v>
      </c>
      <c r="E2403" s="5">
        <v>2</v>
      </c>
      <c r="F2403" t="s">
        <v>4464</v>
      </c>
      <c r="G2403" s="4" t="s">
        <v>4477</v>
      </c>
      <c r="H2403" t="s">
        <v>4480</v>
      </c>
      <c r="I2403" s="432" t="s">
        <v>4481</v>
      </c>
      <c r="K2403" t="s">
        <v>1434</v>
      </c>
      <c r="L2403" t="s">
        <v>669</v>
      </c>
      <c r="M2403" t="s">
        <v>2333</v>
      </c>
    </row>
    <row r="2404" spans="1:15">
      <c r="A2404" s="5">
        <v>2404</v>
      </c>
      <c r="B2404" t="str">
        <f>MID(G2404,11,2)</f>
        <v>TO</v>
      </c>
      <c r="C2404" t="str">
        <f>MID(G2404,14,2)</f>
        <v>KB</v>
      </c>
      <c r="D2404" t="s">
        <v>4418</v>
      </c>
      <c r="E2404" s="5">
        <v>2</v>
      </c>
      <c r="F2404" t="s">
        <v>3843</v>
      </c>
      <c r="G2404" s="4" t="s">
        <v>4482</v>
      </c>
      <c r="H2404" s="306" t="s">
        <v>4483</v>
      </c>
      <c r="I2404" s="432" t="s">
        <v>4484</v>
      </c>
      <c r="K2404" t="s">
        <v>659</v>
      </c>
      <c r="L2404" t="s">
        <v>669</v>
      </c>
      <c r="M2404" t="s">
        <v>2392</v>
      </c>
      <c r="O2404" t="s">
        <v>2140</v>
      </c>
    </row>
    <row r="2405" spans="1:15">
      <c r="A2405" s="5">
        <v>2405</v>
      </c>
      <c r="B2405" t="str">
        <f t="shared" ref="B2405:B2406" si="465">MID(G2405,11,2)</f>
        <v>TO</v>
      </c>
      <c r="C2405" t="str">
        <f t="shared" ref="C2405:C2406" si="466">MID(G2405,14,2)</f>
        <v>KB</v>
      </c>
      <c r="D2405" t="s">
        <v>4418</v>
      </c>
      <c r="E2405" s="5">
        <v>2</v>
      </c>
      <c r="F2405" t="s">
        <v>3843</v>
      </c>
      <c r="G2405" s="4" t="s">
        <v>4482</v>
      </c>
      <c r="H2405" s="306" t="s">
        <v>4485</v>
      </c>
      <c r="I2405" s="432" t="s">
        <v>4486</v>
      </c>
      <c r="K2405" t="s">
        <v>659</v>
      </c>
      <c r="L2405" t="s">
        <v>669</v>
      </c>
      <c r="M2405" t="s">
        <v>2392</v>
      </c>
      <c r="O2405" t="s">
        <v>2140</v>
      </c>
    </row>
    <row r="2406" spans="1:15">
      <c r="A2406" s="5">
        <v>2406</v>
      </c>
      <c r="B2406" t="str">
        <f t="shared" si="465"/>
        <v>TO</v>
      </c>
      <c r="C2406" t="str">
        <f t="shared" si="466"/>
        <v>KB</v>
      </c>
      <c r="D2406" t="s">
        <v>4418</v>
      </c>
      <c r="E2406" s="5">
        <v>2</v>
      </c>
      <c r="F2406" t="s">
        <v>3843</v>
      </c>
      <c r="G2406" s="4" t="s">
        <v>4482</v>
      </c>
      <c r="H2406" s="306" t="s">
        <v>4487</v>
      </c>
      <c r="I2406" s="432" t="s">
        <v>4488</v>
      </c>
      <c r="K2406" t="s">
        <v>1434</v>
      </c>
      <c r="L2406" t="s">
        <v>669</v>
      </c>
      <c r="M2406" t="s">
        <v>2333</v>
      </c>
    </row>
    <row r="2407" spans="1:15">
      <c r="A2407" s="5">
        <v>2407</v>
      </c>
      <c r="B2407" t="str">
        <f t="shared" ref="B2407:B2409" si="467">MID(G2407,11,2)</f>
        <v>TO</v>
      </c>
      <c r="C2407" t="str">
        <f t="shared" ref="C2407:C2409" si="468">MID(G2407,14,2)</f>
        <v>KB</v>
      </c>
      <c r="D2407" t="s">
        <v>4418</v>
      </c>
      <c r="E2407" s="5">
        <v>2</v>
      </c>
      <c r="F2407" t="s">
        <v>3843</v>
      </c>
      <c r="G2407" s="4" t="s">
        <v>4489</v>
      </c>
      <c r="H2407" s="306" t="s">
        <v>4490</v>
      </c>
      <c r="I2407" s="432" t="s">
        <v>4491</v>
      </c>
      <c r="K2407" t="s">
        <v>659</v>
      </c>
      <c r="L2407" t="s">
        <v>669</v>
      </c>
      <c r="M2407" t="s">
        <v>2333</v>
      </c>
    </row>
    <row r="2408" spans="1:15">
      <c r="A2408" s="5">
        <v>2408</v>
      </c>
      <c r="B2408" t="str">
        <f t="shared" si="467"/>
        <v>TO</v>
      </c>
      <c r="C2408" t="str">
        <f t="shared" si="468"/>
        <v>KB</v>
      </c>
      <c r="D2408" t="s">
        <v>4418</v>
      </c>
      <c r="E2408" s="5">
        <v>2</v>
      </c>
      <c r="F2408" t="s">
        <v>3843</v>
      </c>
      <c r="G2408" s="4" t="s">
        <v>4492</v>
      </c>
      <c r="H2408" s="306" t="s">
        <v>4493</v>
      </c>
      <c r="I2408" s="432" t="s">
        <v>4494</v>
      </c>
      <c r="K2408" t="s">
        <v>1434</v>
      </c>
      <c r="L2408" t="s">
        <v>669</v>
      </c>
      <c r="M2408" t="s">
        <v>3160</v>
      </c>
    </row>
    <row r="2409" spans="1:15">
      <c r="A2409" s="5">
        <v>2409</v>
      </c>
      <c r="B2409" t="str">
        <f t="shared" si="467"/>
        <v>TO</v>
      </c>
      <c r="C2409" t="str">
        <f t="shared" si="468"/>
        <v>KB</v>
      </c>
      <c r="D2409" t="s">
        <v>4418</v>
      </c>
      <c r="E2409" s="5">
        <v>2</v>
      </c>
      <c r="F2409" t="s">
        <v>3843</v>
      </c>
      <c r="G2409" s="4" t="s">
        <v>4492</v>
      </c>
      <c r="H2409" s="306" t="s">
        <v>297</v>
      </c>
      <c r="I2409" s="432" t="s">
        <v>4495</v>
      </c>
      <c r="K2409" t="s">
        <v>659</v>
      </c>
      <c r="L2409" t="s">
        <v>669</v>
      </c>
      <c r="M2409" t="s">
        <v>2333</v>
      </c>
      <c r="N2409" t="s">
        <v>4496</v>
      </c>
      <c r="O2409" t="s">
        <v>4496</v>
      </c>
    </row>
    <row r="2410" spans="1:15" ht="36">
      <c r="A2410" s="5">
        <v>2410</v>
      </c>
      <c r="B2410" t="str">
        <f t="shared" ref="B2410:B2411" si="469">MID(G2410,11,2)</f>
        <v>TO</v>
      </c>
      <c r="C2410" t="str">
        <f t="shared" ref="C2410:C2411" si="470">MID(G2410,14,2)</f>
        <v>KB</v>
      </c>
      <c r="D2410" t="s">
        <v>4418</v>
      </c>
      <c r="E2410" s="5">
        <v>1</v>
      </c>
      <c r="F2410" t="s">
        <v>2766</v>
      </c>
      <c r="G2410" s="4" t="s">
        <v>4497</v>
      </c>
      <c r="H2410" s="306" t="s">
        <v>630</v>
      </c>
      <c r="I2410" s="432" t="s">
        <v>4498</v>
      </c>
      <c r="K2410" t="s">
        <v>659</v>
      </c>
      <c r="L2410" t="s">
        <v>669</v>
      </c>
      <c r="M2410" t="s">
        <v>2333</v>
      </c>
      <c r="N2410" t="s">
        <v>4375</v>
      </c>
    </row>
    <row r="2411" spans="1:15">
      <c r="A2411" s="5">
        <v>2411</v>
      </c>
      <c r="B2411" t="str">
        <f t="shared" si="469"/>
        <v>TO</v>
      </c>
      <c r="C2411" t="str">
        <f t="shared" si="470"/>
        <v>Ap</v>
      </c>
      <c r="D2411" t="s">
        <v>4418</v>
      </c>
      <c r="E2411" s="5">
        <v>2</v>
      </c>
      <c r="G2411" s="4" t="s">
        <v>4499</v>
      </c>
      <c r="H2411" s="306" t="s">
        <v>631</v>
      </c>
      <c r="K2411" t="s">
        <v>2841</v>
      </c>
      <c r="L2411" t="s">
        <v>669</v>
      </c>
      <c r="M2411" t="s">
        <v>1424</v>
      </c>
    </row>
    <row r="2412" spans="1:15" ht="36" customHeight="1">
      <c r="A2412" s="5">
        <v>2412</v>
      </c>
      <c r="B2412" t="str">
        <f t="shared" ref="B2412" si="471">MID(G2412,11,2)</f>
        <v>TO</v>
      </c>
      <c r="C2412" t="str">
        <f t="shared" ref="C2412" si="472">MID(G2412,14,2)</f>
        <v>KB</v>
      </c>
      <c r="D2412" t="s">
        <v>4418</v>
      </c>
      <c r="E2412" s="5">
        <v>2</v>
      </c>
      <c r="G2412" s="4" t="s">
        <v>4500</v>
      </c>
      <c r="H2412" s="306" t="s">
        <v>2243</v>
      </c>
      <c r="I2412" s="432" t="s">
        <v>4501</v>
      </c>
      <c r="K2412" t="s">
        <v>659</v>
      </c>
      <c r="L2412" t="s">
        <v>669</v>
      </c>
      <c r="M2412" t="s">
        <v>2333</v>
      </c>
      <c r="N2412" t="s">
        <v>4308</v>
      </c>
    </row>
    <row r="2413" spans="1:15">
      <c r="A2413" s="5">
        <v>2413</v>
      </c>
      <c r="B2413" t="str">
        <f t="shared" ref="B2413:B2414" si="473">MID(G2413,11,2)</f>
        <v>TO</v>
      </c>
      <c r="C2413" t="str">
        <f t="shared" ref="C2413:C2414" si="474">MID(G2413,14,2)</f>
        <v>KB</v>
      </c>
      <c r="D2413" t="s">
        <v>4418</v>
      </c>
      <c r="E2413" s="5">
        <v>2</v>
      </c>
      <c r="G2413" s="4" t="s">
        <v>4674</v>
      </c>
      <c r="H2413" s="270" t="s">
        <v>4502</v>
      </c>
      <c r="I2413" s="432" t="s">
        <v>4503</v>
      </c>
      <c r="K2413" t="s">
        <v>659</v>
      </c>
      <c r="L2413" t="s">
        <v>669</v>
      </c>
      <c r="M2413" t="s">
        <v>2333</v>
      </c>
    </row>
    <row r="2414" spans="1:15">
      <c r="A2414" s="5">
        <v>2414</v>
      </c>
      <c r="B2414" t="str">
        <f t="shared" si="473"/>
        <v>TO</v>
      </c>
      <c r="C2414" t="str">
        <f t="shared" si="474"/>
        <v>KB</v>
      </c>
      <c r="D2414" t="s">
        <v>4418</v>
      </c>
      <c r="E2414" s="5">
        <v>2</v>
      </c>
      <c r="G2414" s="4" t="s">
        <v>4500</v>
      </c>
      <c r="H2414" s="270" t="s">
        <v>4504</v>
      </c>
      <c r="I2414" s="432" t="s">
        <v>3335</v>
      </c>
      <c r="K2414" t="s">
        <v>659</v>
      </c>
      <c r="L2414" t="s">
        <v>669</v>
      </c>
      <c r="M2414" t="s">
        <v>2333</v>
      </c>
    </row>
    <row r="2415" spans="1:15" ht="36">
      <c r="A2415" s="5">
        <v>2415</v>
      </c>
      <c r="B2415" t="str">
        <f t="shared" ref="B2415:B2420" si="475">MID(G2415,11,2)</f>
        <v>TO</v>
      </c>
      <c r="C2415" t="str">
        <f t="shared" ref="C2415:C2420" si="476">MID(G2415,14,2)</f>
        <v>KB</v>
      </c>
      <c r="D2415" t="s">
        <v>4418</v>
      </c>
      <c r="E2415" s="5">
        <v>2</v>
      </c>
      <c r="G2415" s="4" t="s">
        <v>4512</v>
      </c>
      <c r="H2415" s="311" t="s">
        <v>4506</v>
      </c>
      <c r="I2415" s="435" t="s">
        <v>4507</v>
      </c>
      <c r="J2415" s="9"/>
      <c r="K2415" s="9" t="s">
        <v>659</v>
      </c>
      <c r="L2415" s="9" t="s">
        <v>669</v>
      </c>
      <c r="M2415" s="9" t="s">
        <v>3323</v>
      </c>
      <c r="N2415" s="9" t="s">
        <v>4207</v>
      </c>
    </row>
    <row r="2416" spans="1:15" ht="36">
      <c r="A2416" s="5">
        <v>2416</v>
      </c>
      <c r="B2416" t="str">
        <f t="shared" ref="B2416:B2419" si="477">MID(G2416,11,2)</f>
        <v>TO</v>
      </c>
      <c r="C2416" t="str">
        <f t="shared" ref="C2416:C2419" si="478">MID(G2416,14,2)</f>
        <v>KB</v>
      </c>
      <c r="D2416" t="s">
        <v>4418</v>
      </c>
      <c r="E2416" s="5">
        <v>2</v>
      </c>
      <c r="G2416" s="4" t="s">
        <v>4505</v>
      </c>
      <c r="H2416" s="70" t="s">
        <v>4508</v>
      </c>
      <c r="I2416" s="438" t="s">
        <v>4185</v>
      </c>
      <c r="K2416" t="s">
        <v>659</v>
      </c>
      <c r="L2416" t="s">
        <v>669</v>
      </c>
      <c r="M2416" t="s">
        <v>2333</v>
      </c>
      <c r="N2416" t="s">
        <v>4509</v>
      </c>
    </row>
    <row r="2417" spans="1:15">
      <c r="A2417" s="5">
        <v>2417</v>
      </c>
      <c r="B2417" t="str">
        <f t="shared" si="477"/>
        <v>TO</v>
      </c>
      <c r="C2417" t="str">
        <f t="shared" si="478"/>
        <v>KB</v>
      </c>
      <c r="D2417" t="s">
        <v>4418</v>
      </c>
      <c r="E2417" s="5">
        <v>2</v>
      </c>
      <c r="G2417" s="4" t="s">
        <v>4505</v>
      </c>
      <c r="H2417" s="306" t="s">
        <v>4510</v>
      </c>
      <c r="I2417" s="432" t="s">
        <v>3663</v>
      </c>
      <c r="K2417" t="s">
        <v>659</v>
      </c>
      <c r="L2417" t="s">
        <v>669</v>
      </c>
      <c r="M2417" t="s">
        <v>2333</v>
      </c>
    </row>
    <row r="2418" spans="1:15">
      <c r="A2418" s="5">
        <v>2418</v>
      </c>
      <c r="B2418" t="str">
        <f t="shared" si="477"/>
        <v>TO</v>
      </c>
      <c r="C2418" t="str">
        <f t="shared" si="478"/>
        <v>KB</v>
      </c>
      <c r="D2418" t="s">
        <v>4418</v>
      </c>
      <c r="E2418" s="5">
        <v>2</v>
      </c>
      <c r="G2418" s="4" t="s">
        <v>4505</v>
      </c>
      <c r="H2418" s="306" t="s">
        <v>4209</v>
      </c>
      <c r="I2418" s="432" t="s">
        <v>4511</v>
      </c>
      <c r="K2418" t="s">
        <v>659</v>
      </c>
      <c r="L2418" t="s">
        <v>669</v>
      </c>
      <c r="M2418" t="s">
        <v>2333</v>
      </c>
      <c r="N2418" t="s">
        <v>4308</v>
      </c>
    </row>
    <row r="2419" spans="1:15" ht="38.4" customHeight="1">
      <c r="A2419" s="5">
        <v>2419</v>
      </c>
      <c r="B2419" t="str">
        <f t="shared" si="477"/>
        <v>TO</v>
      </c>
      <c r="C2419" t="str">
        <f t="shared" si="478"/>
        <v>KB</v>
      </c>
      <c r="D2419" t="s">
        <v>4418</v>
      </c>
      <c r="E2419" s="5">
        <v>2</v>
      </c>
      <c r="G2419" s="4" t="s">
        <v>4512</v>
      </c>
      <c r="H2419" s="306" t="s">
        <v>3986</v>
      </c>
      <c r="I2419" s="432" t="s">
        <v>4513</v>
      </c>
      <c r="K2419" t="s">
        <v>659</v>
      </c>
      <c r="L2419" t="s">
        <v>669</v>
      </c>
      <c r="M2419" t="s">
        <v>2333</v>
      </c>
      <c r="N2419" t="s">
        <v>4308</v>
      </c>
    </row>
    <row r="2420" spans="1:15" ht="36" customHeight="1">
      <c r="A2420" s="5">
        <v>2420</v>
      </c>
      <c r="B2420" t="str">
        <f t="shared" si="475"/>
        <v>TO</v>
      </c>
      <c r="C2420" t="str">
        <f t="shared" si="476"/>
        <v>KB</v>
      </c>
      <c r="D2420" t="s">
        <v>4418</v>
      </c>
      <c r="E2420" s="5">
        <v>3</v>
      </c>
      <c r="G2420" s="4" t="s">
        <v>4514</v>
      </c>
      <c r="H2420" s="306" t="s">
        <v>4515</v>
      </c>
      <c r="I2420" s="432" t="s">
        <v>3058</v>
      </c>
      <c r="K2420" t="s">
        <v>659</v>
      </c>
      <c r="L2420" t="s">
        <v>669</v>
      </c>
      <c r="M2420" t="s">
        <v>2333</v>
      </c>
      <c r="N2420" t="s">
        <v>4308</v>
      </c>
      <c r="O2420" s="129" t="s">
        <v>4516</v>
      </c>
    </row>
    <row r="2421" spans="1:15" ht="36" customHeight="1">
      <c r="A2421" s="5">
        <v>2421</v>
      </c>
      <c r="B2421" t="str">
        <f t="shared" ref="B2421:B2425" si="479">MID(G2421,11,2)</f>
        <v>TO</v>
      </c>
      <c r="C2421" t="str">
        <f t="shared" ref="C2421:C2425" si="480">MID(G2421,14,2)</f>
        <v>KB</v>
      </c>
      <c r="D2421" t="s">
        <v>4418</v>
      </c>
      <c r="E2421" s="5">
        <v>3</v>
      </c>
      <c r="G2421" s="4" t="s">
        <v>4514</v>
      </c>
      <c r="H2421" s="306" t="s">
        <v>4517</v>
      </c>
      <c r="I2421" s="432" t="s">
        <v>4518</v>
      </c>
      <c r="K2421" t="s">
        <v>1434</v>
      </c>
      <c r="L2421" t="s">
        <v>669</v>
      </c>
      <c r="M2421" t="s">
        <v>2333</v>
      </c>
    </row>
    <row r="2422" spans="1:15" ht="36" customHeight="1">
      <c r="A2422" s="5">
        <v>2422</v>
      </c>
      <c r="B2422" t="str">
        <f t="shared" si="479"/>
        <v>TO</v>
      </c>
      <c r="C2422" t="str">
        <f t="shared" si="480"/>
        <v>KB</v>
      </c>
      <c r="D2422" t="s">
        <v>4418</v>
      </c>
      <c r="E2422" s="5">
        <v>3</v>
      </c>
      <c r="G2422" s="4" t="s">
        <v>4514</v>
      </c>
      <c r="H2422" s="306" t="s">
        <v>4519</v>
      </c>
      <c r="I2422" s="432" t="s">
        <v>2296</v>
      </c>
      <c r="K2422" t="s">
        <v>1434</v>
      </c>
      <c r="L2422" t="s">
        <v>669</v>
      </c>
      <c r="M2422" t="s">
        <v>2333</v>
      </c>
    </row>
    <row r="2423" spans="1:15" ht="36" customHeight="1">
      <c r="A2423" s="5">
        <v>2423</v>
      </c>
      <c r="B2423" t="str">
        <f t="shared" si="479"/>
        <v>TO</v>
      </c>
      <c r="C2423" t="str">
        <f t="shared" si="480"/>
        <v>KB</v>
      </c>
      <c r="D2423" t="s">
        <v>4418</v>
      </c>
      <c r="E2423" s="5">
        <v>3</v>
      </c>
      <c r="G2423" s="4" t="s">
        <v>4514</v>
      </c>
      <c r="H2423" s="306" t="s">
        <v>4520</v>
      </c>
      <c r="I2423" s="432" t="s">
        <v>3643</v>
      </c>
      <c r="K2423" t="s">
        <v>659</v>
      </c>
      <c r="L2423" t="s">
        <v>669</v>
      </c>
      <c r="M2423" t="s">
        <v>2333</v>
      </c>
    </row>
    <row r="2424" spans="1:15" ht="36" customHeight="1">
      <c r="A2424" s="5">
        <v>2424</v>
      </c>
      <c r="B2424" t="str">
        <f t="shared" si="479"/>
        <v>TO</v>
      </c>
      <c r="C2424" t="str">
        <f t="shared" si="480"/>
        <v>KB</v>
      </c>
      <c r="D2424" t="s">
        <v>4418</v>
      </c>
      <c r="E2424" s="5">
        <v>3</v>
      </c>
      <c r="G2424" s="4" t="s">
        <v>4514</v>
      </c>
      <c r="H2424" s="306" t="s">
        <v>4521</v>
      </c>
      <c r="I2424" s="432" t="s">
        <v>4522</v>
      </c>
      <c r="K2424" t="s">
        <v>659</v>
      </c>
      <c r="L2424" t="s">
        <v>669</v>
      </c>
      <c r="M2424" t="s">
        <v>2333</v>
      </c>
    </row>
    <row r="2425" spans="1:15" ht="36" customHeight="1">
      <c r="A2425" s="5">
        <v>2425</v>
      </c>
      <c r="B2425" t="str">
        <f t="shared" si="479"/>
        <v>TO</v>
      </c>
      <c r="C2425" t="str">
        <f t="shared" si="480"/>
        <v>KB</v>
      </c>
      <c r="D2425" t="s">
        <v>4418</v>
      </c>
      <c r="E2425" s="5">
        <v>3</v>
      </c>
      <c r="G2425" s="4" t="s">
        <v>4514</v>
      </c>
      <c r="H2425" s="306" t="s">
        <v>4523</v>
      </c>
      <c r="I2425" s="432" t="s">
        <v>4524</v>
      </c>
      <c r="K2425" t="s">
        <v>659</v>
      </c>
      <c r="L2425" t="s">
        <v>669</v>
      </c>
      <c r="M2425" t="s">
        <v>2333</v>
      </c>
    </row>
    <row r="2426" spans="1:15" ht="36" customHeight="1">
      <c r="A2426" s="5">
        <v>2426</v>
      </c>
      <c r="B2426" t="str">
        <f t="shared" ref="B2426:B2461" si="481">MID(G2426,11,2)</f>
        <v>TO</v>
      </c>
      <c r="C2426" t="str">
        <f t="shared" ref="C2426:C2461" si="482">MID(G2426,14,2)</f>
        <v>KB</v>
      </c>
      <c r="D2426" t="s">
        <v>4525</v>
      </c>
      <c r="E2426" s="5">
        <v>2</v>
      </c>
      <c r="G2426" s="4" t="s">
        <v>4526</v>
      </c>
      <c r="H2426" s="306" t="s">
        <v>4527</v>
      </c>
      <c r="I2426" s="432" t="s">
        <v>4528</v>
      </c>
      <c r="K2426" t="s">
        <v>1434</v>
      </c>
      <c r="L2426" t="s">
        <v>669</v>
      </c>
      <c r="M2426" t="s">
        <v>2333</v>
      </c>
    </row>
    <row r="2427" spans="1:15" ht="36" customHeight="1">
      <c r="A2427" s="5">
        <v>2427</v>
      </c>
      <c r="B2427" t="str">
        <f t="shared" ref="B2427:B2429" si="483">MID(G2427,11,2)</f>
        <v>TO</v>
      </c>
      <c r="C2427" t="str">
        <f t="shared" ref="C2427:C2429" si="484">MID(G2427,14,2)</f>
        <v>KB</v>
      </c>
      <c r="D2427" t="s">
        <v>4525</v>
      </c>
      <c r="E2427" s="5">
        <v>2</v>
      </c>
      <c r="G2427" s="4" t="s">
        <v>4526</v>
      </c>
      <c r="H2427" s="306" t="s">
        <v>4104</v>
      </c>
      <c r="I2427" s="432" t="s">
        <v>4105</v>
      </c>
      <c r="K2427" t="s">
        <v>659</v>
      </c>
      <c r="L2427" t="s">
        <v>669</v>
      </c>
      <c r="M2427" t="s">
        <v>2333</v>
      </c>
      <c r="N2427" t="s">
        <v>4529</v>
      </c>
      <c r="O2427" s="4" t="s">
        <v>4099</v>
      </c>
    </row>
    <row r="2428" spans="1:15" ht="36" customHeight="1">
      <c r="A2428" s="5">
        <v>2428</v>
      </c>
      <c r="B2428" t="str">
        <f t="shared" si="483"/>
        <v>TO</v>
      </c>
      <c r="C2428" t="str">
        <f t="shared" si="484"/>
        <v>KB</v>
      </c>
      <c r="D2428" t="s">
        <v>4525</v>
      </c>
      <c r="E2428" s="5">
        <v>2</v>
      </c>
      <c r="G2428" s="4" t="s">
        <v>4526</v>
      </c>
      <c r="H2428" s="306" t="s">
        <v>3000</v>
      </c>
      <c r="I2428" s="438" t="s">
        <v>3001</v>
      </c>
      <c r="K2428" t="s">
        <v>1434</v>
      </c>
      <c r="L2428" t="s">
        <v>669</v>
      </c>
      <c r="M2428" t="s">
        <v>2333</v>
      </c>
    </row>
    <row r="2429" spans="1:15" ht="39.6" customHeight="1">
      <c r="A2429" s="5">
        <v>2429</v>
      </c>
      <c r="B2429" t="str">
        <f t="shared" si="483"/>
        <v>TO</v>
      </c>
      <c r="C2429" t="str">
        <f t="shared" si="484"/>
        <v>KB</v>
      </c>
      <c r="D2429" t="s">
        <v>4525</v>
      </c>
      <c r="E2429" s="5">
        <v>2</v>
      </c>
      <c r="F2429" t="s">
        <v>3843</v>
      </c>
      <c r="G2429" s="4" t="s">
        <v>4526</v>
      </c>
      <c r="H2429" s="317" t="s">
        <v>1910</v>
      </c>
      <c r="I2429" s="432" t="s">
        <v>4530</v>
      </c>
      <c r="K2429" t="s">
        <v>659</v>
      </c>
      <c r="L2429" t="s">
        <v>669</v>
      </c>
      <c r="M2429" t="s">
        <v>2333</v>
      </c>
    </row>
    <row r="2430" spans="1:15" ht="36">
      <c r="A2430" s="5">
        <v>2430</v>
      </c>
      <c r="B2430" t="str">
        <f t="shared" si="481"/>
        <v>TO</v>
      </c>
      <c r="C2430" t="str">
        <f t="shared" si="482"/>
        <v>KB</v>
      </c>
      <c r="D2430" t="s">
        <v>4531</v>
      </c>
      <c r="E2430" s="5">
        <v>1</v>
      </c>
      <c r="G2430" s="4" t="s">
        <v>4532</v>
      </c>
      <c r="H2430" s="306" t="s">
        <v>559</v>
      </c>
      <c r="I2430" s="432" t="s">
        <v>2820</v>
      </c>
      <c r="K2430" t="s">
        <v>659</v>
      </c>
      <c r="L2430" t="s">
        <v>669</v>
      </c>
      <c r="M2430" t="s">
        <v>2333</v>
      </c>
    </row>
    <row r="2431" spans="1:15">
      <c r="A2431" s="5">
        <v>2431</v>
      </c>
      <c r="B2431" t="str">
        <f>MID(G2431,11,2)</f>
        <v>TO</v>
      </c>
      <c r="C2431" t="str">
        <f>MID(G2431,14,2)</f>
        <v>KB</v>
      </c>
      <c r="D2431" t="s">
        <v>4418</v>
      </c>
      <c r="E2431" s="5">
        <v>1</v>
      </c>
      <c r="F2431" t="s">
        <v>3843</v>
      </c>
      <c r="G2431" s="4" t="s">
        <v>4533</v>
      </c>
      <c r="H2431" s="306" t="s">
        <v>638</v>
      </c>
      <c r="I2431" s="432" t="s">
        <v>2261</v>
      </c>
      <c r="K2431" t="s">
        <v>659</v>
      </c>
      <c r="L2431" t="s">
        <v>669</v>
      </c>
      <c r="M2431" t="s">
        <v>2333</v>
      </c>
      <c r="N2431" t="s">
        <v>4534</v>
      </c>
    </row>
    <row r="2432" spans="1:15">
      <c r="A2432" s="5">
        <v>2432</v>
      </c>
      <c r="B2432" t="str">
        <f>MID(G2432,11,2)</f>
        <v>TO</v>
      </c>
      <c r="C2432" t="str">
        <f>MID(G2432,14,2)</f>
        <v>KB</v>
      </c>
      <c r="D2432" t="s">
        <v>4531</v>
      </c>
      <c r="E2432" s="5">
        <v>3</v>
      </c>
      <c r="F2432" t="s">
        <v>3843</v>
      </c>
      <c r="G2432" s="4" t="s">
        <v>4535</v>
      </c>
      <c r="H2432" s="306" t="s">
        <v>4536</v>
      </c>
      <c r="I2432" s="432" t="s">
        <v>3348</v>
      </c>
      <c r="K2432" t="s">
        <v>659</v>
      </c>
      <c r="L2432" t="s">
        <v>669</v>
      </c>
      <c r="M2432" t="s">
        <v>2333</v>
      </c>
      <c r="N2432" t="s">
        <v>4537</v>
      </c>
    </row>
    <row r="2433" spans="1:15" ht="33.6" customHeight="1">
      <c r="A2433" s="5">
        <v>2433</v>
      </c>
      <c r="B2433" t="str">
        <f t="shared" ref="B2433:B2435" si="485">MID(G2433,11,2)</f>
        <v>TO</v>
      </c>
      <c r="C2433" t="str">
        <f t="shared" ref="C2433:C2435" si="486">MID(G2433,14,2)</f>
        <v>KB</v>
      </c>
      <c r="D2433" t="s">
        <v>4531</v>
      </c>
      <c r="E2433" s="5">
        <v>3</v>
      </c>
      <c r="G2433" s="4" t="s">
        <v>4535</v>
      </c>
      <c r="H2433" s="306" t="s">
        <v>4538</v>
      </c>
      <c r="I2433" s="432" t="s">
        <v>4539</v>
      </c>
      <c r="K2433" t="s">
        <v>659</v>
      </c>
      <c r="L2433" t="s">
        <v>669</v>
      </c>
      <c r="M2433" t="s">
        <v>2333</v>
      </c>
    </row>
    <row r="2434" spans="1:15" ht="36">
      <c r="A2434" s="5">
        <v>2434</v>
      </c>
      <c r="B2434" t="str">
        <f t="shared" si="485"/>
        <v>TO</v>
      </c>
      <c r="C2434" t="str">
        <f t="shared" si="486"/>
        <v>KB</v>
      </c>
      <c r="D2434" t="s">
        <v>4531</v>
      </c>
      <c r="E2434" s="5">
        <v>3</v>
      </c>
      <c r="G2434" s="4" t="s">
        <v>4535</v>
      </c>
      <c r="H2434" s="70" t="s">
        <v>4540</v>
      </c>
      <c r="I2434" s="432" t="s">
        <v>4156</v>
      </c>
      <c r="K2434" t="s">
        <v>659</v>
      </c>
      <c r="L2434" t="s">
        <v>669</v>
      </c>
      <c r="M2434" t="s">
        <v>2333</v>
      </c>
    </row>
    <row r="2435" spans="1:15" ht="18.600000000000001">
      <c r="A2435" s="5">
        <v>2435</v>
      </c>
      <c r="B2435" t="str">
        <f t="shared" si="485"/>
        <v>TO</v>
      </c>
      <c r="C2435" t="str">
        <f t="shared" si="486"/>
        <v>KB</v>
      </c>
      <c r="D2435" t="s">
        <v>4531</v>
      </c>
      <c r="E2435" s="5">
        <v>3</v>
      </c>
      <c r="G2435" s="4" t="s">
        <v>4535</v>
      </c>
      <c r="H2435" s="70" t="s">
        <v>4541</v>
      </c>
      <c r="I2435" s="432" t="s">
        <v>4542</v>
      </c>
      <c r="K2435" t="s">
        <v>659</v>
      </c>
      <c r="L2435" t="s">
        <v>669</v>
      </c>
      <c r="M2435" t="s">
        <v>2333</v>
      </c>
    </row>
    <row r="2436" spans="1:15">
      <c r="A2436" s="5">
        <v>2436</v>
      </c>
      <c r="B2436" t="str">
        <f t="shared" ref="B2436" si="487">MID(G2436,11,2)</f>
        <v>TO</v>
      </c>
      <c r="C2436" t="str">
        <f t="shared" ref="C2436" si="488">MID(G2436,14,2)</f>
        <v>KB</v>
      </c>
      <c r="D2436" t="s">
        <v>4531</v>
      </c>
      <c r="E2436" s="5">
        <v>3</v>
      </c>
      <c r="G2436" s="4" t="s">
        <v>4535</v>
      </c>
      <c r="H2436" s="306" t="s">
        <v>4543</v>
      </c>
      <c r="I2436" s="438" t="s">
        <v>4544</v>
      </c>
      <c r="K2436" t="s">
        <v>659</v>
      </c>
      <c r="L2436" t="s">
        <v>669</v>
      </c>
      <c r="M2436" t="s">
        <v>2333</v>
      </c>
      <c r="N2436" s="306"/>
    </row>
    <row r="2437" spans="1:15" ht="18.600000000000001">
      <c r="A2437" s="5">
        <v>2437</v>
      </c>
      <c r="B2437" t="str">
        <f t="shared" ref="B2437:B2439" si="489">MID(G2437,11,2)</f>
        <v>TO</v>
      </c>
      <c r="C2437" t="str">
        <f t="shared" ref="C2437:C2439" si="490">MID(G2437,14,2)</f>
        <v>KB</v>
      </c>
      <c r="D2437" t="s">
        <v>4531</v>
      </c>
      <c r="E2437" s="5">
        <v>3</v>
      </c>
      <c r="G2437" s="4" t="s">
        <v>4545</v>
      </c>
      <c r="H2437" s="70" t="s">
        <v>257</v>
      </c>
      <c r="I2437" s="432" t="s">
        <v>4546</v>
      </c>
      <c r="K2437" t="s">
        <v>1434</v>
      </c>
      <c r="L2437" t="s">
        <v>669</v>
      </c>
      <c r="M2437" t="s">
        <v>2333</v>
      </c>
    </row>
    <row r="2438" spans="1:15">
      <c r="A2438" s="5">
        <v>2438</v>
      </c>
      <c r="B2438" t="str">
        <f t="shared" si="489"/>
        <v>TO</v>
      </c>
      <c r="C2438" t="str">
        <f t="shared" si="490"/>
        <v>KB</v>
      </c>
      <c r="D2438" t="s">
        <v>4531</v>
      </c>
      <c r="E2438" s="5">
        <v>3</v>
      </c>
      <c r="G2438" s="4" t="s">
        <v>4545</v>
      </c>
      <c r="H2438" s="306" t="s">
        <v>4547</v>
      </c>
      <c r="I2438" s="432" t="s">
        <v>4548</v>
      </c>
      <c r="K2438" t="s">
        <v>1434</v>
      </c>
      <c r="L2438" t="s">
        <v>669</v>
      </c>
      <c r="M2438" t="s">
        <v>2333</v>
      </c>
    </row>
    <row r="2439" spans="1:15">
      <c r="A2439" s="5">
        <v>2439</v>
      </c>
      <c r="B2439" t="str">
        <f t="shared" si="489"/>
        <v>TO</v>
      </c>
      <c r="C2439" t="str">
        <f t="shared" si="490"/>
        <v>KB</v>
      </c>
      <c r="D2439" t="s">
        <v>4531</v>
      </c>
      <c r="E2439" s="5">
        <v>3</v>
      </c>
      <c r="G2439" s="4" t="s">
        <v>4545</v>
      </c>
      <c r="H2439" s="306" t="s">
        <v>1166</v>
      </c>
      <c r="I2439" s="432" t="s">
        <v>4549</v>
      </c>
      <c r="K2439" t="s">
        <v>659</v>
      </c>
      <c r="L2439" t="s">
        <v>669</v>
      </c>
      <c r="M2439" t="s">
        <v>2333</v>
      </c>
    </row>
    <row r="2440" spans="1:15">
      <c r="A2440" s="5">
        <v>2440</v>
      </c>
      <c r="B2440" t="str">
        <f t="shared" ref="B2440" si="491">MID(G2440,11,2)</f>
        <v>TO</v>
      </c>
      <c r="C2440" t="str">
        <f t="shared" ref="C2440" si="492">MID(G2440,14,2)</f>
        <v>KB</v>
      </c>
      <c r="D2440" t="s">
        <v>4531</v>
      </c>
      <c r="E2440" s="5">
        <v>3</v>
      </c>
      <c r="G2440" s="4" t="s">
        <v>4545</v>
      </c>
      <c r="H2440" s="306" t="s">
        <v>3582</v>
      </c>
      <c r="I2440" s="432" t="s">
        <v>3927</v>
      </c>
      <c r="K2440" t="s">
        <v>1434</v>
      </c>
      <c r="L2440" t="s">
        <v>669</v>
      </c>
      <c r="M2440" t="s">
        <v>2333</v>
      </c>
      <c r="O2440" t="s">
        <v>4550</v>
      </c>
    </row>
    <row r="2441" spans="1:15">
      <c r="A2441" s="5">
        <v>2441</v>
      </c>
      <c r="B2441" t="str">
        <f t="shared" ref="B2441:B2444" si="493">MID(G2441,11,2)</f>
        <v>TO</v>
      </c>
      <c r="C2441" t="str">
        <f t="shared" ref="C2441:C2444" si="494">MID(G2441,14,2)</f>
        <v>KB</v>
      </c>
      <c r="D2441" t="s">
        <v>4531</v>
      </c>
      <c r="E2441" s="5">
        <v>3</v>
      </c>
      <c r="G2441" s="4" t="s">
        <v>4545</v>
      </c>
      <c r="H2441" s="306" t="s">
        <v>1641</v>
      </c>
      <c r="I2441" s="432" t="s">
        <v>4551</v>
      </c>
      <c r="K2441" t="s">
        <v>659</v>
      </c>
      <c r="L2441" t="s">
        <v>669</v>
      </c>
      <c r="M2441" t="s">
        <v>2333</v>
      </c>
    </row>
    <row r="2442" spans="1:15" ht="18.600000000000001">
      <c r="A2442" s="5">
        <v>2442</v>
      </c>
      <c r="B2442" t="str">
        <f t="shared" si="493"/>
        <v>TO</v>
      </c>
      <c r="C2442" t="str">
        <f t="shared" si="494"/>
        <v>KB</v>
      </c>
      <c r="D2442" t="s">
        <v>4531</v>
      </c>
      <c r="E2442" s="5">
        <v>3</v>
      </c>
      <c r="G2442" s="4" t="s">
        <v>4552</v>
      </c>
      <c r="H2442" s="70" t="s">
        <v>1829</v>
      </c>
      <c r="I2442" s="432" t="s">
        <v>2656</v>
      </c>
      <c r="K2442" t="s">
        <v>1434</v>
      </c>
      <c r="L2442" t="s">
        <v>669</v>
      </c>
      <c r="M2442" t="s">
        <v>2333</v>
      </c>
    </row>
    <row r="2443" spans="1:15" ht="18.600000000000001">
      <c r="A2443" s="5">
        <v>2443</v>
      </c>
      <c r="B2443" t="str">
        <f t="shared" si="493"/>
        <v>TO</v>
      </c>
      <c r="C2443" t="str">
        <f t="shared" si="494"/>
        <v>KB</v>
      </c>
      <c r="D2443" t="s">
        <v>4531</v>
      </c>
      <c r="E2443" s="5">
        <v>3</v>
      </c>
      <c r="G2443" s="4" t="s">
        <v>4552</v>
      </c>
      <c r="H2443" s="70" t="s">
        <v>1596</v>
      </c>
      <c r="I2443" s="438" t="s">
        <v>4553</v>
      </c>
      <c r="K2443" t="s">
        <v>659</v>
      </c>
      <c r="L2443" t="s">
        <v>669</v>
      </c>
      <c r="M2443" t="s">
        <v>2333</v>
      </c>
    </row>
    <row r="2444" spans="1:15" ht="18.600000000000001">
      <c r="A2444" s="5">
        <v>2444</v>
      </c>
      <c r="B2444" t="str">
        <f t="shared" si="493"/>
        <v>TO</v>
      </c>
      <c r="C2444" t="str">
        <f t="shared" si="494"/>
        <v>KB</v>
      </c>
      <c r="D2444" t="s">
        <v>4531</v>
      </c>
      <c r="E2444" s="5">
        <v>3</v>
      </c>
      <c r="F2444" t="s">
        <v>3843</v>
      </c>
      <c r="G2444" s="4" t="s">
        <v>4552</v>
      </c>
      <c r="H2444" s="70" t="s">
        <v>1336</v>
      </c>
      <c r="I2444" s="438" t="s">
        <v>2177</v>
      </c>
      <c r="K2444" t="s">
        <v>1434</v>
      </c>
      <c r="L2444" t="s">
        <v>669</v>
      </c>
      <c r="M2444" t="s">
        <v>2333</v>
      </c>
      <c r="N2444" t="s">
        <v>4554</v>
      </c>
    </row>
    <row r="2445" spans="1:15" ht="18.600000000000001">
      <c r="A2445" s="5">
        <v>2445</v>
      </c>
      <c r="B2445" t="str">
        <f t="shared" ref="B2445" si="495">MID(G2445,11,2)</f>
        <v>TO</v>
      </c>
      <c r="C2445" t="str">
        <f t="shared" ref="C2445" si="496">MID(G2445,14,2)</f>
        <v>KB</v>
      </c>
      <c r="D2445" t="s">
        <v>4531</v>
      </c>
      <c r="E2445" s="5">
        <v>3</v>
      </c>
      <c r="G2445" s="4" t="s">
        <v>4552</v>
      </c>
      <c r="H2445" s="70" t="s">
        <v>4555</v>
      </c>
      <c r="I2445" s="438" t="s">
        <v>4556</v>
      </c>
      <c r="K2445" t="s">
        <v>1434</v>
      </c>
      <c r="L2445" t="s">
        <v>669</v>
      </c>
      <c r="M2445" t="s">
        <v>2333</v>
      </c>
    </row>
    <row r="2446" spans="1:15" ht="18.600000000000001">
      <c r="A2446" s="5">
        <v>2446</v>
      </c>
      <c r="B2446" t="str">
        <f t="shared" ref="B2446" si="497">MID(G2446,11,2)</f>
        <v>TO</v>
      </c>
      <c r="C2446" t="str">
        <f t="shared" ref="C2446" si="498">MID(G2446,14,2)</f>
        <v>KB</v>
      </c>
      <c r="D2446" t="s">
        <v>4531</v>
      </c>
      <c r="E2446" s="5">
        <v>3</v>
      </c>
      <c r="G2446" s="4" t="s">
        <v>4552</v>
      </c>
      <c r="H2446" s="70" t="s">
        <v>4557</v>
      </c>
      <c r="I2446" s="438" t="s">
        <v>4558</v>
      </c>
      <c r="K2446" t="s">
        <v>1434</v>
      </c>
      <c r="L2446" t="s">
        <v>669</v>
      </c>
      <c r="M2446" t="s">
        <v>2333</v>
      </c>
    </row>
    <row r="2447" spans="1:15" ht="18.600000000000001">
      <c r="A2447" s="5">
        <v>2447</v>
      </c>
      <c r="B2447" t="str">
        <f t="shared" ref="B2447" si="499">MID(G2447,11,2)</f>
        <v>TO</v>
      </c>
      <c r="C2447" t="str">
        <f t="shared" ref="C2447" si="500">MID(G2447,14,2)</f>
        <v>KB</v>
      </c>
      <c r="D2447" t="s">
        <v>4531</v>
      </c>
      <c r="E2447" s="5">
        <v>3</v>
      </c>
      <c r="G2447" s="4" t="s">
        <v>4559</v>
      </c>
      <c r="H2447" s="70" t="s">
        <v>4147</v>
      </c>
      <c r="I2447" s="432" t="s">
        <v>4148</v>
      </c>
      <c r="K2447" t="s">
        <v>1434</v>
      </c>
      <c r="L2447" t="s">
        <v>669</v>
      </c>
      <c r="M2447" s="398" t="s">
        <v>2333</v>
      </c>
      <c r="N2447" t="s">
        <v>4560</v>
      </c>
    </row>
    <row r="2448" spans="1:15" ht="18.600000000000001">
      <c r="A2448" s="5">
        <v>2448</v>
      </c>
      <c r="B2448" t="str">
        <f t="shared" ref="B2448:B2451" si="501">MID(G2448,11,2)</f>
        <v>TO</v>
      </c>
      <c r="C2448" t="str">
        <f t="shared" ref="C2448:C2451" si="502">MID(G2448,14,2)</f>
        <v>KB</v>
      </c>
      <c r="D2448" t="s">
        <v>4531</v>
      </c>
      <c r="E2448" s="5">
        <v>3</v>
      </c>
      <c r="G2448" s="4" t="s">
        <v>4559</v>
      </c>
      <c r="H2448" s="70" t="s">
        <v>492</v>
      </c>
      <c r="I2448" s="438" t="s">
        <v>4561</v>
      </c>
      <c r="K2448" t="s">
        <v>659</v>
      </c>
      <c r="L2448" t="s">
        <v>669</v>
      </c>
      <c r="M2448" s="398" t="s">
        <v>2333</v>
      </c>
    </row>
    <row r="2449" spans="1:15" ht="18.600000000000001">
      <c r="A2449" s="5">
        <v>2449</v>
      </c>
      <c r="B2449" t="str">
        <f t="shared" si="501"/>
        <v>TO</v>
      </c>
      <c r="C2449" t="str">
        <f t="shared" si="502"/>
        <v>KB</v>
      </c>
      <c r="D2449" t="s">
        <v>4531</v>
      </c>
      <c r="E2449" s="5">
        <v>3</v>
      </c>
      <c r="G2449" s="4" t="s">
        <v>4559</v>
      </c>
      <c r="H2449" s="70" t="s">
        <v>4562</v>
      </c>
      <c r="I2449" s="438" t="s">
        <v>4563</v>
      </c>
      <c r="K2449" t="s">
        <v>1434</v>
      </c>
      <c r="L2449" t="s">
        <v>669</v>
      </c>
      <c r="M2449" s="398" t="s">
        <v>2333</v>
      </c>
    </row>
    <row r="2450" spans="1:15" ht="18.600000000000001">
      <c r="A2450" s="5">
        <v>2450</v>
      </c>
      <c r="B2450" t="str">
        <f t="shared" si="501"/>
        <v>TO</v>
      </c>
      <c r="C2450" t="str">
        <f t="shared" si="502"/>
        <v>KB</v>
      </c>
      <c r="D2450" t="s">
        <v>4531</v>
      </c>
      <c r="E2450" s="5">
        <v>3</v>
      </c>
      <c r="G2450" s="4" t="s">
        <v>4559</v>
      </c>
      <c r="H2450" s="70" t="s">
        <v>4564</v>
      </c>
      <c r="I2450" s="438" t="s">
        <v>4565</v>
      </c>
      <c r="K2450" t="s">
        <v>659</v>
      </c>
      <c r="L2450" t="s">
        <v>669</v>
      </c>
      <c r="M2450" s="398" t="s">
        <v>2333</v>
      </c>
    </row>
    <row r="2451" spans="1:15" ht="18.600000000000001">
      <c r="A2451" s="5">
        <v>2451</v>
      </c>
      <c r="B2451" t="str">
        <f t="shared" si="501"/>
        <v>TO</v>
      </c>
      <c r="C2451" t="str">
        <f t="shared" si="502"/>
        <v>KB</v>
      </c>
      <c r="D2451" t="s">
        <v>4531</v>
      </c>
      <c r="E2451" s="5">
        <v>3</v>
      </c>
      <c r="G2451" s="4" t="s">
        <v>4559</v>
      </c>
      <c r="H2451" s="70" t="s">
        <v>5321</v>
      </c>
      <c r="I2451" s="438" t="s">
        <v>4566</v>
      </c>
      <c r="K2451" t="s">
        <v>659</v>
      </c>
      <c r="L2451" t="s">
        <v>669</v>
      </c>
      <c r="M2451" s="398" t="s">
        <v>2333</v>
      </c>
    </row>
    <row r="2452" spans="1:15">
      <c r="A2452" s="5">
        <v>2452</v>
      </c>
      <c r="B2452" t="str">
        <f>MID(G2452,11,2)</f>
        <v>TO</v>
      </c>
      <c r="C2452" t="str">
        <f>MID(G2452,14,2)</f>
        <v>KB</v>
      </c>
      <c r="D2452" t="s">
        <v>4531</v>
      </c>
      <c r="E2452" s="5">
        <v>3</v>
      </c>
      <c r="G2452" s="4" t="s">
        <v>4567</v>
      </c>
      <c r="H2452" s="306" t="s">
        <v>1833</v>
      </c>
      <c r="I2452" s="432" t="s">
        <v>4568</v>
      </c>
      <c r="K2452" t="s">
        <v>1434</v>
      </c>
      <c r="L2452" t="s">
        <v>669</v>
      </c>
      <c r="M2452" s="398" t="s">
        <v>2333</v>
      </c>
    </row>
    <row r="2453" spans="1:15">
      <c r="A2453" s="5">
        <v>2453</v>
      </c>
      <c r="B2453" t="str">
        <f t="shared" ref="B2453" si="503">MID(G2453,11,2)</f>
        <v>TO</v>
      </c>
      <c r="C2453" t="str">
        <f t="shared" ref="C2453" si="504">MID(G2453,14,2)</f>
        <v>KB</v>
      </c>
      <c r="D2453" t="s">
        <v>4531</v>
      </c>
      <c r="E2453" s="5">
        <v>3</v>
      </c>
      <c r="G2453" s="4" t="s">
        <v>4567</v>
      </c>
      <c r="H2453" s="306" t="s">
        <v>4569</v>
      </c>
      <c r="I2453" s="438" t="s">
        <v>4570</v>
      </c>
      <c r="K2453" t="s">
        <v>1434</v>
      </c>
      <c r="L2453" t="s">
        <v>669</v>
      </c>
      <c r="M2453" s="398" t="s">
        <v>2333</v>
      </c>
      <c r="O2453" s="4"/>
    </row>
    <row r="2454" spans="1:15">
      <c r="A2454" s="5">
        <v>2454</v>
      </c>
      <c r="B2454" t="str">
        <f t="shared" ref="B2454:B2455" si="505">MID(G2454,11,2)</f>
        <v>TO</v>
      </c>
      <c r="C2454" t="str">
        <f t="shared" ref="C2454:C2455" si="506">MID(G2454,14,2)</f>
        <v>KB</v>
      </c>
      <c r="D2454" t="s">
        <v>4531</v>
      </c>
      <c r="E2454" s="5">
        <v>3</v>
      </c>
      <c r="G2454" s="4" t="s">
        <v>4567</v>
      </c>
      <c r="H2454" s="306" t="s">
        <v>4571</v>
      </c>
      <c r="I2454" s="438" t="s">
        <v>4572</v>
      </c>
      <c r="K2454" t="s">
        <v>1434</v>
      </c>
      <c r="L2454" t="s">
        <v>669</v>
      </c>
      <c r="M2454" s="398" t="s">
        <v>2333</v>
      </c>
    </row>
    <row r="2455" spans="1:15">
      <c r="A2455" s="5">
        <v>2455</v>
      </c>
      <c r="B2455" t="str">
        <f t="shared" si="505"/>
        <v>TO</v>
      </c>
      <c r="C2455" t="str">
        <f t="shared" si="506"/>
        <v>KB</v>
      </c>
      <c r="D2455" t="s">
        <v>4531</v>
      </c>
      <c r="E2455" s="5">
        <v>3</v>
      </c>
      <c r="F2455" t="s">
        <v>3843</v>
      </c>
      <c r="G2455" s="4" t="s">
        <v>4567</v>
      </c>
      <c r="H2455" s="306" t="s">
        <v>4100</v>
      </c>
      <c r="I2455" s="432" t="s">
        <v>4573</v>
      </c>
      <c r="K2455" t="s">
        <v>659</v>
      </c>
      <c r="L2455" t="s">
        <v>669</v>
      </c>
      <c r="M2455" s="398" t="s">
        <v>2333</v>
      </c>
      <c r="N2455" t="s">
        <v>5322</v>
      </c>
    </row>
    <row r="2456" spans="1:15" ht="36">
      <c r="A2456" s="5">
        <v>2456</v>
      </c>
      <c r="B2456" t="str">
        <f t="shared" ref="B2456" si="507">MID(G2456,11,2)</f>
        <v>TO</v>
      </c>
      <c r="C2456" t="str">
        <f t="shared" ref="C2456" si="508">MID(G2456,14,2)</f>
        <v>KB</v>
      </c>
      <c r="D2456" t="s">
        <v>4531</v>
      </c>
      <c r="E2456" s="5">
        <v>3</v>
      </c>
      <c r="G2456" s="4" t="s">
        <v>4567</v>
      </c>
      <c r="H2456" s="306" t="s">
        <v>4574</v>
      </c>
      <c r="I2456" s="438" t="s">
        <v>2381</v>
      </c>
      <c r="K2456" t="s">
        <v>659</v>
      </c>
      <c r="L2456" t="s">
        <v>669</v>
      </c>
      <c r="M2456" s="398" t="s">
        <v>2333</v>
      </c>
    </row>
    <row r="2457" spans="1:15" ht="36">
      <c r="A2457" s="5">
        <v>2457</v>
      </c>
      <c r="B2457" t="str">
        <f t="shared" si="481"/>
        <v>TO</v>
      </c>
      <c r="C2457" t="str">
        <f t="shared" si="482"/>
        <v>KB</v>
      </c>
      <c r="D2457" t="s">
        <v>4531</v>
      </c>
      <c r="E2457" s="5">
        <v>1</v>
      </c>
      <c r="F2457" t="s">
        <v>3843</v>
      </c>
      <c r="G2457" s="4" t="s">
        <v>4575</v>
      </c>
      <c r="H2457" s="306" t="s">
        <v>642</v>
      </c>
      <c r="I2457" s="432" t="s">
        <v>4576</v>
      </c>
      <c r="K2457" t="s">
        <v>659</v>
      </c>
      <c r="L2457" t="s">
        <v>669</v>
      </c>
      <c r="M2457" t="s">
        <v>2333</v>
      </c>
      <c r="N2457" t="s">
        <v>4577</v>
      </c>
    </row>
    <row r="2458" spans="1:15" ht="36">
      <c r="A2458" s="5">
        <v>2458</v>
      </c>
      <c r="B2458" t="str">
        <f>MID(G2458,11,2)</f>
        <v>TO</v>
      </c>
      <c r="C2458" t="str">
        <f>MID(G2458,14,2)</f>
        <v>KB</v>
      </c>
      <c r="D2458" t="s">
        <v>4531</v>
      </c>
      <c r="E2458" s="5">
        <v>1</v>
      </c>
      <c r="G2458" s="4" t="s">
        <v>4578</v>
      </c>
      <c r="H2458" s="306" t="s">
        <v>3991</v>
      </c>
      <c r="I2458" s="432" t="s">
        <v>3992</v>
      </c>
      <c r="K2458" t="s">
        <v>659</v>
      </c>
      <c r="L2458" t="s">
        <v>669</v>
      </c>
      <c r="M2458" t="s">
        <v>3160</v>
      </c>
      <c r="N2458" t="s">
        <v>4579</v>
      </c>
    </row>
    <row r="2459" spans="1:15" ht="36">
      <c r="A2459" s="5">
        <v>2459</v>
      </c>
      <c r="B2459" t="str">
        <f>MID(G2459,11,2)</f>
        <v>TO</v>
      </c>
      <c r="C2459" t="str">
        <f>MID(G2459,14,2)</f>
        <v>KB</v>
      </c>
      <c r="D2459" t="s">
        <v>4531</v>
      </c>
      <c r="E2459" s="5">
        <v>1</v>
      </c>
      <c r="G2459" s="4" t="s">
        <v>4578</v>
      </c>
      <c r="H2459" s="306" t="s">
        <v>4580</v>
      </c>
      <c r="I2459" s="432" t="s">
        <v>2688</v>
      </c>
      <c r="K2459" t="s">
        <v>659</v>
      </c>
      <c r="L2459" t="s">
        <v>669</v>
      </c>
      <c r="M2459" t="s">
        <v>2333</v>
      </c>
    </row>
    <row r="2460" spans="1:15">
      <c r="A2460" s="5">
        <v>2460</v>
      </c>
      <c r="B2460" t="str">
        <f t="shared" si="481"/>
        <v>TO</v>
      </c>
      <c r="C2460" t="str">
        <f t="shared" si="482"/>
        <v>KB</v>
      </c>
      <c r="D2460" t="s">
        <v>4531</v>
      </c>
      <c r="E2460" s="5">
        <v>2</v>
      </c>
      <c r="F2460" t="s">
        <v>3843</v>
      </c>
      <c r="G2460" s="4" t="s">
        <v>4581</v>
      </c>
      <c r="H2460" s="306" t="s">
        <v>4582</v>
      </c>
      <c r="I2460" s="432" t="s">
        <v>3111</v>
      </c>
      <c r="K2460" t="s">
        <v>659</v>
      </c>
      <c r="L2460" t="s">
        <v>669</v>
      </c>
      <c r="M2460" t="s">
        <v>1083</v>
      </c>
      <c r="N2460" t="s">
        <v>4583</v>
      </c>
    </row>
    <row r="2461" spans="1:15" ht="36">
      <c r="A2461" s="5">
        <v>2461</v>
      </c>
      <c r="B2461" t="str">
        <f t="shared" si="481"/>
        <v>TO</v>
      </c>
      <c r="C2461" t="str">
        <f t="shared" si="482"/>
        <v>KB</v>
      </c>
      <c r="D2461" t="s">
        <v>4531</v>
      </c>
      <c r="E2461" s="5">
        <v>2</v>
      </c>
      <c r="F2461" t="s">
        <v>3843</v>
      </c>
      <c r="G2461" s="4" t="s">
        <v>4581</v>
      </c>
      <c r="H2461" s="306" t="s">
        <v>4584</v>
      </c>
      <c r="I2461" s="432" t="s">
        <v>2379</v>
      </c>
      <c r="K2461" t="s">
        <v>659</v>
      </c>
      <c r="L2461" t="s">
        <v>669</v>
      </c>
      <c r="M2461" t="s">
        <v>1083</v>
      </c>
      <c r="N2461" t="s">
        <v>4585</v>
      </c>
    </row>
    <row r="2462" spans="1:15">
      <c r="A2462" s="5">
        <v>2462</v>
      </c>
      <c r="B2462" t="str">
        <f>MID(G2462,11,2)</f>
        <v>TO</v>
      </c>
      <c r="C2462" t="str">
        <f>MID(G2462,14,2)</f>
        <v>KB</v>
      </c>
      <c r="D2462" t="s">
        <v>4531</v>
      </c>
      <c r="E2462" s="5">
        <v>2</v>
      </c>
      <c r="F2462" t="s">
        <v>3843</v>
      </c>
      <c r="G2462" s="4" t="s">
        <v>4586</v>
      </c>
      <c r="H2462" s="306" t="s">
        <v>4587</v>
      </c>
      <c r="I2462" s="432" t="s">
        <v>4588</v>
      </c>
      <c r="K2462" t="s">
        <v>659</v>
      </c>
      <c r="L2462" t="s">
        <v>669</v>
      </c>
      <c r="M2462" t="s">
        <v>1083</v>
      </c>
      <c r="N2462" t="s">
        <v>4589</v>
      </c>
    </row>
    <row r="2463" spans="1:15">
      <c r="A2463" s="5">
        <v>2463</v>
      </c>
      <c r="B2463" t="str">
        <f>MID(G2463,11,2)</f>
        <v>TO</v>
      </c>
      <c r="C2463" t="str">
        <f>MID(G2463,14,2)</f>
        <v>KB</v>
      </c>
      <c r="D2463" t="s">
        <v>4531</v>
      </c>
      <c r="E2463" s="5">
        <v>2</v>
      </c>
      <c r="F2463" t="s">
        <v>3843</v>
      </c>
      <c r="G2463" s="4" t="s">
        <v>4586</v>
      </c>
      <c r="H2463" s="306" t="s">
        <v>4590</v>
      </c>
      <c r="I2463" s="432" t="s">
        <v>4591</v>
      </c>
      <c r="K2463" t="s">
        <v>659</v>
      </c>
      <c r="L2463" t="s">
        <v>669</v>
      </c>
      <c r="M2463" t="s">
        <v>1083</v>
      </c>
      <c r="N2463" t="s">
        <v>4592</v>
      </c>
    </row>
    <row r="2464" spans="1:15">
      <c r="A2464" s="5">
        <v>2464</v>
      </c>
      <c r="B2464" t="str">
        <f t="shared" ref="B2464:B2466" si="509">MID(G2464,11,2)</f>
        <v>TO</v>
      </c>
      <c r="C2464" t="str">
        <f t="shared" ref="C2464:C2466" si="510">MID(G2464,14,2)</f>
        <v>KB</v>
      </c>
      <c r="D2464" t="s">
        <v>4531</v>
      </c>
      <c r="E2464" s="5">
        <v>2</v>
      </c>
      <c r="F2464" t="s">
        <v>3843</v>
      </c>
      <c r="G2464" s="4" t="s">
        <v>4593</v>
      </c>
      <c r="H2464" s="306" t="s">
        <v>4594</v>
      </c>
      <c r="I2464" s="432" t="s">
        <v>4595</v>
      </c>
      <c r="K2464" t="s">
        <v>659</v>
      </c>
      <c r="L2464" t="s">
        <v>669</v>
      </c>
      <c r="M2464" t="s">
        <v>2333</v>
      </c>
      <c r="N2464" t="s">
        <v>4596</v>
      </c>
    </row>
    <row r="2465" spans="1:14">
      <c r="A2465" s="5">
        <v>2465</v>
      </c>
      <c r="B2465" t="str">
        <f t="shared" si="509"/>
        <v>TO</v>
      </c>
      <c r="C2465" t="str">
        <f t="shared" si="510"/>
        <v>KB</v>
      </c>
      <c r="D2465" t="s">
        <v>4531</v>
      </c>
      <c r="E2465" s="5">
        <v>2</v>
      </c>
      <c r="F2465" t="s">
        <v>3843</v>
      </c>
      <c r="G2465" s="4" t="s">
        <v>4593</v>
      </c>
      <c r="H2465" s="306" t="s">
        <v>4597</v>
      </c>
      <c r="I2465" s="432" t="s">
        <v>4598</v>
      </c>
      <c r="K2465" t="s">
        <v>659</v>
      </c>
      <c r="L2465" t="s">
        <v>669</v>
      </c>
      <c r="M2465" t="s">
        <v>2333</v>
      </c>
      <c r="N2465" t="s">
        <v>4599</v>
      </c>
    </row>
    <row r="2466" spans="1:14" ht="36">
      <c r="A2466" s="5">
        <v>2466</v>
      </c>
      <c r="B2466" t="str">
        <f t="shared" si="509"/>
        <v>TO</v>
      </c>
      <c r="C2466" t="str">
        <f t="shared" si="510"/>
        <v>KB</v>
      </c>
      <c r="D2466" t="s">
        <v>4531</v>
      </c>
      <c r="E2466" s="5">
        <v>2</v>
      </c>
      <c r="F2466" t="s">
        <v>3843</v>
      </c>
      <c r="G2466" s="4" t="s">
        <v>4593</v>
      </c>
      <c r="H2466" s="306" t="s">
        <v>4600</v>
      </c>
      <c r="I2466" s="432" t="s">
        <v>3980</v>
      </c>
      <c r="K2466" t="s">
        <v>1434</v>
      </c>
      <c r="L2466" t="s">
        <v>669</v>
      </c>
      <c r="M2466" t="s">
        <v>2333</v>
      </c>
      <c r="N2466" t="s">
        <v>4601</v>
      </c>
    </row>
    <row r="2467" spans="1:14">
      <c r="A2467" s="5">
        <v>2467</v>
      </c>
      <c r="B2467" t="str">
        <f t="shared" ref="B2467:B2508" si="511">MID(G2467,11,2)</f>
        <v>TO</v>
      </c>
      <c r="C2467" t="str">
        <f t="shared" ref="C2467" si="512">MID(G2467,14,2)</f>
        <v>KB</v>
      </c>
      <c r="D2467" t="s">
        <v>4531</v>
      </c>
      <c r="E2467" s="5">
        <v>2</v>
      </c>
      <c r="F2467" t="s">
        <v>3843</v>
      </c>
      <c r="G2467" s="4" t="s">
        <v>4602</v>
      </c>
      <c r="H2467" s="306" t="s">
        <v>4603</v>
      </c>
      <c r="I2467" s="432" t="s">
        <v>4084</v>
      </c>
      <c r="K2467" t="s">
        <v>659</v>
      </c>
      <c r="L2467" t="s">
        <v>669</v>
      </c>
      <c r="M2467" t="s">
        <v>2333</v>
      </c>
      <c r="N2467" t="s">
        <v>4604</v>
      </c>
    </row>
    <row r="2468" spans="1:14" ht="18.600000000000001" customHeight="1">
      <c r="A2468" s="5">
        <v>2468</v>
      </c>
      <c r="B2468" t="str">
        <f t="shared" ref="B2468:B2476" si="513">MID(G2468,11,2)</f>
        <v>TO</v>
      </c>
      <c r="C2468" t="str">
        <f t="shared" ref="C2468:C2470" si="514">MID(G2468,14,2)</f>
        <v>KB</v>
      </c>
      <c r="D2468" t="s">
        <v>4531</v>
      </c>
      <c r="E2468" s="5">
        <v>2</v>
      </c>
      <c r="F2468" t="s">
        <v>3843</v>
      </c>
      <c r="G2468" s="4" t="s">
        <v>4605</v>
      </c>
      <c r="H2468" s="306" t="s">
        <v>4606</v>
      </c>
      <c r="I2468" s="432" t="s">
        <v>4607</v>
      </c>
      <c r="K2468" t="s">
        <v>659</v>
      </c>
      <c r="L2468" t="s">
        <v>669</v>
      </c>
      <c r="M2468" t="s">
        <v>2333</v>
      </c>
      <c r="N2468" t="s">
        <v>4091</v>
      </c>
    </row>
    <row r="2469" spans="1:14">
      <c r="A2469" s="5">
        <v>2469</v>
      </c>
      <c r="B2469" t="str">
        <f>MID(G2469,11,2)</f>
        <v>TO</v>
      </c>
      <c r="C2469" t="str">
        <f>MID(G2469,14,2)</f>
        <v>KB</v>
      </c>
      <c r="D2469" t="s">
        <v>4531</v>
      </c>
      <c r="E2469" s="5">
        <v>1</v>
      </c>
      <c r="F2469" t="s">
        <v>3843</v>
      </c>
      <c r="G2469" s="4" t="s">
        <v>4608</v>
      </c>
      <c r="H2469" s="306" t="s">
        <v>5316</v>
      </c>
      <c r="I2469" s="432" t="s">
        <v>4610</v>
      </c>
      <c r="K2469" t="s">
        <v>659</v>
      </c>
      <c r="L2469" t="s">
        <v>669</v>
      </c>
      <c r="M2469" t="s">
        <v>2333</v>
      </c>
      <c r="N2469" t="s">
        <v>5315</v>
      </c>
    </row>
    <row r="2470" spans="1:14">
      <c r="A2470" s="5">
        <v>2470</v>
      </c>
      <c r="B2470" t="str">
        <f t="shared" si="513"/>
        <v>TO</v>
      </c>
      <c r="C2470" t="str">
        <f t="shared" si="514"/>
        <v>KB</v>
      </c>
      <c r="D2470" t="s">
        <v>4531</v>
      </c>
      <c r="E2470" s="5">
        <v>2</v>
      </c>
      <c r="F2470" t="s">
        <v>3843</v>
      </c>
      <c r="G2470" s="4" t="s">
        <v>4611</v>
      </c>
      <c r="H2470" s="306" t="s">
        <v>644</v>
      </c>
      <c r="I2470" s="432" t="s">
        <v>2240</v>
      </c>
      <c r="K2470" t="s">
        <v>659</v>
      </c>
      <c r="L2470" t="s">
        <v>669</v>
      </c>
      <c r="M2470" t="s">
        <v>2333</v>
      </c>
      <c r="N2470" t="s">
        <v>4612</v>
      </c>
    </row>
    <row r="2471" spans="1:14">
      <c r="A2471" s="5">
        <v>2471</v>
      </c>
      <c r="B2471" t="str">
        <f t="shared" si="513"/>
        <v>TO</v>
      </c>
      <c r="C2471" t="str">
        <f t="shared" ref="C2471:C2472" si="515">MID(G2471,14,2)</f>
        <v>KB</v>
      </c>
      <c r="D2471" t="s">
        <v>4531</v>
      </c>
      <c r="E2471" s="5">
        <v>2</v>
      </c>
      <c r="F2471" t="s">
        <v>3843</v>
      </c>
      <c r="G2471" s="4" t="s">
        <v>4613</v>
      </c>
      <c r="H2471" s="306" t="s">
        <v>4614</v>
      </c>
      <c r="I2471" s="432" t="s">
        <v>4615</v>
      </c>
      <c r="K2471" t="s">
        <v>1434</v>
      </c>
      <c r="L2471" t="s">
        <v>669</v>
      </c>
      <c r="M2471" t="s">
        <v>2333</v>
      </c>
    </row>
    <row r="2472" spans="1:14">
      <c r="A2472" s="5">
        <v>2472</v>
      </c>
      <c r="B2472" t="str">
        <f t="shared" si="513"/>
        <v>TO</v>
      </c>
      <c r="C2472" t="str">
        <f t="shared" si="515"/>
        <v>KB</v>
      </c>
      <c r="D2472" t="s">
        <v>4531</v>
      </c>
      <c r="E2472" s="5">
        <v>2</v>
      </c>
      <c r="F2472" t="s">
        <v>3843</v>
      </c>
      <c r="G2472" s="4" t="s">
        <v>4613</v>
      </c>
      <c r="H2472" s="306" t="s">
        <v>4616</v>
      </c>
      <c r="I2472" s="432" t="s">
        <v>4617</v>
      </c>
      <c r="K2472" t="s">
        <v>1434</v>
      </c>
      <c r="L2472" t="s">
        <v>669</v>
      </c>
      <c r="M2472" t="s">
        <v>2333</v>
      </c>
    </row>
    <row r="2473" spans="1:14">
      <c r="A2473" s="5">
        <v>2473</v>
      </c>
      <c r="B2473" t="s">
        <v>114</v>
      </c>
      <c r="C2473" t="s">
        <v>112</v>
      </c>
      <c r="D2473" t="s">
        <v>4531</v>
      </c>
      <c r="E2473" s="5">
        <v>1</v>
      </c>
      <c r="F2473" t="s">
        <v>4464</v>
      </c>
      <c r="G2473" s="4" t="s">
        <v>4618</v>
      </c>
      <c r="H2473" s="306" t="s">
        <v>4619</v>
      </c>
      <c r="I2473" s="432" t="s">
        <v>4620</v>
      </c>
      <c r="K2473" t="s">
        <v>1434</v>
      </c>
      <c r="L2473" t="s">
        <v>669</v>
      </c>
      <c r="M2473" t="s">
        <v>2333</v>
      </c>
    </row>
    <row r="2474" spans="1:14" ht="36">
      <c r="A2474" s="5">
        <v>2474</v>
      </c>
      <c r="B2474" t="str">
        <f t="shared" si="513"/>
        <v>TO</v>
      </c>
      <c r="C2474" t="s">
        <v>112</v>
      </c>
      <c r="D2474" t="s">
        <v>4531</v>
      </c>
      <c r="E2474" s="5">
        <v>1</v>
      </c>
      <c r="G2474" s="4" t="s">
        <v>4621</v>
      </c>
      <c r="H2474" s="306" t="s">
        <v>3944</v>
      </c>
      <c r="I2474" s="432" t="s">
        <v>2820</v>
      </c>
      <c r="K2474" t="s">
        <v>659</v>
      </c>
      <c r="L2474" t="s">
        <v>669</v>
      </c>
      <c r="M2474" t="s">
        <v>2333</v>
      </c>
    </row>
    <row r="2475" spans="1:14">
      <c r="A2475" s="5">
        <v>2475</v>
      </c>
      <c r="B2475" t="str">
        <f t="shared" si="513"/>
        <v>MH</v>
      </c>
      <c r="C2475" t="s">
        <v>112</v>
      </c>
      <c r="D2475" t="s">
        <v>4531</v>
      </c>
      <c r="E2475" s="5">
        <v>1</v>
      </c>
      <c r="G2475" s="4" t="s">
        <v>4622</v>
      </c>
      <c r="H2475" s="306" t="s">
        <v>4609</v>
      </c>
      <c r="I2475" s="432" t="s">
        <v>4610</v>
      </c>
      <c r="K2475" t="s">
        <v>659</v>
      </c>
      <c r="L2475" t="s">
        <v>669</v>
      </c>
      <c r="M2475" t="s">
        <v>2333</v>
      </c>
    </row>
    <row r="2476" spans="1:14" ht="36">
      <c r="A2476" s="5">
        <v>2476</v>
      </c>
      <c r="B2476" t="str">
        <f t="shared" si="513"/>
        <v>TO</v>
      </c>
      <c r="C2476" t="str">
        <f t="shared" ref="C2476:C2494" si="516">MID(G2476,14,2)</f>
        <v>KB</v>
      </c>
      <c r="D2476" t="s">
        <v>4531</v>
      </c>
      <c r="E2476" s="5">
        <v>1</v>
      </c>
      <c r="F2476" t="s">
        <v>2766</v>
      </c>
      <c r="G2476" s="4" t="s">
        <v>4623</v>
      </c>
      <c r="H2476" s="306" t="s">
        <v>645</v>
      </c>
      <c r="I2476" s="432" t="s">
        <v>3359</v>
      </c>
      <c r="K2476" t="s">
        <v>659</v>
      </c>
      <c r="L2476" t="s">
        <v>669</v>
      </c>
      <c r="M2476" t="s">
        <v>2333</v>
      </c>
    </row>
    <row r="2477" spans="1:14" ht="18.600000000000001">
      <c r="A2477" s="5">
        <v>2477</v>
      </c>
      <c r="B2477" t="str">
        <f t="shared" ref="B2477:B2494" si="517">MID(G2477,11,2)</f>
        <v>TO</v>
      </c>
      <c r="C2477" t="str">
        <f t="shared" si="516"/>
        <v>KB</v>
      </c>
      <c r="D2477" t="s">
        <v>4531</v>
      </c>
      <c r="E2477" s="5"/>
      <c r="G2477" s="4" t="s">
        <v>4624</v>
      </c>
      <c r="H2477" s="70" t="s">
        <v>4321</v>
      </c>
      <c r="I2477" s="438" t="s">
        <v>4322</v>
      </c>
      <c r="K2477" t="s">
        <v>659</v>
      </c>
      <c r="L2477" t="s">
        <v>669</v>
      </c>
      <c r="M2477" t="s">
        <v>2333</v>
      </c>
    </row>
    <row r="2478" spans="1:14" ht="18.600000000000001">
      <c r="A2478" s="5">
        <v>2478</v>
      </c>
      <c r="B2478" t="str">
        <f t="shared" si="517"/>
        <v>TO</v>
      </c>
      <c r="C2478" t="str">
        <f t="shared" si="516"/>
        <v>KB</v>
      </c>
      <c r="D2478" t="s">
        <v>4531</v>
      </c>
      <c r="E2478" s="5"/>
      <c r="G2478" s="4" t="s">
        <v>4624</v>
      </c>
      <c r="H2478" s="70" t="s">
        <v>4323</v>
      </c>
      <c r="I2478" s="438" t="s">
        <v>4324</v>
      </c>
      <c r="K2478" t="s">
        <v>659</v>
      </c>
      <c r="L2478" t="s">
        <v>669</v>
      </c>
      <c r="M2478" t="s">
        <v>2333</v>
      </c>
    </row>
    <row r="2479" spans="1:14" ht="18.600000000000001">
      <c r="A2479" s="5">
        <v>2479</v>
      </c>
      <c r="B2479" t="str">
        <f t="shared" si="517"/>
        <v>TO</v>
      </c>
      <c r="C2479" t="str">
        <f t="shared" si="516"/>
        <v>KB</v>
      </c>
      <c r="D2479" t="s">
        <v>4531</v>
      </c>
      <c r="E2479" s="5"/>
      <c r="G2479" s="4" t="s">
        <v>4624</v>
      </c>
      <c r="H2479" s="70" t="s">
        <v>4625</v>
      </c>
      <c r="I2479" s="438" t="s">
        <v>4326</v>
      </c>
      <c r="K2479" t="s">
        <v>659</v>
      </c>
      <c r="L2479" t="s">
        <v>669</v>
      </c>
      <c r="M2479" t="s">
        <v>2333</v>
      </c>
    </row>
    <row r="2480" spans="1:14" ht="18.600000000000001">
      <c r="A2480" s="5">
        <v>2480</v>
      </c>
      <c r="B2480" t="str">
        <f t="shared" si="517"/>
        <v>TO</v>
      </c>
      <c r="C2480" t="str">
        <f t="shared" si="516"/>
        <v>KB</v>
      </c>
      <c r="D2480" t="s">
        <v>4531</v>
      </c>
      <c r="E2480" s="5"/>
      <c r="G2480" s="4" t="s">
        <v>4624</v>
      </c>
      <c r="H2480" s="70" t="s">
        <v>4327</v>
      </c>
      <c r="I2480" s="438" t="s">
        <v>4328</v>
      </c>
      <c r="K2480" t="s">
        <v>659</v>
      </c>
      <c r="L2480" t="s">
        <v>669</v>
      </c>
      <c r="M2480" t="s">
        <v>2333</v>
      </c>
    </row>
    <row r="2481" spans="1:13" ht="36">
      <c r="A2481" s="5">
        <v>2481</v>
      </c>
      <c r="B2481" t="str">
        <f t="shared" si="517"/>
        <v>TO</v>
      </c>
      <c r="C2481" t="str">
        <f t="shared" si="516"/>
        <v>KB</v>
      </c>
      <c r="D2481" t="s">
        <v>4531</v>
      </c>
      <c r="E2481" s="5">
        <v>1</v>
      </c>
      <c r="F2481" t="s">
        <v>4464</v>
      </c>
      <c r="G2481" s="4" t="s">
        <v>4626</v>
      </c>
      <c r="H2481" s="306" t="s">
        <v>4627</v>
      </c>
      <c r="I2481" s="432" t="s">
        <v>4628</v>
      </c>
      <c r="K2481" t="s">
        <v>1434</v>
      </c>
      <c r="L2481" t="s">
        <v>669</v>
      </c>
      <c r="M2481" t="s">
        <v>2333</v>
      </c>
    </row>
    <row r="2482" spans="1:13" ht="36">
      <c r="A2482" s="5">
        <v>2482</v>
      </c>
      <c r="B2482" t="str">
        <f t="shared" si="517"/>
        <v>TO</v>
      </c>
      <c r="C2482" t="str">
        <f t="shared" si="516"/>
        <v>KB</v>
      </c>
      <c r="D2482" t="s">
        <v>4531</v>
      </c>
      <c r="E2482" s="5">
        <v>1</v>
      </c>
      <c r="F2482" t="s">
        <v>4464</v>
      </c>
      <c r="G2482" s="4" t="s">
        <v>4626</v>
      </c>
      <c r="H2482" s="306" t="s">
        <v>4629</v>
      </c>
      <c r="I2482" s="432" t="s">
        <v>4630</v>
      </c>
      <c r="K2482" t="s">
        <v>1434</v>
      </c>
      <c r="L2482" t="s">
        <v>669</v>
      </c>
      <c r="M2482" t="s">
        <v>2333</v>
      </c>
    </row>
    <row r="2483" spans="1:13" ht="36">
      <c r="A2483" s="5">
        <v>2483</v>
      </c>
      <c r="B2483" t="str">
        <f t="shared" si="517"/>
        <v>TO</v>
      </c>
      <c r="C2483" t="str">
        <f t="shared" si="516"/>
        <v>KB</v>
      </c>
      <c r="D2483" t="s">
        <v>4531</v>
      </c>
      <c r="E2483" s="5">
        <v>1</v>
      </c>
      <c r="F2483" t="s">
        <v>4464</v>
      </c>
      <c r="G2483" s="4" t="s">
        <v>4626</v>
      </c>
      <c r="H2483" s="306" t="s">
        <v>4631</v>
      </c>
      <c r="I2483" s="432" t="s">
        <v>4632</v>
      </c>
      <c r="K2483" t="s">
        <v>1434</v>
      </c>
      <c r="L2483" t="s">
        <v>669</v>
      </c>
      <c r="M2483" t="s">
        <v>2333</v>
      </c>
    </row>
    <row r="2484" spans="1:13" ht="36">
      <c r="A2484" s="5">
        <v>2484</v>
      </c>
      <c r="B2484" t="str">
        <f t="shared" si="517"/>
        <v>TO</v>
      </c>
      <c r="C2484" t="str">
        <f t="shared" si="516"/>
        <v>KB</v>
      </c>
      <c r="D2484" t="s">
        <v>4531</v>
      </c>
      <c r="E2484" s="5">
        <v>1</v>
      </c>
      <c r="F2484" t="s">
        <v>4464</v>
      </c>
      <c r="G2484" s="4" t="s">
        <v>4633</v>
      </c>
      <c r="H2484" s="5" t="s">
        <v>4634</v>
      </c>
      <c r="I2484" s="432" t="s">
        <v>4635</v>
      </c>
      <c r="K2484" t="s">
        <v>659</v>
      </c>
      <c r="L2484" t="s">
        <v>669</v>
      </c>
      <c r="M2484" t="s">
        <v>2333</v>
      </c>
    </row>
    <row r="2485" spans="1:13" ht="36">
      <c r="A2485" s="5">
        <v>2485</v>
      </c>
      <c r="B2485" t="str">
        <f t="shared" si="517"/>
        <v>TO</v>
      </c>
      <c r="C2485" t="str">
        <f t="shared" si="516"/>
        <v>KB</v>
      </c>
      <c r="D2485" t="s">
        <v>4531</v>
      </c>
      <c r="E2485" s="5">
        <v>1</v>
      </c>
      <c r="F2485" t="s">
        <v>4464</v>
      </c>
      <c r="G2485" s="4" t="s">
        <v>4633</v>
      </c>
      <c r="H2485" s="5" t="s">
        <v>3974</v>
      </c>
      <c r="I2485" s="432" t="s">
        <v>3975</v>
      </c>
      <c r="K2485" t="s">
        <v>659</v>
      </c>
      <c r="L2485" t="s">
        <v>669</v>
      </c>
      <c r="M2485" t="s">
        <v>2333</v>
      </c>
    </row>
    <row r="2486" spans="1:13" ht="36">
      <c r="A2486" s="5">
        <v>2486</v>
      </c>
      <c r="B2486" t="str">
        <f t="shared" si="517"/>
        <v>TO</v>
      </c>
      <c r="C2486" t="str">
        <f t="shared" si="516"/>
        <v>KB</v>
      </c>
      <c r="D2486" t="s">
        <v>4531</v>
      </c>
      <c r="E2486" s="5">
        <v>1</v>
      </c>
      <c r="F2486" t="s">
        <v>4464</v>
      </c>
      <c r="G2486" s="4" t="s">
        <v>4633</v>
      </c>
      <c r="H2486" s="5" t="s">
        <v>443</v>
      </c>
      <c r="I2486" s="432" t="s">
        <v>3837</v>
      </c>
      <c r="K2486" t="s">
        <v>659</v>
      </c>
      <c r="L2486" t="s">
        <v>669</v>
      </c>
      <c r="M2486" t="s">
        <v>2333</v>
      </c>
    </row>
    <row r="2487" spans="1:13" ht="36">
      <c r="A2487" s="5">
        <v>2487</v>
      </c>
      <c r="B2487" t="str">
        <f t="shared" si="517"/>
        <v>TO</v>
      </c>
      <c r="C2487" t="str">
        <f t="shared" si="516"/>
        <v>KB</v>
      </c>
      <c r="D2487" t="s">
        <v>4531</v>
      </c>
      <c r="E2487" s="5">
        <v>1</v>
      </c>
      <c r="F2487" t="s">
        <v>4464</v>
      </c>
      <c r="G2487" s="4" t="s">
        <v>4636</v>
      </c>
      <c r="H2487" s="5" t="s">
        <v>4637</v>
      </c>
      <c r="I2487" s="432" t="s">
        <v>4474</v>
      </c>
      <c r="K2487" t="s">
        <v>659</v>
      </c>
      <c r="L2487" t="s">
        <v>669</v>
      </c>
      <c r="M2487" t="s">
        <v>2333</v>
      </c>
    </row>
    <row r="2488" spans="1:13" ht="36">
      <c r="A2488" s="5">
        <v>2488</v>
      </c>
      <c r="B2488" t="str">
        <f t="shared" si="517"/>
        <v>TO</v>
      </c>
      <c r="C2488" t="str">
        <f t="shared" si="516"/>
        <v>KB</v>
      </c>
      <c r="D2488" t="s">
        <v>4531</v>
      </c>
      <c r="E2488" s="5">
        <v>1</v>
      </c>
      <c r="F2488" t="s">
        <v>4464</v>
      </c>
      <c r="G2488" s="4" t="s">
        <v>4636</v>
      </c>
      <c r="H2488" s="5" t="s">
        <v>2246</v>
      </c>
      <c r="I2488" s="432" t="s">
        <v>4638</v>
      </c>
      <c r="K2488" t="s">
        <v>659</v>
      </c>
      <c r="L2488" t="s">
        <v>669</v>
      </c>
      <c r="M2488" t="s">
        <v>5775</v>
      </c>
    </row>
    <row r="2489" spans="1:13" ht="36">
      <c r="A2489" s="5">
        <v>2489</v>
      </c>
      <c r="B2489" t="str">
        <f t="shared" si="517"/>
        <v>TO</v>
      </c>
      <c r="C2489" t="str">
        <f t="shared" si="516"/>
        <v>KB</v>
      </c>
      <c r="D2489" t="s">
        <v>4531</v>
      </c>
      <c r="E2489" s="5">
        <v>1</v>
      </c>
      <c r="F2489" t="s">
        <v>4464</v>
      </c>
      <c r="G2489" s="4" t="s">
        <v>4636</v>
      </c>
      <c r="H2489" s="5" t="s">
        <v>4639</v>
      </c>
      <c r="I2489" s="432" t="s">
        <v>4640</v>
      </c>
      <c r="K2489" t="s">
        <v>659</v>
      </c>
      <c r="L2489" t="s">
        <v>669</v>
      </c>
      <c r="M2489" t="s">
        <v>2333</v>
      </c>
    </row>
    <row r="2490" spans="1:13" ht="36">
      <c r="A2490" s="5">
        <v>2490</v>
      </c>
      <c r="B2490" t="str">
        <f t="shared" si="517"/>
        <v>TO</v>
      </c>
      <c r="C2490" t="str">
        <f t="shared" si="516"/>
        <v>KB</v>
      </c>
      <c r="D2490" t="s">
        <v>4531</v>
      </c>
      <c r="E2490" s="5">
        <v>1</v>
      </c>
      <c r="F2490" t="s">
        <v>4464</v>
      </c>
      <c r="G2490" s="4" t="s">
        <v>5440</v>
      </c>
      <c r="H2490" s="5" t="s">
        <v>3991</v>
      </c>
      <c r="I2490" s="432" t="s">
        <v>3992</v>
      </c>
      <c r="K2490" t="s">
        <v>659</v>
      </c>
      <c r="L2490" t="s">
        <v>669</v>
      </c>
      <c r="M2490" t="s">
        <v>2333</v>
      </c>
    </row>
    <row r="2491" spans="1:13" ht="36">
      <c r="A2491" s="5">
        <v>2491</v>
      </c>
      <c r="B2491" t="str">
        <f t="shared" si="517"/>
        <v>TO</v>
      </c>
      <c r="C2491" t="str">
        <f t="shared" si="516"/>
        <v>KB</v>
      </c>
      <c r="D2491" t="s">
        <v>4531</v>
      </c>
      <c r="E2491" s="5">
        <v>1</v>
      </c>
      <c r="F2491" t="s">
        <v>4464</v>
      </c>
      <c r="G2491" s="4" t="s">
        <v>4641</v>
      </c>
      <c r="H2491" s="5" t="s">
        <v>3994</v>
      </c>
      <c r="I2491" s="432" t="s">
        <v>3995</v>
      </c>
      <c r="K2491" t="s">
        <v>659</v>
      </c>
      <c r="L2491" t="s">
        <v>669</v>
      </c>
      <c r="M2491" t="s">
        <v>2333</v>
      </c>
    </row>
    <row r="2492" spans="1:13" ht="36">
      <c r="A2492" s="5">
        <v>2492</v>
      </c>
      <c r="B2492" t="str">
        <f t="shared" si="517"/>
        <v>TO</v>
      </c>
      <c r="C2492" t="str">
        <f t="shared" si="516"/>
        <v>KB</v>
      </c>
      <c r="D2492" t="s">
        <v>4531</v>
      </c>
      <c r="E2492" s="5">
        <v>1</v>
      </c>
      <c r="F2492" t="s">
        <v>4464</v>
      </c>
      <c r="G2492" s="4" t="s">
        <v>4641</v>
      </c>
      <c r="H2492" s="5" t="s">
        <v>4642</v>
      </c>
      <c r="I2492" s="432" t="s">
        <v>3001</v>
      </c>
      <c r="K2492" t="s">
        <v>659</v>
      </c>
      <c r="L2492" t="s">
        <v>669</v>
      </c>
      <c r="M2492" t="s">
        <v>2333</v>
      </c>
    </row>
    <row r="2493" spans="1:13" ht="36">
      <c r="A2493" s="5">
        <v>2493</v>
      </c>
      <c r="B2493" t="str">
        <f t="shared" si="517"/>
        <v>TO</v>
      </c>
      <c r="C2493" t="str">
        <f t="shared" si="516"/>
        <v>KB</v>
      </c>
      <c r="D2493" t="s">
        <v>4531</v>
      </c>
      <c r="E2493" s="5">
        <v>1</v>
      </c>
      <c r="F2493" t="s">
        <v>4464</v>
      </c>
      <c r="G2493" s="4" t="s">
        <v>4643</v>
      </c>
      <c r="H2493" s="5" t="s">
        <v>515</v>
      </c>
      <c r="I2493" s="432" t="s">
        <v>3639</v>
      </c>
      <c r="K2493" t="s">
        <v>659</v>
      </c>
      <c r="L2493" t="s">
        <v>669</v>
      </c>
      <c r="M2493" t="s">
        <v>2333</v>
      </c>
    </row>
    <row r="2494" spans="1:13" ht="36">
      <c r="A2494" s="5">
        <v>2494</v>
      </c>
      <c r="B2494" t="str">
        <f t="shared" si="517"/>
        <v>TO</v>
      </c>
      <c r="C2494" t="str">
        <f t="shared" si="516"/>
        <v>KB</v>
      </c>
      <c r="D2494" t="s">
        <v>4531</v>
      </c>
      <c r="E2494" s="5">
        <v>1</v>
      </c>
      <c r="F2494" t="s">
        <v>4464</v>
      </c>
      <c r="G2494" s="4" t="s">
        <v>4643</v>
      </c>
      <c r="H2494" s="5" t="s">
        <v>365</v>
      </c>
      <c r="I2494" s="432" t="s">
        <v>2671</v>
      </c>
      <c r="K2494" t="s">
        <v>659</v>
      </c>
      <c r="L2494" t="s">
        <v>669</v>
      </c>
      <c r="M2494" t="s">
        <v>2392</v>
      </c>
    </row>
    <row r="2495" spans="1:13">
      <c r="A2495" s="5">
        <v>2495</v>
      </c>
      <c r="B2495" t="str">
        <f t="shared" ref="B2495:B2503" si="518">MID(G2495,11,2)</f>
        <v>TO</v>
      </c>
      <c r="C2495" t="str">
        <f t="shared" ref="C2495:C2503" si="519">MID(G2495,14,2)</f>
        <v>KB</v>
      </c>
      <c r="D2495" t="s">
        <v>4531</v>
      </c>
      <c r="E2495" s="5">
        <v>4</v>
      </c>
      <c r="G2495" s="4" t="s">
        <v>4644</v>
      </c>
      <c r="H2495" s="4" t="s">
        <v>4645</v>
      </c>
      <c r="I2495" s="432" t="s">
        <v>2627</v>
      </c>
      <c r="K2495" t="s">
        <v>659</v>
      </c>
      <c r="L2495" t="s">
        <v>669</v>
      </c>
      <c r="M2495" t="s">
        <v>2333</v>
      </c>
    </row>
    <row r="2496" spans="1:13">
      <c r="A2496" s="5">
        <v>2496</v>
      </c>
      <c r="B2496" t="str">
        <f t="shared" si="518"/>
        <v>TO</v>
      </c>
      <c r="C2496" t="str">
        <f t="shared" si="519"/>
        <v>KB</v>
      </c>
      <c r="D2496" t="s">
        <v>4531</v>
      </c>
      <c r="E2496" s="5">
        <v>4</v>
      </c>
      <c r="G2496" s="4" t="s">
        <v>4644</v>
      </c>
      <c r="H2496" s="306" t="s">
        <v>3296</v>
      </c>
      <c r="I2496" s="432" t="s">
        <v>2377</v>
      </c>
      <c r="K2496" t="s">
        <v>659</v>
      </c>
      <c r="L2496" t="s">
        <v>669</v>
      </c>
      <c r="M2496" t="s">
        <v>2333</v>
      </c>
    </row>
    <row r="2497" spans="1:15">
      <c r="A2497" s="5">
        <v>2497</v>
      </c>
      <c r="B2497" t="str">
        <f t="shared" si="518"/>
        <v>TO</v>
      </c>
      <c r="C2497" t="str">
        <f t="shared" si="519"/>
        <v>KB</v>
      </c>
      <c r="D2497" t="s">
        <v>4531</v>
      </c>
      <c r="E2497" s="5">
        <v>4</v>
      </c>
      <c r="G2497" s="4" t="s">
        <v>4644</v>
      </c>
      <c r="H2497" s="306" t="s">
        <v>3029</v>
      </c>
      <c r="I2497" s="432" t="s">
        <v>4646</v>
      </c>
      <c r="K2497" t="s">
        <v>659</v>
      </c>
      <c r="L2497" t="s">
        <v>669</v>
      </c>
      <c r="M2497" t="s">
        <v>2333</v>
      </c>
    </row>
    <row r="2498" spans="1:15" ht="18.600000000000001">
      <c r="A2498" s="5">
        <v>2498</v>
      </c>
      <c r="B2498" t="str">
        <f t="shared" si="518"/>
        <v>TO</v>
      </c>
      <c r="C2498" t="str">
        <f t="shared" si="519"/>
        <v>KB</v>
      </c>
      <c r="D2498" t="s">
        <v>4531</v>
      </c>
      <c r="E2498" s="5">
        <v>4</v>
      </c>
      <c r="G2498" s="4" t="s">
        <v>4644</v>
      </c>
      <c r="H2498" s="396" t="s">
        <v>3034</v>
      </c>
      <c r="I2498" s="432" t="s">
        <v>4647</v>
      </c>
      <c r="K2498" t="s">
        <v>659</v>
      </c>
      <c r="L2498" t="s">
        <v>669</v>
      </c>
      <c r="M2498" t="s">
        <v>2333</v>
      </c>
    </row>
    <row r="2499" spans="1:15">
      <c r="A2499" s="5">
        <v>2499</v>
      </c>
      <c r="B2499" t="str">
        <f t="shared" si="518"/>
        <v>TO</v>
      </c>
      <c r="C2499" t="str">
        <f t="shared" si="519"/>
        <v>KB</v>
      </c>
      <c r="D2499" t="s">
        <v>4531</v>
      </c>
      <c r="E2499" s="5">
        <v>4</v>
      </c>
      <c r="G2499" s="4" t="s">
        <v>4644</v>
      </c>
      <c r="H2499" s="306" t="s">
        <v>403</v>
      </c>
      <c r="I2499" s="432" t="s">
        <v>3131</v>
      </c>
      <c r="K2499" t="s">
        <v>659</v>
      </c>
      <c r="L2499" t="s">
        <v>669</v>
      </c>
      <c r="M2499" t="s">
        <v>2333</v>
      </c>
    </row>
    <row r="2500" spans="1:15">
      <c r="A2500" s="5">
        <v>2500</v>
      </c>
      <c r="B2500" t="str">
        <f t="shared" si="518"/>
        <v>TO</v>
      </c>
      <c r="C2500" t="str">
        <f t="shared" si="519"/>
        <v>KB</v>
      </c>
      <c r="D2500" t="s">
        <v>4531</v>
      </c>
      <c r="E2500" s="5">
        <v>4</v>
      </c>
      <c r="G2500" s="4" t="s">
        <v>4648</v>
      </c>
      <c r="H2500" s="306" t="s">
        <v>475</v>
      </c>
      <c r="I2500" s="432" t="s">
        <v>2568</v>
      </c>
      <c r="K2500" t="s">
        <v>659</v>
      </c>
      <c r="L2500" t="s">
        <v>669</v>
      </c>
      <c r="M2500" t="s">
        <v>2333</v>
      </c>
    </row>
    <row r="2501" spans="1:15" ht="18.600000000000001">
      <c r="A2501" s="5">
        <v>2501</v>
      </c>
      <c r="B2501" t="str">
        <f t="shared" si="518"/>
        <v>TO</v>
      </c>
      <c r="C2501" t="str">
        <f t="shared" si="519"/>
        <v>KB</v>
      </c>
      <c r="D2501" t="s">
        <v>4531</v>
      </c>
      <c r="E2501" s="5">
        <v>4</v>
      </c>
      <c r="G2501" s="4" t="s">
        <v>4648</v>
      </c>
      <c r="H2501" s="396" t="s">
        <v>3422</v>
      </c>
      <c r="I2501" s="438" t="s">
        <v>3423</v>
      </c>
      <c r="K2501" t="s">
        <v>659</v>
      </c>
      <c r="L2501" t="s">
        <v>669</v>
      </c>
      <c r="M2501" t="s">
        <v>2333</v>
      </c>
    </row>
    <row r="2502" spans="1:15">
      <c r="A2502" s="5">
        <v>2502</v>
      </c>
      <c r="B2502" t="str">
        <f t="shared" si="518"/>
        <v>TO</v>
      </c>
      <c r="C2502" t="str">
        <f t="shared" si="519"/>
        <v>KB</v>
      </c>
      <c r="D2502" t="s">
        <v>4531</v>
      </c>
      <c r="E2502" s="5">
        <v>4</v>
      </c>
      <c r="G2502" s="4" t="s">
        <v>4648</v>
      </c>
      <c r="H2502" s="306" t="s">
        <v>1548</v>
      </c>
      <c r="I2502" s="432" t="s">
        <v>3437</v>
      </c>
      <c r="K2502" t="s">
        <v>659</v>
      </c>
      <c r="L2502" t="s">
        <v>669</v>
      </c>
      <c r="M2502" t="s">
        <v>2333</v>
      </c>
    </row>
    <row r="2503" spans="1:15">
      <c r="A2503" s="5">
        <v>2503</v>
      </c>
      <c r="B2503" t="str">
        <f t="shared" si="518"/>
        <v>TO</v>
      </c>
      <c r="C2503" t="str">
        <f t="shared" si="519"/>
        <v>KB</v>
      </c>
      <c r="D2503" t="s">
        <v>4531</v>
      </c>
      <c r="E2503" s="5">
        <v>4</v>
      </c>
      <c r="G2503" s="4" t="s">
        <v>4648</v>
      </c>
      <c r="H2503" s="306" t="s">
        <v>3445</v>
      </c>
      <c r="I2503" s="432" t="s">
        <v>3446</v>
      </c>
      <c r="K2503" t="s">
        <v>659</v>
      </c>
      <c r="L2503" t="s">
        <v>669</v>
      </c>
      <c r="M2503" t="s">
        <v>2333</v>
      </c>
    </row>
    <row r="2504" spans="1:15" ht="36">
      <c r="A2504" s="5">
        <v>2504</v>
      </c>
      <c r="B2504" t="s">
        <v>152</v>
      </c>
      <c r="C2504" t="str">
        <f t="shared" ref="C2504:C2507" si="520">MID(G2504,14,2)</f>
        <v>KB</v>
      </c>
      <c r="D2504" t="s">
        <v>4802</v>
      </c>
      <c r="E2504" s="5">
        <v>1</v>
      </c>
      <c r="F2504" t="s">
        <v>2766</v>
      </c>
      <c r="G2504" s="4" t="s">
        <v>5181</v>
      </c>
      <c r="H2504" s="306" t="s">
        <v>4155</v>
      </c>
      <c r="I2504" s="432" t="s">
        <v>4156</v>
      </c>
      <c r="K2504" t="s">
        <v>659</v>
      </c>
      <c r="L2504" t="s">
        <v>669</v>
      </c>
      <c r="M2504" t="s">
        <v>2333</v>
      </c>
    </row>
    <row r="2505" spans="1:15">
      <c r="A2505" s="5">
        <v>2507</v>
      </c>
      <c r="B2505" t="str">
        <f>MID(G2505,11,2)</f>
        <v>MH</v>
      </c>
      <c r="C2505" t="str">
        <f>MID(G2505,14,2)</f>
        <v>KB</v>
      </c>
      <c r="D2505" t="s">
        <v>4802</v>
      </c>
      <c r="E2505" s="5"/>
      <c r="F2505" t="s">
        <v>5195</v>
      </c>
      <c r="G2505" s="4" t="s">
        <v>5196</v>
      </c>
      <c r="H2505" s="306" t="s">
        <v>4086</v>
      </c>
      <c r="I2505" s="432" t="s">
        <v>4087</v>
      </c>
      <c r="K2505" t="s">
        <v>659</v>
      </c>
      <c r="L2505" t="s">
        <v>669</v>
      </c>
      <c r="M2505" t="s">
        <v>2333</v>
      </c>
      <c r="N2505" t="s">
        <v>3456</v>
      </c>
    </row>
    <row r="2506" spans="1:15">
      <c r="A2506" s="5">
        <v>2505</v>
      </c>
      <c r="B2506" t="str">
        <f t="shared" si="511"/>
        <v>TO</v>
      </c>
      <c r="C2506" t="str">
        <f t="shared" si="520"/>
        <v>KB</v>
      </c>
      <c r="D2506" t="s">
        <v>4802</v>
      </c>
      <c r="E2506" s="5">
        <v>1</v>
      </c>
      <c r="F2506" t="s">
        <v>3843</v>
      </c>
      <c r="G2506" s="4" t="s">
        <v>5183</v>
      </c>
      <c r="H2506" s="306" t="s">
        <v>4086</v>
      </c>
      <c r="I2506" s="432" t="s">
        <v>4087</v>
      </c>
      <c r="K2506" t="s">
        <v>659</v>
      </c>
      <c r="L2506" t="s">
        <v>669</v>
      </c>
      <c r="M2506" t="s">
        <v>2102</v>
      </c>
      <c r="N2506" t="s">
        <v>5680</v>
      </c>
    </row>
    <row r="2507" spans="1:15" ht="36">
      <c r="A2507" s="5">
        <v>2506</v>
      </c>
      <c r="B2507" t="str">
        <f t="shared" si="511"/>
        <v>TO</v>
      </c>
      <c r="C2507" t="str">
        <f t="shared" si="520"/>
        <v>KB</v>
      </c>
      <c r="D2507" t="s">
        <v>4802</v>
      </c>
      <c r="E2507" s="5">
        <v>1</v>
      </c>
      <c r="F2507" t="s">
        <v>3843</v>
      </c>
      <c r="G2507" s="4" t="s">
        <v>5194</v>
      </c>
      <c r="H2507" s="306" t="s">
        <v>2815</v>
      </c>
      <c r="I2507" s="432" t="s">
        <v>2816</v>
      </c>
      <c r="K2507" t="s">
        <v>659</v>
      </c>
      <c r="L2507" t="s">
        <v>669</v>
      </c>
      <c r="M2507" t="s">
        <v>2333</v>
      </c>
    </row>
    <row r="2508" spans="1:15">
      <c r="A2508" s="5">
        <v>2508</v>
      </c>
      <c r="B2508" t="str">
        <f t="shared" si="511"/>
        <v>TO</v>
      </c>
      <c r="C2508" t="str">
        <f t="shared" ref="C2508:C2511" si="521">MID(G2508,14,2)</f>
        <v>KB</v>
      </c>
      <c r="D2508" t="s">
        <v>4802</v>
      </c>
      <c r="E2508" s="5">
        <v>2</v>
      </c>
      <c r="F2508" t="s">
        <v>3843</v>
      </c>
      <c r="G2508" s="4" t="s">
        <v>5199</v>
      </c>
      <c r="H2508" s="306" t="s">
        <v>5197</v>
      </c>
      <c r="I2508" s="438" t="s">
        <v>5200</v>
      </c>
      <c r="K2508" t="s">
        <v>1434</v>
      </c>
      <c r="L2508" t="s">
        <v>669</v>
      </c>
      <c r="M2508" t="s">
        <v>2333</v>
      </c>
    </row>
    <row r="2509" spans="1:15">
      <c r="A2509" s="5">
        <v>2509</v>
      </c>
      <c r="B2509" t="str">
        <f t="shared" ref="B2509:B2511" si="522">MID(G2509,11,2)</f>
        <v>MH</v>
      </c>
      <c r="C2509" t="str">
        <f t="shared" si="521"/>
        <v>KB</v>
      </c>
      <c r="D2509" t="s">
        <v>4802</v>
      </c>
      <c r="E2509" s="5"/>
      <c r="G2509" s="4" t="s">
        <v>5205</v>
      </c>
      <c r="H2509" s="306" t="s">
        <v>4338</v>
      </c>
      <c r="I2509" s="438" t="s">
        <v>5203</v>
      </c>
      <c r="K2509" t="s">
        <v>659</v>
      </c>
      <c r="L2509" t="s">
        <v>669</v>
      </c>
      <c r="M2509" t="s">
        <v>2333</v>
      </c>
    </row>
    <row r="2510" spans="1:15" ht="36">
      <c r="A2510" s="5">
        <v>2510</v>
      </c>
      <c r="B2510" t="str">
        <f>MID(G2510,11,2)</f>
        <v>TO</v>
      </c>
      <c r="C2510" t="str">
        <f>MID(G2510,14,2)</f>
        <v>KB</v>
      </c>
      <c r="D2510" t="s">
        <v>4802</v>
      </c>
      <c r="E2510" s="5"/>
      <c r="G2510" s="4" t="s">
        <v>5227</v>
      </c>
      <c r="H2510" s="306" t="s">
        <v>4155</v>
      </c>
      <c r="I2510" s="432" t="s">
        <v>4156</v>
      </c>
      <c r="K2510" t="s">
        <v>659</v>
      </c>
      <c r="L2510" t="s">
        <v>669</v>
      </c>
      <c r="M2510" t="s">
        <v>3733</v>
      </c>
      <c r="N2510" t="s">
        <v>5177</v>
      </c>
      <c r="O2510" t="s">
        <v>5178</v>
      </c>
    </row>
    <row r="2511" spans="1:15" ht="36">
      <c r="A2511" s="5">
        <v>2511</v>
      </c>
      <c r="B2511" t="str">
        <f t="shared" si="522"/>
        <v>TO</v>
      </c>
      <c r="C2511" t="str">
        <f t="shared" si="521"/>
        <v>KB</v>
      </c>
      <c r="D2511" t="s">
        <v>4802</v>
      </c>
      <c r="E2511" s="5">
        <v>3</v>
      </c>
      <c r="G2511" s="4" t="s">
        <v>5214</v>
      </c>
      <c r="H2511" s="306" t="s">
        <v>4293</v>
      </c>
      <c r="I2511" s="438" t="s">
        <v>4294</v>
      </c>
      <c r="K2511" t="s">
        <v>659</v>
      </c>
      <c r="L2511" t="s">
        <v>3224</v>
      </c>
      <c r="M2511"/>
    </row>
    <row r="2512" spans="1:15">
      <c r="A2512" s="5">
        <v>2512</v>
      </c>
      <c r="B2512" t="str">
        <f t="shared" ref="B2512:B2513" si="523">MID(G2512,11,2)</f>
        <v>TO</v>
      </c>
      <c r="C2512" t="str">
        <f t="shared" ref="C2512:C2513" si="524">MID(G2512,14,2)</f>
        <v>KB</v>
      </c>
      <c r="D2512" t="s">
        <v>4802</v>
      </c>
      <c r="E2512" s="5">
        <v>3</v>
      </c>
      <c r="G2512" s="4" t="s">
        <v>5212</v>
      </c>
      <c r="H2512" s="306" t="s">
        <v>4716</v>
      </c>
      <c r="I2512" s="438" t="s">
        <v>5201</v>
      </c>
      <c r="K2512" t="s">
        <v>1434</v>
      </c>
      <c r="L2512" t="s">
        <v>3224</v>
      </c>
      <c r="M2512"/>
    </row>
    <row r="2513" spans="1:15">
      <c r="A2513" s="5">
        <v>2513</v>
      </c>
      <c r="B2513" t="str">
        <f t="shared" si="523"/>
        <v>TO</v>
      </c>
      <c r="C2513" t="str">
        <f t="shared" si="524"/>
        <v>KB</v>
      </c>
      <c r="D2513" t="s">
        <v>4802</v>
      </c>
      <c r="E2513" s="5">
        <v>3</v>
      </c>
      <c r="G2513" s="4" t="s">
        <v>5214</v>
      </c>
      <c r="H2513" s="306" t="s">
        <v>5202</v>
      </c>
      <c r="I2513" s="438" t="s">
        <v>4635</v>
      </c>
      <c r="K2513" t="s">
        <v>659</v>
      </c>
      <c r="L2513" t="s">
        <v>3224</v>
      </c>
      <c r="M2513"/>
    </row>
    <row r="2514" spans="1:15">
      <c r="A2514" s="5">
        <v>2514</v>
      </c>
      <c r="B2514" t="str">
        <f t="shared" ref="B2514:B2520" si="525">MID(G2514,11,2)</f>
        <v>TO</v>
      </c>
      <c r="C2514" t="str">
        <f t="shared" ref="C2514:C2520" si="526">MID(G2514,14,2)</f>
        <v>KB</v>
      </c>
      <c r="D2514" t="s">
        <v>4802</v>
      </c>
      <c r="E2514" s="5">
        <v>2</v>
      </c>
      <c r="F2514" t="s">
        <v>3843</v>
      </c>
      <c r="G2514" s="4" t="s">
        <v>5215</v>
      </c>
      <c r="H2514" s="306" t="s">
        <v>568</v>
      </c>
      <c r="I2514" s="438" t="s">
        <v>3661</v>
      </c>
      <c r="K2514" t="s">
        <v>1434</v>
      </c>
      <c r="L2514" t="s">
        <v>669</v>
      </c>
      <c r="M2514" t="s">
        <v>2333</v>
      </c>
      <c r="O2514" t="s">
        <v>4651</v>
      </c>
    </row>
    <row r="2515" spans="1:15" ht="36">
      <c r="A2515" s="5">
        <v>2515</v>
      </c>
      <c r="B2515" t="str">
        <f t="shared" si="525"/>
        <v>TO</v>
      </c>
      <c r="C2515" t="str">
        <f t="shared" si="526"/>
        <v>KB</v>
      </c>
      <c r="D2515" t="s">
        <v>4802</v>
      </c>
      <c r="E2515" s="5">
        <v>2</v>
      </c>
      <c r="G2515" s="4" t="s">
        <v>5215</v>
      </c>
      <c r="H2515" s="306" t="s">
        <v>4652</v>
      </c>
      <c r="I2515" s="438" t="s">
        <v>4518</v>
      </c>
      <c r="K2515" t="s">
        <v>1434</v>
      </c>
      <c r="L2515" t="s">
        <v>669</v>
      </c>
      <c r="M2515" t="s">
        <v>2333</v>
      </c>
    </row>
    <row r="2516" spans="1:15">
      <c r="A2516" s="5">
        <v>2516</v>
      </c>
      <c r="B2516" t="str">
        <f t="shared" si="525"/>
        <v>TO</v>
      </c>
      <c r="C2516" t="str">
        <f t="shared" si="526"/>
        <v>KB</v>
      </c>
      <c r="D2516" t="s">
        <v>4802</v>
      </c>
      <c r="E2516" s="5">
        <v>2</v>
      </c>
      <c r="F2516" t="s">
        <v>3843</v>
      </c>
      <c r="G2516" s="4" t="s">
        <v>5215</v>
      </c>
      <c r="H2516" s="306" t="s">
        <v>4198</v>
      </c>
      <c r="I2516" s="432" t="s">
        <v>2996</v>
      </c>
      <c r="K2516" t="s">
        <v>659</v>
      </c>
      <c r="L2516" t="s">
        <v>669</v>
      </c>
      <c r="M2516" t="s">
        <v>2333</v>
      </c>
      <c r="N2516" t="s">
        <v>4308</v>
      </c>
    </row>
    <row r="2517" spans="1:15">
      <c r="A2517" s="5">
        <v>2517</v>
      </c>
      <c r="B2517" t="str">
        <f t="shared" si="525"/>
        <v>TO</v>
      </c>
      <c r="C2517" t="str">
        <f t="shared" si="526"/>
        <v>KB</v>
      </c>
      <c r="D2517" t="s">
        <v>4802</v>
      </c>
      <c r="E2517" s="5">
        <v>2</v>
      </c>
      <c r="F2517" t="s">
        <v>3843</v>
      </c>
      <c r="G2517" s="4" t="s">
        <v>5215</v>
      </c>
      <c r="H2517" s="306" t="s">
        <v>4658</v>
      </c>
      <c r="I2517" s="432" t="s">
        <v>4025</v>
      </c>
      <c r="K2517" t="s">
        <v>659</v>
      </c>
      <c r="L2517" t="s">
        <v>669</v>
      </c>
      <c r="M2517" t="s">
        <v>2333</v>
      </c>
      <c r="N2517" t="s">
        <v>4659</v>
      </c>
    </row>
    <row r="2518" spans="1:15" ht="36">
      <c r="A2518" s="5">
        <v>2518</v>
      </c>
      <c r="B2518" t="str">
        <f t="shared" si="525"/>
        <v>TO</v>
      </c>
      <c r="C2518" t="str">
        <f t="shared" si="526"/>
        <v>KB</v>
      </c>
      <c r="D2518" t="s">
        <v>4802</v>
      </c>
      <c r="E2518" s="5">
        <v>3</v>
      </c>
      <c r="G2518" s="4" t="s">
        <v>5217</v>
      </c>
      <c r="H2518" s="70" t="s">
        <v>4662</v>
      </c>
      <c r="I2518" s="432" t="s">
        <v>4663</v>
      </c>
      <c r="K2518" t="s">
        <v>1434</v>
      </c>
      <c r="L2518" t="s">
        <v>669</v>
      </c>
      <c r="M2518" t="s">
        <v>5775</v>
      </c>
      <c r="N2518" t="s">
        <v>4308</v>
      </c>
    </row>
    <row r="2519" spans="1:15">
      <c r="A2519" s="5">
        <v>2519</v>
      </c>
      <c r="B2519" t="str">
        <f t="shared" si="525"/>
        <v>TO</v>
      </c>
      <c r="C2519" t="str">
        <f t="shared" si="526"/>
        <v>KB</v>
      </c>
      <c r="D2519" t="s">
        <v>4802</v>
      </c>
      <c r="E2519" s="5">
        <v>3</v>
      </c>
      <c r="G2519" s="4" t="s">
        <v>5217</v>
      </c>
      <c r="H2519" s="306" t="s">
        <v>4649</v>
      </c>
      <c r="I2519" s="438" t="s">
        <v>4650</v>
      </c>
      <c r="K2519" t="s">
        <v>659</v>
      </c>
      <c r="L2519" t="s">
        <v>669</v>
      </c>
      <c r="M2519" t="s">
        <v>2392</v>
      </c>
      <c r="N2519" t="s">
        <v>5281</v>
      </c>
    </row>
    <row r="2520" spans="1:15">
      <c r="A2520" s="5">
        <v>2520</v>
      </c>
      <c r="B2520" t="str">
        <f t="shared" si="525"/>
        <v>TO</v>
      </c>
      <c r="C2520" t="str">
        <f t="shared" si="526"/>
        <v>KB</v>
      </c>
      <c r="D2520" t="s">
        <v>4802</v>
      </c>
      <c r="E2520" s="5">
        <v>3</v>
      </c>
      <c r="G2520" s="4" t="s">
        <v>5217</v>
      </c>
      <c r="H2520" s="306" t="s">
        <v>1762</v>
      </c>
      <c r="I2520" s="438" t="s">
        <v>2480</v>
      </c>
      <c r="K2520" t="s">
        <v>1434</v>
      </c>
      <c r="L2520" t="s">
        <v>669</v>
      </c>
      <c r="M2520" t="s">
        <v>2333</v>
      </c>
    </row>
    <row r="2521" spans="1:15">
      <c r="A2521" s="5">
        <v>2522</v>
      </c>
      <c r="B2521" t="str">
        <f>MID(G2521,11,2)</f>
        <v>TO</v>
      </c>
      <c r="C2521" t="str">
        <f>MID(G2521,14,2)</f>
        <v>KB</v>
      </c>
      <c r="D2521" t="s">
        <v>4802</v>
      </c>
      <c r="E2521" s="5">
        <v>3</v>
      </c>
      <c r="G2521" s="4" t="s">
        <v>5217</v>
      </c>
      <c r="H2521" s="306" t="s">
        <v>4653</v>
      </c>
      <c r="I2521" s="438" t="s">
        <v>4654</v>
      </c>
      <c r="K2521" t="s">
        <v>1434</v>
      </c>
      <c r="L2521" t="s">
        <v>669</v>
      </c>
      <c r="M2521" t="s">
        <v>5775</v>
      </c>
    </row>
    <row r="2522" spans="1:15">
      <c r="A2522" s="5">
        <v>2523</v>
      </c>
      <c r="B2522" t="str">
        <f>MID(G2522,11,2)</f>
        <v>TO</v>
      </c>
      <c r="C2522" t="str">
        <f>MID(G2522,14,2)</f>
        <v>KB</v>
      </c>
      <c r="D2522" t="s">
        <v>4802</v>
      </c>
      <c r="E2522" s="5">
        <v>3</v>
      </c>
      <c r="G2522" s="4" t="s">
        <v>5213</v>
      </c>
      <c r="H2522" s="4" t="s">
        <v>4655</v>
      </c>
      <c r="I2522" s="438" t="s">
        <v>4656</v>
      </c>
      <c r="K2522" t="s">
        <v>1434</v>
      </c>
      <c r="L2522" t="s">
        <v>669</v>
      </c>
      <c r="M2522" t="s">
        <v>2333</v>
      </c>
    </row>
    <row r="2523" spans="1:15">
      <c r="A2523" s="5">
        <v>2524</v>
      </c>
      <c r="B2523" t="str">
        <f t="shared" ref="B2523:B2526" si="527">MID(G2523,11,2)</f>
        <v>TO</v>
      </c>
      <c r="C2523" t="str">
        <f t="shared" ref="C2523:C2526" si="528">MID(G2523,14,2)</f>
        <v>KB</v>
      </c>
      <c r="D2523" t="s">
        <v>4802</v>
      </c>
      <c r="E2523" s="5">
        <v>3</v>
      </c>
      <c r="G2523" s="4" t="s">
        <v>5213</v>
      </c>
      <c r="H2523" s="306" t="s">
        <v>297</v>
      </c>
      <c r="I2523" s="432" t="s">
        <v>4495</v>
      </c>
      <c r="K2523" t="s">
        <v>1434</v>
      </c>
      <c r="L2523" t="s">
        <v>669</v>
      </c>
      <c r="M2523" t="s">
        <v>3323</v>
      </c>
      <c r="N2523" t="s">
        <v>4657</v>
      </c>
    </row>
    <row r="2524" spans="1:15">
      <c r="A2524" s="5">
        <v>2525</v>
      </c>
      <c r="B2524" t="str">
        <f t="shared" si="527"/>
        <v>TO</v>
      </c>
      <c r="C2524" t="str">
        <f t="shared" si="528"/>
        <v>KB</v>
      </c>
      <c r="D2524" t="s">
        <v>4802</v>
      </c>
      <c r="E2524" s="5">
        <v>3</v>
      </c>
      <c r="G2524" s="4" t="s">
        <v>5213</v>
      </c>
      <c r="H2524" s="306" t="s">
        <v>4519</v>
      </c>
      <c r="I2524" s="432" t="s">
        <v>2296</v>
      </c>
      <c r="K2524" t="s">
        <v>1434</v>
      </c>
      <c r="L2524" t="s">
        <v>669</v>
      </c>
      <c r="M2524" t="s">
        <v>2333</v>
      </c>
    </row>
    <row r="2525" spans="1:15">
      <c r="A2525" s="5">
        <v>2526</v>
      </c>
      <c r="B2525" t="str">
        <f t="shared" si="527"/>
        <v>TO</v>
      </c>
      <c r="C2525" t="str">
        <f t="shared" si="528"/>
        <v>KB</v>
      </c>
      <c r="D2525" t="s">
        <v>4802</v>
      </c>
      <c r="E2525" s="5">
        <v>3</v>
      </c>
      <c r="G2525" s="4" t="s">
        <v>5213</v>
      </c>
      <c r="H2525" s="306" t="s">
        <v>1438</v>
      </c>
      <c r="I2525" s="432" t="s">
        <v>4389</v>
      </c>
      <c r="K2525" t="s">
        <v>659</v>
      </c>
      <c r="L2525" t="s">
        <v>669</v>
      </c>
      <c r="M2525" t="s">
        <v>2333</v>
      </c>
    </row>
    <row r="2526" spans="1:15">
      <c r="A2526" s="5">
        <v>2527</v>
      </c>
      <c r="B2526" t="str">
        <f t="shared" si="527"/>
        <v>TO</v>
      </c>
      <c r="C2526" t="str">
        <f t="shared" si="528"/>
        <v>KB</v>
      </c>
      <c r="D2526" t="s">
        <v>4802</v>
      </c>
      <c r="E2526" s="5">
        <v>3</v>
      </c>
      <c r="G2526" s="4" t="s">
        <v>5213</v>
      </c>
      <c r="H2526" s="306" t="s">
        <v>5218</v>
      </c>
      <c r="I2526" s="432" t="s">
        <v>4665</v>
      </c>
      <c r="K2526" t="s">
        <v>1434</v>
      </c>
      <c r="L2526" t="s">
        <v>669</v>
      </c>
      <c r="M2526" t="s">
        <v>2333</v>
      </c>
    </row>
    <row r="2527" spans="1:15">
      <c r="A2527" s="5">
        <v>2528</v>
      </c>
      <c r="B2527" t="str">
        <f>MID(G2527,11,2)</f>
        <v>TO</v>
      </c>
      <c r="C2527" t="str">
        <f>MID(G2527,14,2)</f>
        <v>KB</v>
      </c>
      <c r="D2527" t="s">
        <v>4802</v>
      </c>
      <c r="E2527" s="5">
        <v>3</v>
      </c>
      <c r="G2527" s="4" t="s">
        <v>5219</v>
      </c>
      <c r="H2527" s="306" t="s">
        <v>537</v>
      </c>
      <c r="I2527" s="432" t="s">
        <v>2275</v>
      </c>
      <c r="K2527" t="s">
        <v>659</v>
      </c>
      <c r="L2527" t="s">
        <v>669</v>
      </c>
      <c r="M2527" t="s">
        <v>2333</v>
      </c>
      <c r="N2527" t="s">
        <v>4671</v>
      </c>
      <c r="O2527" s="4"/>
    </row>
    <row r="2528" spans="1:15">
      <c r="A2528" s="5">
        <v>2529</v>
      </c>
      <c r="B2528" t="str">
        <f>MID(G2528,11,2)</f>
        <v>TO</v>
      </c>
      <c r="C2528" t="str">
        <f>MID(G2528,14,2)</f>
        <v>KB</v>
      </c>
      <c r="D2528" t="s">
        <v>4802</v>
      </c>
      <c r="E2528" s="5">
        <v>3</v>
      </c>
      <c r="G2528" s="4" t="s">
        <v>5219</v>
      </c>
      <c r="H2528" s="306" t="s">
        <v>2243</v>
      </c>
      <c r="I2528" s="432" t="s">
        <v>2244</v>
      </c>
      <c r="K2528" t="s">
        <v>659</v>
      </c>
      <c r="L2528" t="s">
        <v>669</v>
      </c>
      <c r="M2528" t="s">
        <v>2333</v>
      </c>
      <c r="N2528" t="s">
        <v>4673</v>
      </c>
      <c r="O2528" t="s">
        <v>4674</v>
      </c>
    </row>
    <row r="2529" spans="1:14">
      <c r="A2529" s="5">
        <v>2530</v>
      </c>
      <c r="B2529" t="str">
        <f>MID(G2529,11,2)</f>
        <v>TO</v>
      </c>
      <c r="C2529" t="str">
        <f>MID(G2529,14,2)</f>
        <v>KB</v>
      </c>
      <c r="D2529" t="s">
        <v>4802</v>
      </c>
      <c r="E2529" s="5">
        <v>3</v>
      </c>
      <c r="G2529" s="4" t="s">
        <v>5219</v>
      </c>
      <c r="H2529" s="306" t="s">
        <v>5225</v>
      </c>
      <c r="I2529" s="432" t="s">
        <v>4675</v>
      </c>
      <c r="K2529" t="s">
        <v>659</v>
      </c>
      <c r="L2529" t="s">
        <v>669</v>
      </c>
      <c r="M2529" t="s">
        <v>2333</v>
      </c>
    </row>
    <row r="2530" spans="1:14">
      <c r="A2530" s="5">
        <v>2531</v>
      </c>
      <c r="B2530" t="str">
        <f>MID(G2530,11,2)</f>
        <v>TO</v>
      </c>
      <c r="C2530" t="str">
        <f>MID(G2530,14,2)</f>
        <v>KB</v>
      </c>
      <c r="D2530" t="s">
        <v>4802</v>
      </c>
      <c r="E2530" s="5">
        <v>3</v>
      </c>
      <c r="G2530" s="4" t="s">
        <v>5219</v>
      </c>
      <c r="H2530" s="306" t="s">
        <v>5224</v>
      </c>
      <c r="I2530" s="432" t="s">
        <v>4676</v>
      </c>
      <c r="K2530" t="s">
        <v>1434</v>
      </c>
      <c r="L2530" t="s">
        <v>669</v>
      </c>
      <c r="M2530" t="s">
        <v>2333</v>
      </c>
    </row>
    <row r="2531" spans="1:14">
      <c r="A2531" s="5">
        <v>2532</v>
      </c>
      <c r="B2531" t="str">
        <f>MID(G2531,11,2)</f>
        <v>TO</v>
      </c>
      <c r="C2531" t="str">
        <f>MID(G2531,14,2)</f>
        <v>KB</v>
      </c>
      <c r="D2531" t="s">
        <v>4802</v>
      </c>
      <c r="E2531" s="5">
        <v>3</v>
      </c>
      <c r="G2531" s="4" t="s">
        <v>5219</v>
      </c>
      <c r="H2531" s="306" t="s">
        <v>4677</v>
      </c>
      <c r="I2531" s="432" t="s">
        <v>4678</v>
      </c>
      <c r="K2531" t="s">
        <v>1434</v>
      </c>
      <c r="L2531" t="s">
        <v>669</v>
      </c>
      <c r="M2531" t="s">
        <v>2333</v>
      </c>
    </row>
    <row r="2532" spans="1:14">
      <c r="A2532" s="5">
        <v>2533</v>
      </c>
      <c r="B2532" t="str">
        <f t="shared" ref="B2532:B2536" si="529">MID(G2532,11,2)</f>
        <v>TO</v>
      </c>
      <c r="C2532" t="str">
        <f t="shared" ref="C2532:C2536" si="530">MID(G2532,14,2)</f>
        <v>KB</v>
      </c>
      <c r="D2532" t="s">
        <v>4802</v>
      </c>
      <c r="E2532" s="5">
        <v>3</v>
      </c>
      <c r="G2532" s="4" t="s">
        <v>5220</v>
      </c>
      <c r="H2532" s="306" t="s">
        <v>5184</v>
      </c>
      <c r="I2532" s="432" t="s">
        <v>5188</v>
      </c>
      <c r="K2532" t="s">
        <v>1434</v>
      </c>
      <c r="L2532" t="s">
        <v>669</v>
      </c>
      <c r="M2532" t="s">
        <v>2333</v>
      </c>
    </row>
    <row r="2533" spans="1:14">
      <c r="A2533" s="5">
        <v>2534</v>
      </c>
      <c r="B2533" t="str">
        <f t="shared" si="529"/>
        <v>TO</v>
      </c>
      <c r="C2533" t="str">
        <f t="shared" si="530"/>
        <v>KB</v>
      </c>
      <c r="D2533" t="s">
        <v>4802</v>
      </c>
      <c r="E2533" s="5">
        <v>3</v>
      </c>
      <c r="G2533" s="4" t="s">
        <v>5220</v>
      </c>
      <c r="H2533" s="306" t="s">
        <v>5185</v>
      </c>
      <c r="I2533" s="432" t="s">
        <v>5189</v>
      </c>
      <c r="K2533" t="s">
        <v>1434</v>
      </c>
      <c r="L2533" t="s">
        <v>669</v>
      </c>
      <c r="M2533" t="s">
        <v>2333</v>
      </c>
    </row>
    <row r="2534" spans="1:14">
      <c r="A2534" s="5">
        <v>2535</v>
      </c>
      <c r="B2534" t="str">
        <f t="shared" si="529"/>
        <v>TO</v>
      </c>
      <c r="C2534" t="str">
        <f t="shared" si="530"/>
        <v>KB</v>
      </c>
      <c r="D2534" t="s">
        <v>4802</v>
      </c>
      <c r="E2534" s="5">
        <v>3</v>
      </c>
      <c r="G2534" s="4" t="s">
        <v>5220</v>
      </c>
      <c r="H2534" s="306" t="s">
        <v>5186</v>
      </c>
      <c r="I2534" s="432" t="s">
        <v>5190</v>
      </c>
      <c r="K2534" t="s">
        <v>1434</v>
      </c>
      <c r="L2534" t="s">
        <v>669</v>
      </c>
      <c r="M2534" t="s">
        <v>2333</v>
      </c>
    </row>
    <row r="2535" spans="1:14">
      <c r="A2535" s="5">
        <v>2536</v>
      </c>
      <c r="B2535" t="str">
        <f t="shared" si="529"/>
        <v>TO</v>
      </c>
      <c r="C2535" t="str">
        <f t="shared" si="530"/>
        <v>KB</v>
      </c>
      <c r="D2535" t="s">
        <v>4802</v>
      </c>
      <c r="E2535" s="5">
        <v>3</v>
      </c>
      <c r="G2535" s="4" t="s">
        <v>5220</v>
      </c>
      <c r="H2535" s="306" t="s">
        <v>5187</v>
      </c>
      <c r="I2535" s="432" t="s">
        <v>5191</v>
      </c>
      <c r="K2535" t="s">
        <v>1434</v>
      </c>
      <c r="L2535" t="s">
        <v>669</v>
      </c>
      <c r="M2535" t="s">
        <v>2333</v>
      </c>
    </row>
    <row r="2536" spans="1:14">
      <c r="A2536" s="5">
        <v>2537</v>
      </c>
      <c r="B2536" t="str">
        <f t="shared" si="529"/>
        <v>TO</v>
      </c>
      <c r="C2536" t="str">
        <f t="shared" si="530"/>
        <v>KB</v>
      </c>
      <c r="D2536" t="s">
        <v>4802</v>
      </c>
      <c r="E2536" s="5">
        <v>3</v>
      </c>
      <c r="G2536" s="4" t="s">
        <v>5220</v>
      </c>
      <c r="H2536" s="306" t="s">
        <v>4684</v>
      </c>
      <c r="I2536" s="432" t="s">
        <v>4685</v>
      </c>
      <c r="K2536" t="s">
        <v>659</v>
      </c>
      <c r="L2536" t="s">
        <v>669</v>
      </c>
      <c r="M2536" t="s">
        <v>2333</v>
      </c>
    </row>
    <row r="2537" spans="1:14">
      <c r="A2537" s="5">
        <v>2538</v>
      </c>
      <c r="B2537" t="str">
        <f>MID(G2537,11,2)</f>
        <v>TO</v>
      </c>
      <c r="C2537" t="str">
        <f>MID(G2537,14,2)</f>
        <v>KB</v>
      </c>
      <c r="D2537" t="s">
        <v>4802</v>
      </c>
      <c r="E2537" s="5">
        <v>3</v>
      </c>
      <c r="G2537" s="4" t="s">
        <v>5231</v>
      </c>
      <c r="H2537" s="306" t="s">
        <v>1643</v>
      </c>
      <c r="I2537" s="432" t="s">
        <v>4679</v>
      </c>
      <c r="K2537" t="s">
        <v>659</v>
      </c>
      <c r="L2537" t="s">
        <v>669</v>
      </c>
      <c r="M2537" t="s">
        <v>2333</v>
      </c>
    </row>
    <row r="2538" spans="1:14">
      <c r="A2538" s="5">
        <v>2539</v>
      </c>
      <c r="B2538" t="str">
        <f t="shared" ref="B2538:B2542" si="531">MID(G2538,11,2)</f>
        <v>TO</v>
      </c>
      <c r="C2538" t="str">
        <f t="shared" ref="C2538:C2542" si="532">MID(G2538,14,2)</f>
        <v>KB</v>
      </c>
      <c r="D2538" t="s">
        <v>4802</v>
      </c>
      <c r="E2538" s="5">
        <v>3</v>
      </c>
      <c r="G2538" s="4" t="s">
        <v>5221</v>
      </c>
      <c r="H2538" s="306" t="s">
        <v>4736</v>
      </c>
      <c r="I2538" s="432" t="s">
        <v>4084</v>
      </c>
      <c r="K2538" t="s">
        <v>659</v>
      </c>
      <c r="L2538" t="s">
        <v>669</v>
      </c>
      <c r="M2538" t="s">
        <v>2333</v>
      </c>
    </row>
    <row r="2539" spans="1:14">
      <c r="A2539" s="5">
        <v>2540</v>
      </c>
      <c r="B2539" t="str">
        <f t="shared" si="531"/>
        <v>TO</v>
      </c>
      <c r="C2539" t="str">
        <f t="shared" si="532"/>
        <v>KB</v>
      </c>
      <c r="D2539" t="s">
        <v>4802</v>
      </c>
      <c r="E2539" s="5">
        <v>3</v>
      </c>
      <c r="G2539" s="4" t="s">
        <v>5221</v>
      </c>
      <c r="H2539" s="306" t="s">
        <v>1869</v>
      </c>
      <c r="I2539" s="432" t="s">
        <v>2281</v>
      </c>
      <c r="K2539" t="s">
        <v>659</v>
      </c>
      <c r="L2539" t="s">
        <v>669</v>
      </c>
      <c r="M2539" t="s">
        <v>2333</v>
      </c>
    </row>
    <row r="2540" spans="1:14">
      <c r="A2540" s="5">
        <v>2541</v>
      </c>
      <c r="B2540" t="str">
        <f t="shared" si="531"/>
        <v>TO</v>
      </c>
      <c r="C2540" t="str">
        <f t="shared" si="532"/>
        <v>KB</v>
      </c>
      <c r="D2540" t="s">
        <v>4802</v>
      </c>
      <c r="E2540" s="5">
        <v>3</v>
      </c>
      <c r="G2540" s="4" t="s">
        <v>5221</v>
      </c>
      <c r="H2540" s="306" t="s">
        <v>4680</v>
      </c>
      <c r="I2540" s="432" t="s">
        <v>4681</v>
      </c>
      <c r="K2540" t="s">
        <v>1434</v>
      </c>
      <c r="L2540" t="s">
        <v>669</v>
      </c>
      <c r="M2540" t="s">
        <v>2333</v>
      </c>
    </row>
    <row r="2541" spans="1:14">
      <c r="A2541" s="5">
        <v>2542</v>
      </c>
      <c r="B2541" t="str">
        <f t="shared" si="531"/>
        <v>TO</v>
      </c>
      <c r="C2541" t="str">
        <f t="shared" si="532"/>
        <v>KB</v>
      </c>
      <c r="D2541" t="s">
        <v>4802</v>
      </c>
      <c r="E2541" s="5">
        <v>3</v>
      </c>
      <c r="G2541" s="4" t="s">
        <v>5221</v>
      </c>
      <c r="H2541" s="306" t="s">
        <v>4682</v>
      </c>
      <c r="I2541" s="432" t="s">
        <v>4683</v>
      </c>
      <c r="K2541" t="s">
        <v>1434</v>
      </c>
      <c r="L2541" t="s">
        <v>669</v>
      </c>
      <c r="M2541" t="s">
        <v>2333</v>
      </c>
    </row>
    <row r="2542" spans="1:14">
      <c r="A2542" s="5">
        <v>2543</v>
      </c>
      <c r="B2542" t="str">
        <f t="shared" si="531"/>
        <v>TO</v>
      </c>
      <c r="C2542" t="str">
        <f t="shared" si="532"/>
        <v>KB</v>
      </c>
      <c r="D2542" t="s">
        <v>4802</v>
      </c>
      <c r="E2542" s="5">
        <v>3</v>
      </c>
      <c r="G2542" s="4" t="s">
        <v>5221</v>
      </c>
      <c r="H2542" s="306" t="s">
        <v>4686</v>
      </c>
      <c r="I2542" s="432" t="s">
        <v>4687</v>
      </c>
      <c r="K2542" t="s">
        <v>1434</v>
      </c>
      <c r="L2542" t="s">
        <v>3224</v>
      </c>
      <c r="M2542" t="s">
        <v>2392</v>
      </c>
      <c r="N2542" t="s">
        <v>2140</v>
      </c>
    </row>
    <row r="2543" spans="1:14">
      <c r="A2543" s="5">
        <v>2544</v>
      </c>
      <c r="B2543" t="str">
        <f t="shared" ref="B2543:B2545" si="533">MID(G2543,11,2)</f>
        <v>TO</v>
      </c>
      <c r="C2543" t="str">
        <f t="shared" ref="C2543:C2545" si="534">MID(G2543,14,2)</f>
        <v>KB</v>
      </c>
      <c r="D2543" t="s">
        <v>4802</v>
      </c>
      <c r="E2543" s="5">
        <v>3</v>
      </c>
      <c r="G2543" s="4" t="s">
        <v>5222</v>
      </c>
      <c r="H2543" s="306" t="s">
        <v>4688</v>
      </c>
      <c r="I2543" s="432" t="s">
        <v>2944</v>
      </c>
      <c r="K2543" t="s">
        <v>659</v>
      </c>
      <c r="L2543" t="s">
        <v>669</v>
      </c>
      <c r="M2543" t="s">
        <v>2333</v>
      </c>
    </row>
    <row r="2544" spans="1:14">
      <c r="A2544" s="5">
        <v>2545</v>
      </c>
      <c r="B2544" t="str">
        <f t="shared" si="533"/>
        <v>TO</v>
      </c>
      <c r="C2544" t="str">
        <f t="shared" si="534"/>
        <v>KB</v>
      </c>
      <c r="D2544" t="s">
        <v>4802</v>
      </c>
      <c r="E2544" s="5">
        <v>3</v>
      </c>
      <c r="G2544" s="4" t="s">
        <v>5222</v>
      </c>
      <c r="H2544" s="306" t="s">
        <v>1221</v>
      </c>
      <c r="I2544" s="432" t="s">
        <v>5229</v>
      </c>
      <c r="K2544" t="s">
        <v>659</v>
      </c>
      <c r="L2544" t="s">
        <v>669</v>
      </c>
      <c r="M2544" t="s">
        <v>2333</v>
      </c>
    </row>
    <row r="2545" spans="1:15">
      <c r="A2545" s="5">
        <v>2546</v>
      </c>
      <c r="B2545" t="str">
        <f t="shared" si="533"/>
        <v>TO</v>
      </c>
      <c r="C2545" t="str">
        <f t="shared" si="534"/>
        <v>KB</v>
      </c>
      <c r="D2545" t="s">
        <v>4802</v>
      </c>
      <c r="E2545" s="5">
        <v>3</v>
      </c>
      <c r="G2545" s="4" t="s">
        <v>5222</v>
      </c>
      <c r="H2545" s="306" t="s">
        <v>4689</v>
      </c>
      <c r="I2545" s="432" t="s">
        <v>5228</v>
      </c>
      <c r="K2545" t="s">
        <v>1434</v>
      </c>
      <c r="L2545" t="s">
        <v>669</v>
      </c>
      <c r="M2545" t="s">
        <v>2333</v>
      </c>
    </row>
    <row r="2546" spans="1:15">
      <c r="A2546" s="5">
        <v>2547</v>
      </c>
      <c r="B2546" t="str">
        <f>MID(G2546,11,2)</f>
        <v>TO</v>
      </c>
      <c r="C2546" t="str">
        <f>MID(G2546,14,2)</f>
        <v>KB</v>
      </c>
      <c r="D2546" t="s">
        <v>4802</v>
      </c>
      <c r="E2546" s="5">
        <v>2</v>
      </c>
      <c r="F2546" t="s">
        <v>3843</v>
      </c>
      <c r="G2546" s="4" t="s">
        <v>5276</v>
      </c>
      <c r="H2546" s="306" t="s">
        <v>5272</v>
      </c>
      <c r="I2546" s="432" t="s">
        <v>5271</v>
      </c>
      <c r="K2546" t="s">
        <v>1434</v>
      </c>
      <c r="L2546" t="s">
        <v>669</v>
      </c>
      <c r="M2546" t="s">
        <v>2333</v>
      </c>
      <c r="N2546" t="s">
        <v>5286</v>
      </c>
    </row>
    <row r="2547" spans="1:15">
      <c r="A2547" s="5">
        <v>2548</v>
      </c>
      <c r="B2547" t="str">
        <f t="shared" ref="B2547" si="535">MID(G2547,11,2)</f>
        <v>TO</v>
      </c>
      <c r="C2547" t="str">
        <f t="shared" ref="C2547" si="536">MID(G2547,14,2)</f>
        <v>KB</v>
      </c>
      <c r="D2547" t="s">
        <v>4802</v>
      </c>
      <c r="E2547" s="5">
        <v>2</v>
      </c>
      <c r="F2547" t="s">
        <v>3843</v>
      </c>
      <c r="G2547" s="4" t="s">
        <v>5277</v>
      </c>
      <c r="H2547" s="306" t="s">
        <v>2815</v>
      </c>
      <c r="I2547" s="432" t="s">
        <v>2816</v>
      </c>
      <c r="K2547" t="s">
        <v>659</v>
      </c>
      <c r="L2547" t="s">
        <v>669</v>
      </c>
      <c r="M2547" t="s">
        <v>2333</v>
      </c>
      <c r="N2547" t="s">
        <v>5300</v>
      </c>
    </row>
    <row r="2548" spans="1:15" ht="36">
      <c r="A2548" s="5">
        <v>2549</v>
      </c>
      <c r="B2548" t="str">
        <f t="shared" ref="B2548:B2553" si="537">MID(G2548,11,2)</f>
        <v>TO</v>
      </c>
      <c r="C2548" t="str">
        <f t="shared" ref="C2548:C2553" si="538">MID(G2548,14,2)</f>
        <v>KB</v>
      </c>
      <c r="D2548" t="s">
        <v>4802</v>
      </c>
      <c r="E2548" s="5">
        <v>2</v>
      </c>
      <c r="F2548" t="s">
        <v>3843</v>
      </c>
      <c r="G2548" s="4" t="s">
        <v>5280</v>
      </c>
      <c r="H2548" s="306" t="s">
        <v>4102</v>
      </c>
      <c r="I2548" s="432" t="s">
        <v>4103</v>
      </c>
      <c r="K2548" t="s">
        <v>659</v>
      </c>
      <c r="L2548" t="s">
        <v>669</v>
      </c>
      <c r="M2548" t="s">
        <v>2333</v>
      </c>
      <c r="N2548" t="s">
        <v>5677</v>
      </c>
      <c r="O2548" s="4" t="s">
        <v>4672</v>
      </c>
    </row>
    <row r="2549" spans="1:15">
      <c r="A2549" s="5">
        <v>2550</v>
      </c>
      <c r="B2549" t="str">
        <f t="shared" ref="B2549" si="539">MID(G2549,11,2)</f>
        <v>TO</v>
      </c>
      <c r="C2549" t="str">
        <f t="shared" ref="C2549" si="540">MID(G2549,14,2)</f>
        <v>KB</v>
      </c>
      <c r="D2549" t="s">
        <v>4802</v>
      </c>
      <c r="E2549" s="5">
        <v>2</v>
      </c>
      <c r="F2549" t="s">
        <v>3843</v>
      </c>
      <c r="G2549" s="4" t="s">
        <v>5280</v>
      </c>
      <c r="H2549" s="306" t="s">
        <v>5275</v>
      </c>
      <c r="I2549" s="432" t="s">
        <v>5270</v>
      </c>
      <c r="K2549" t="s">
        <v>1434</v>
      </c>
      <c r="L2549" t="s">
        <v>669</v>
      </c>
      <c r="M2549" t="s">
        <v>2333</v>
      </c>
      <c r="N2549" t="s">
        <v>5299</v>
      </c>
    </row>
    <row r="2550" spans="1:15" ht="36">
      <c r="A2550" s="5">
        <v>2551</v>
      </c>
      <c r="B2550" t="str">
        <f>MID(G2550,11,2)</f>
        <v>TO</v>
      </c>
      <c r="C2550" t="str">
        <f>MID(G2550,14,2)</f>
        <v>KB</v>
      </c>
      <c r="D2550" t="s">
        <v>4802</v>
      </c>
      <c r="E2550" s="5">
        <v>1</v>
      </c>
      <c r="F2550" t="s">
        <v>2766</v>
      </c>
      <c r="G2550" s="4" t="s">
        <v>5279</v>
      </c>
      <c r="H2550" s="306" t="s">
        <v>520</v>
      </c>
      <c r="I2550" s="432" t="s">
        <v>5274</v>
      </c>
      <c r="K2550" t="s">
        <v>659</v>
      </c>
      <c r="L2550" t="s">
        <v>669</v>
      </c>
      <c r="M2550" t="s">
        <v>2333</v>
      </c>
      <c r="N2550" t="s">
        <v>5273</v>
      </c>
    </row>
    <row r="2551" spans="1:15" ht="36">
      <c r="A2551" s="5">
        <v>2552</v>
      </c>
      <c r="B2551" t="str">
        <f t="shared" ref="B2551" si="541">MID(G2551,11,2)</f>
        <v>TO</v>
      </c>
      <c r="C2551" t="str">
        <f t="shared" ref="C2551" si="542">MID(G2551,14,2)</f>
        <v>Mo</v>
      </c>
      <c r="D2551" t="s">
        <v>4802</v>
      </c>
      <c r="E2551" s="5">
        <v>2</v>
      </c>
      <c r="G2551" s="4" t="s">
        <v>5208</v>
      </c>
      <c r="H2551" s="306" t="s">
        <v>5209</v>
      </c>
      <c r="I2551" s="438"/>
      <c r="K2551" t="s">
        <v>2841</v>
      </c>
      <c r="L2551" t="s">
        <v>3224</v>
      </c>
      <c r="M2551"/>
    </row>
    <row r="2552" spans="1:15">
      <c r="A2552" s="5">
        <v>2553</v>
      </c>
      <c r="B2552" t="str">
        <f t="shared" si="537"/>
        <v>TO</v>
      </c>
      <c r="C2552" t="str">
        <f t="shared" si="538"/>
        <v>KB</v>
      </c>
      <c r="D2552" t="s">
        <v>4802</v>
      </c>
      <c r="E2552" s="5">
        <v>1</v>
      </c>
      <c r="F2552" t="s">
        <v>2766</v>
      </c>
      <c r="G2552" s="4" t="s">
        <v>5284</v>
      </c>
      <c r="H2552" s="306" t="s">
        <v>5282</v>
      </c>
      <c r="I2552" s="438" t="s">
        <v>5283</v>
      </c>
      <c r="K2552" t="s">
        <v>659</v>
      </c>
      <c r="L2552" t="s">
        <v>669</v>
      </c>
      <c r="M2552" t="s">
        <v>2333</v>
      </c>
      <c r="N2552" t="s">
        <v>5285</v>
      </c>
    </row>
    <row r="2553" spans="1:15">
      <c r="A2553" s="5">
        <v>2554</v>
      </c>
      <c r="B2553" t="str">
        <f t="shared" si="537"/>
        <v>TO</v>
      </c>
      <c r="C2553" t="str">
        <f t="shared" si="538"/>
        <v>KB</v>
      </c>
      <c r="D2553" t="s">
        <v>4802</v>
      </c>
      <c r="E2553" s="5">
        <v>2</v>
      </c>
      <c r="F2553" t="s">
        <v>3843</v>
      </c>
      <c r="G2553" s="4" t="s">
        <v>5293</v>
      </c>
      <c r="H2553" s="306" t="s">
        <v>5287</v>
      </c>
      <c r="I2553" s="432" t="s">
        <v>5288</v>
      </c>
      <c r="K2553" t="s">
        <v>659</v>
      </c>
      <c r="L2553" t="s">
        <v>669</v>
      </c>
      <c r="M2553" t="s">
        <v>2333</v>
      </c>
    </row>
    <row r="2554" spans="1:15">
      <c r="A2554" s="5">
        <v>2555</v>
      </c>
      <c r="B2554" t="str">
        <f t="shared" ref="B2554:B2555" si="543">MID(G2554,11,2)</f>
        <v>TO</v>
      </c>
      <c r="C2554" t="str">
        <f t="shared" ref="C2554:C2555" si="544">MID(G2554,14,2)</f>
        <v>KB</v>
      </c>
      <c r="D2554" t="s">
        <v>4802</v>
      </c>
      <c r="E2554" s="5">
        <v>2</v>
      </c>
      <c r="F2554" t="s">
        <v>3843</v>
      </c>
      <c r="G2554" s="4" t="s">
        <v>5293</v>
      </c>
      <c r="H2554" s="306" t="s">
        <v>5289</v>
      </c>
      <c r="I2554" s="432" t="s">
        <v>5290</v>
      </c>
      <c r="K2554" t="s">
        <v>1434</v>
      </c>
      <c r="L2554" t="s">
        <v>669</v>
      </c>
      <c r="M2554" t="s">
        <v>2333</v>
      </c>
    </row>
    <row r="2555" spans="1:15">
      <c r="A2555" s="5">
        <v>2556</v>
      </c>
      <c r="B2555" t="str">
        <f t="shared" si="543"/>
        <v>TO</v>
      </c>
      <c r="C2555" t="str">
        <f t="shared" si="544"/>
        <v>KB</v>
      </c>
      <c r="D2555" t="s">
        <v>4802</v>
      </c>
      <c r="E2555" s="5">
        <v>2</v>
      </c>
      <c r="F2555" t="s">
        <v>3843</v>
      </c>
      <c r="G2555" s="4" t="s">
        <v>5293</v>
      </c>
      <c r="H2555" s="306" t="s">
        <v>5291</v>
      </c>
      <c r="I2555" s="438" t="s">
        <v>3041</v>
      </c>
      <c r="K2555" t="s">
        <v>659</v>
      </c>
      <c r="L2555" t="s">
        <v>3224</v>
      </c>
      <c r="M2555"/>
    </row>
    <row r="2556" spans="1:15" ht="36">
      <c r="A2556" s="5">
        <v>2557</v>
      </c>
      <c r="B2556" t="str">
        <f t="shared" ref="B2556" si="545">MID(G2556,11,2)</f>
        <v>TO</v>
      </c>
      <c r="C2556" t="str">
        <f t="shared" ref="C2556" si="546">MID(G2556,14,2)</f>
        <v>KB</v>
      </c>
      <c r="D2556" t="s">
        <v>4802</v>
      </c>
      <c r="E2556" s="5">
        <v>2</v>
      </c>
      <c r="F2556" t="s">
        <v>3843</v>
      </c>
      <c r="G2556" s="4" t="s">
        <v>5303</v>
      </c>
      <c r="H2556" s="306" t="s">
        <v>569</v>
      </c>
      <c r="I2556" s="438" t="s">
        <v>3535</v>
      </c>
      <c r="K2556" t="s">
        <v>659</v>
      </c>
      <c r="L2556" t="s">
        <v>669</v>
      </c>
      <c r="M2556" t="s">
        <v>2333</v>
      </c>
    </row>
    <row r="2557" spans="1:15" ht="36">
      <c r="A2557" s="5">
        <v>2558</v>
      </c>
      <c r="B2557" t="str">
        <f t="shared" ref="B2557" si="547">MID(G2557,11,2)</f>
        <v>TO</v>
      </c>
      <c r="C2557" t="str">
        <f t="shared" ref="C2557" si="548">MID(G2557,14,2)</f>
        <v>KB</v>
      </c>
      <c r="D2557" t="s">
        <v>4802</v>
      </c>
      <c r="E2557" s="5">
        <v>1</v>
      </c>
      <c r="F2557" t="s">
        <v>4452</v>
      </c>
      <c r="G2557" s="4" t="s">
        <v>5302</v>
      </c>
      <c r="H2557" s="306" t="s">
        <v>5294</v>
      </c>
      <c r="I2557" s="432" t="s">
        <v>5297</v>
      </c>
      <c r="K2557" t="s">
        <v>1434</v>
      </c>
      <c r="L2557" t="s">
        <v>669</v>
      </c>
      <c r="M2557" t="s">
        <v>2333</v>
      </c>
      <c r="N2557" t="s">
        <v>5298</v>
      </c>
      <c r="O2557" s="397" t="s">
        <v>5308</v>
      </c>
    </row>
    <row r="2558" spans="1:15" ht="36">
      <c r="A2558" s="5">
        <v>2559</v>
      </c>
      <c r="B2558" t="str">
        <f t="shared" ref="B2558" si="549">MID(G2558,11,2)</f>
        <v>TO</v>
      </c>
      <c r="C2558" t="str">
        <f t="shared" ref="C2558" si="550">MID(G2558,14,2)</f>
        <v>KB</v>
      </c>
      <c r="D2558" t="s">
        <v>4802</v>
      </c>
      <c r="E2558" s="5">
        <v>1</v>
      </c>
      <c r="F2558" t="s">
        <v>3843</v>
      </c>
      <c r="G2558" s="4" t="s">
        <v>5302</v>
      </c>
      <c r="H2558" s="306" t="s">
        <v>5295</v>
      </c>
      <c r="I2558" s="432" t="s">
        <v>5296</v>
      </c>
      <c r="K2558" t="s">
        <v>659</v>
      </c>
      <c r="L2558" t="s">
        <v>669</v>
      </c>
      <c r="M2558" t="s">
        <v>2333</v>
      </c>
    </row>
    <row r="2559" spans="1:15">
      <c r="A2559" s="5">
        <v>2560</v>
      </c>
      <c r="B2559" t="s">
        <v>114</v>
      </c>
      <c r="C2559" t="s">
        <v>112</v>
      </c>
      <c r="D2559" t="s">
        <v>4844</v>
      </c>
      <c r="E2559" s="5">
        <v>1</v>
      </c>
      <c r="F2559" t="s">
        <v>4464</v>
      </c>
      <c r="G2559" s="306" t="s">
        <v>5310</v>
      </c>
      <c r="H2559" s="306" t="s">
        <v>5313</v>
      </c>
      <c r="I2559" s="432" t="s">
        <v>5312</v>
      </c>
      <c r="K2559" t="s">
        <v>1434</v>
      </c>
      <c r="L2559" t="s">
        <v>669</v>
      </c>
      <c r="M2559" t="s">
        <v>3733</v>
      </c>
    </row>
    <row r="2560" spans="1:15">
      <c r="A2560" s="5">
        <v>2561</v>
      </c>
      <c r="B2560" t="s">
        <v>114</v>
      </c>
      <c r="C2560" t="s">
        <v>112</v>
      </c>
      <c r="D2560" t="s">
        <v>4844</v>
      </c>
      <c r="E2560" s="5">
        <v>1</v>
      </c>
      <c r="F2560" t="s">
        <v>4464</v>
      </c>
      <c r="G2560" s="4" t="s">
        <v>5311</v>
      </c>
      <c r="H2560" s="306" t="s">
        <v>5313</v>
      </c>
      <c r="I2560" s="432" t="s">
        <v>5312</v>
      </c>
      <c r="K2560" t="s">
        <v>659</v>
      </c>
      <c r="L2560" t="s">
        <v>669</v>
      </c>
      <c r="M2560" t="s">
        <v>2333</v>
      </c>
    </row>
    <row r="2561" spans="1:14">
      <c r="A2561" s="5">
        <v>2562</v>
      </c>
      <c r="B2561" t="str">
        <f t="shared" ref="B2561:B2609" si="551">MID(G2561,11,2)</f>
        <v>TO</v>
      </c>
      <c r="C2561" t="str">
        <f t="shared" ref="C2561:C2620" si="552">MID(G2561,14,2)</f>
        <v>KB</v>
      </c>
      <c r="D2561" t="s">
        <v>4844</v>
      </c>
      <c r="E2561" s="5">
        <v>3</v>
      </c>
      <c r="G2561" s="4" t="s">
        <v>5339</v>
      </c>
      <c r="H2561" s="306" t="s">
        <v>5323</v>
      </c>
      <c r="I2561" s="432" t="s">
        <v>3636</v>
      </c>
      <c r="K2561" t="s">
        <v>1434</v>
      </c>
      <c r="L2561" t="s">
        <v>669</v>
      </c>
      <c r="M2561" t="s">
        <v>2333</v>
      </c>
    </row>
    <row r="2562" spans="1:14">
      <c r="A2562" s="5">
        <v>2563</v>
      </c>
      <c r="B2562" t="str">
        <f t="shared" si="551"/>
        <v>TO</v>
      </c>
      <c r="C2562" t="str">
        <f t="shared" si="552"/>
        <v>KB</v>
      </c>
      <c r="D2562" t="s">
        <v>4844</v>
      </c>
      <c r="E2562" s="5">
        <v>3</v>
      </c>
      <c r="G2562" s="4" t="s">
        <v>5405</v>
      </c>
      <c r="H2562" s="306" t="s">
        <v>5320</v>
      </c>
      <c r="I2562" s="438" t="s">
        <v>3535</v>
      </c>
      <c r="K2562" t="s">
        <v>1434</v>
      </c>
      <c r="L2562" t="s">
        <v>669</v>
      </c>
      <c r="M2562" t="s">
        <v>2333</v>
      </c>
    </row>
    <row r="2563" spans="1:14">
      <c r="A2563" s="5">
        <v>2564</v>
      </c>
      <c r="B2563" t="str">
        <f t="shared" si="551"/>
        <v>TO</v>
      </c>
      <c r="C2563" t="str">
        <f t="shared" si="552"/>
        <v>KB</v>
      </c>
      <c r="D2563" t="s">
        <v>4844</v>
      </c>
      <c r="E2563" s="5">
        <v>3</v>
      </c>
      <c r="G2563" s="4" t="s">
        <v>5339</v>
      </c>
      <c r="H2563" s="306" t="s">
        <v>5317</v>
      </c>
      <c r="I2563" s="438" t="s">
        <v>4558</v>
      </c>
      <c r="K2563" t="s">
        <v>659</v>
      </c>
      <c r="L2563" t="s">
        <v>669</v>
      </c>
      <c r="M2563" t="s">
        <v>2333</v>
      </c>
    </row>
    <row r="2564" spans="1:14">
      <c r="A2564" s="5">
        <v>2565</v>
      </c>
      <c r="B2564" t="str">
        <f t="shared" si="551"/>
        <v>TO</v>
      </c>
      <c r="C2564" t="str">
        <f t="shared" si="552"/>
        <v>KB</v>
      </c>
      <c r="D2564" t="s">
        <v>4844</v>
      </c>
      <c r="E2564" s="5">
        <v>3</v>
      </c>
      <c r="G2564" s="4" t="s">
        <v>5339</v>
      </c>
      <c r="H2564" s="306" t="s">
        <v>3582</v>
      </c>
      <c r="I2564" s="432" t="s">
        <v>3583</v>
      </c>
      <c r="K2564" t="s">
        <v>1434</v>
      </c>
      <c r="L2564" t="s">
        <v>3224</v>
      </c>
    </row>
    <row r="2565" spans="1:14">
      <c r="A2565" s="5">
        <v>2566</v>
      </c>
      <c r="B2565" t="str">
        <f t="shared" si="551"/>
        <v>TO</v>
      </c>
      <c r="C2565" t="str">
        <f t="shared" si="552"/>
        <v>KB</v>
      </c>
      <c r="D2565" t="s">
        <v>4844</v>
      </c>
      <c r="E2565" s="5">
        <v>3</v>
      </c>
      <c r="G2565" s="4" t="s">
        <v>5339</v>
      </c>
      <c r="H2565" s="306" t="s">
        <v>257</v>
      </c>
      <c r="I2565" s="438" t="s">
        <v>5314</v>
      </c>
      <c r="K2565" t="s">
        <v>659</v>
      </c>
      <c r="L2565" t="s">
        <v>3224</v>
      </c>
      <c r="M2565"/>
    </row>
    <row r="2566" spans="1:14">
      <c r="A2566" s="5">
        <v>2567</v>
      </c>
      <c r="B2566" t="str">
        <f t="shared" si="551"/>
        <v>TO</v>
      </c>
      <c r="C2566" t="str">
        <f t="shared" si="552"/>
        <v>KB</v>
      </c>
      <c r="D2566" t="s">
        <v>4844</v>
      </c>
      <c r="E2566" s="5">
        <v>3</v>
      </c>
      <c r="G2566" s="4" t="s">
        <v>5340</v>
      </c>
      <c r="H2566" s="306" t="s">
        <v>5304</v>
      </c>
      <c r="I2566" s="438" t="s">
        <v>5307</v>
      </c>
      <c r="K2566" t="s">
        <v>659</v>
      </c>
      <c r="L2566" t="s">
        <v>669</v>
      </c>
      <c r="M2566" t="s">
        <v>2333</v>
      </c>
    </row>
    <row r="2567" spans="1:14">
      <c r="A2567" s="5">
        <v>2568</v>
      </c>
      <c r="B2567" t="str">
        <f t="shared" si="551"/>
        <v>TO</v>
      </c>
      <c r="C2567" t="str">
        <f t="shared" si="552"/>
        <v>KB</v>
      </c>
      <c r="D2567" t="s">
        <v>4844</v>
      </c>
      <c r="E2567" s="5">
        <v>3</v>
      </c>
      <c r="G2567" s="4" t="s">
        <v>5340</v>
      </c>
      <c r="H2567" s="306" t="s">
        <v>5305</v>
      </c>
      <c r="I2567" s="432" t="s">
        <v>5306</v>
      </c>
      <c r="K2567" t="s">
        <v>1434</v>
      </c>
      <c r="L2567" t="s">
        <v>669</v>
      </c>
      <c r="M2567" t="s">
        <v>2333</v>
      </c>
    </row>
    <row r="2568" spans="1:14">
      <c r="A2568" s="5">
        <v>2569</v>
      </c>
      <c r="B2568" t="str">
        <f t="shared" si="551"/>
        <v>TO</v>
      </c>
      <c r="C2568" t="str">
        <f t="shared" si="552"/>
        <v>KB</v>
      </c>
      <c r="D2568" t="s">
        <v>4844</v>
      </c>
      <c r="E2568" s="5">
        <v>3</v>
      </c>
      <c r="G2568" s="4" t="s">
        <v>5340</v>
      </c>
      <c r="H2568" s="306" t="s">
        <v>4609</v>
      </c>
      <c r="I2568" s="432" t="s">
        <v>4610</v>
      </c>
      <c r="K2568" t="s">
        <v>659</v>
      </c>
      <c r="L2568" t="s">
        <v>669</v>
      </c>
      <c r="M2568" t="s">
        <v>2333</v>
      </c>
      <c r="N2568" s="397"/>
    </row>
    <row r="2569" spans="1:14">
      <c r="A2569" s="5">
        <v>2570</v>
      </c>
      <c r="B2569" t="str">
        <f t="shared" si="551"/>
        <v>TO</v>
      </c>
      <c r="C2569" t="str">
        <f t="shared" si="552"/>
        <v>KB</v>
      </c>
      <c r="D2569" t="s">
        <v>4844</v>
      </c>
      <c r="E2569" s="5">
        <v>3</v>
      </c>
      <c r="G2569" s="4" t="s">
        <v>5340</v>
      </c>
      <c r="H2569" s="306" t="s">
        <v>5329</v>
      </c>
      <c r="I2569" s="432" t="s">
        <v>4307</v>
      </c>
      <c r="K2569" t="s">
        <v>1434</v>
      </c>
      <c r="L2569" t="s">
        <v>669</v>
      </c>
      <c r="M2569" t="s">
        <v>2333</v>
      </c>
      <c r="N2569" s="397"/>
    </row>
    <row r="2570" spans="1:14">
      <c r="A2570" s="5">
        <v>2571</v>
      </c>
      <c r="B2570" t="str">
        <f t="shared" si="551"/>
        <v>TO</v>
      </c>
      <c r="C2570" t="str">
        <f t="shared" si="552"/>
        <v>KB</v>
      </c>
      <c r="D2570" t="s">
        <v>4844</v>
      </c>
      <c r="E2570" s="5">
        <v>3</v>
      </c>
      <c r="G2570" s="4" t="s">
        <v>5340</v>
      </c>
      <c r="H2570" s="306" t="s">
        <v>5333</v>
      </c>
      <c r="I2570" s="432" t="s">
        <v>4400</v>
      </c>
      <c r="K2570" t="s">
        <v>1434</v>
      </c>
      <c r="L2570" t="s">
        <v>669</v>
      </c>
      <c r="M2570" t="s">
        <v>2333</v>
      </c>
    </row>
    <row r="2571" spans="1:14">
      <c r="A2571" s="5">
        <v>2572</v>
      </c>
      <c r="B2571" t="str">
        <f t="shared" si="551"/>
        <v>TO</v>
      </c>
      <c r="C2571" t="str">
        <f t="shared" si="552"/>
        <v>KB</v>
      </c>
      <c r="D2571" t="s">
        <v>4844</v>
      </c>
      <c r="E2571" s="5">
        <v>3</v>
      </c>
      <c r="G2571" s="4" t="s">
        <v>5341</v>
      </c>
      <c r="H2571" s="306" t="s">
        <v>5688</v>
      </c>
      <c r="I2571" s="432" t="s">
        <v>4105</v>
      </c>
      <c r="K2571" t="s">
        <v>1434</v>
      </c>
      <c r="L2571" t="s">
        <v>669</v>
      </c>
      <c r="M2571" t="s">
        <v>2102</v>
      </c>
      <c r="N2571" s="397"/>
    </row>
    <row r="2572" spans="1:14">
      <c r="A2572" s="5">
        <v>2573</v>
      </c>
      <c r="B2572" t="str">
        <f>MID(G2572,11,2)</f>
        <v>TO</v>
      </c>
      <c r="C2572" t="str">
        <f>MID(G2572,14,2)</f>
        <v>KB</v>
      </c>
      <c r="D2572" t="s">
        <v>4844</v>
      </c>
      <c r="E2572" s="5">
        <v>3</v>
      </c>
      <c r="G2572" s="4" t="s">
        <v>5341</v>
      </c>
      <c r="H2572" s="306" t="s">
        <v>4557</v>
      </c>
      <c r="I2572" s="432" t="s">
        <v>5318</v>
      </c>
      <c r="K2572" t="s">
        <v>659</v>
      </c>
      <c r="L2572" t="s">
        <v>669</v>
      </c>
      <c r="M2572" t="s">
        <v>2102</v>
      </c>
    </row>
    <row r="2573" spans="1:14">
      <c r="A2573" s="5">
        <v>2574</v>
      </c>
      <c r="B2573" t="str">
        <f t="shared" si="551"/>
        <v>TO</v>
      </c>
      <c r="C2573" t="str">
        <f t="shared" si="552"/>
        <v>KB</v>
      </c>
      <c r="D2573" t="s">
        <v>4844</v>
      </c>
      <c r="E2573" s="5">
        <v>3</v>
      </c>
      <c r="G2573" s="4" t="s">
        <v>5341</v>
      </c>
      <c r="H2573" s="306" t="s">
        <v>5344</v>
      </c>
      <c r="I2573" s="432" t="s">
        <v>5345</v>
      </c>
      <c r="K2573" t="s">
        <v>659</v>
      </c>
      <c r="L2573" t="s">
        <v>669</v>
      </c>
      <c r="M2573" t="s">
        <v>2102</v>
      </c>
    </row>
    <row r="2574" spans="1:14">
      <c r="A2574" s="5">
        <v>2575</v>
      </c>
      <c r="B2574" t="str">
        <f t="shared" ref="B2574:B2580" si="553">MID(G2574,11,2)</f>
        <v>TO</v>
      </c>
      <c r="C2574" t="str">
        <f t="shared" ref="C2574:C2580" si="554">MID(G2574,14,2)</f>
        <v>KB</v>
      </c>
      <c r="D2574" t="s">
        <v>4844</v>
      </c>
      <c r="E2574" s="5">
        <v>3</v>
      </c>
      <c r="G2574" s="4" t="s">
        <v>5342</v>
      </c>
      <c r="H2574" s="306" t="s">
        <v>5239</v>
      </c>
      <c r="I2574" s="432" t="s">
        <v>5246</v>
      </c>
      <c r="K2574" t="s">
        <v>1434</v>
      </c>
      <c r="L2574" t="s">
        <v>669</v>
      </c>
      <c r="M2574" s="1" t="s">
        <v>2333</v>
      </c>
    </row>
    <row r="2575" spans="1:14">
      <c r="A2575" s="5">
        <v>2576</v>
      </c>
      <c r="B2575" t="str">
        <f t="shared" si="553"/>
        <v>TO</v>
      </c>
      <c r="C2575" t="str">
        <f t="shared" si="554"/>
        <v>KB</v>
      </c>
      <c r="D2575" t="s">
        <v>4844</v>
      </c>
      <c r="E2575" s="5">
        <v>3</v>
      </c>
      <c r="G2575" s="4" t="s">
        <v>5342</v>
      </c>
      <c r="H2575" s="306" t="s">
        <v>5240</v>
      </c>
      <c r="I2575" s="432" t="s">
        <v>5247</v>
      </c>
      <c r="K2575" t="s">
        <v>1434</v>
      </c>
      <c r="L2575" t="s">
        <v>669</v>
      </c>
      <c r="M2575" s="1" t="s">
        <v>2333</v>
      </c>
    </row>
    <row r="2576" spans="1:14">
      <c r="A2576" s="5">
        <v>2577</v>
      </c>
      <c r="B2576" t="str">
        <f t="shared" si="553"/>
        <v>TO</v>
      </c>
      <c r="C2576" t="str">
        <f t="shared" si="554"/>
        <v>KB</v>
      </c>
      <c r="D2576" t="s">
        <v>4844</v>
      </c>
      <c r="E2576" s="5">
        <v>3</v>
      </c>
      <c r="G2576" s="4" t="s">
        <v>5342</v>
      </c>
      <c r="H2576" s="306" t="s">
        <v>5691</v>
      </c>
      <c r="I2576" s="432" t="s">
        <v>5248</v>
      </c>
      <c r="K2576" t="s">
        <v>1434</v>
      </c>
      <c r="L2576" t="s">
        <v>669</v>
      </c>
      <c r="M2576" s="1" t="s">
        <v>2333</v>
      </c>
    </row>
    <row r="2577" spans="1:14" ht="36">
      <c r="A2577" s="5">
        <v>2578</v>
      </c>
      <c r="B2577" t="str">
        <f t="shared" si="553"/>
        <v>TO</v>
      </c>
      <c r="C2577" t="str">
        <f t="shared" si="554"/>
        <v>KB</v>
      </c>
      <c r="D2577" t="s">
        <v>4844</v>
      </c>
      <c r="E2577" s="5">
        <v>3</v>
      </c>
      <c r="G2577" s="4" t="s">
        <v>5342</v>
      </c>
      <c r="H2577" s="306" t="s">
        <v>5232</v>
      </c>
      <c r="I2577" s="432" t="s">
        <v>5346</v>
      </c>
      <c r="K2577" t="s">
        <v>659</v>
      </c>
      <c r="L2577" t="s">
        <v>2137</v>
      </c>
    </row>
    <row r="2578" spans="1:14">
      <c r="A2578" s="5">
        <v>2579</v>
      </c>
      <c r="B2578" t="str">
        <f t="shared" si="553"/>
        <v>TO</v>
      </c>
      <c r="C2578" t="str">
        <f t="shared" si="554"/>
        <v>KB</v>
      </c>
      <c r="D2578" t="s">
        <v>4844</v>
      </c>
      <c r="E2578" s="5">
        <v>3</v>
      </c>
      <c r="G2578" s="4" t="s">
        <v>5342</v>
      </c>
      <c r="H2578" s="306" t="s">
        <v>2267</v>
      </c>
      <c r="I2578" s="432" t="s">
        <v>5347</v>
      </c>
      <c r="K2578" t="s">
        <v>659</v>
      </c>
      <c r="L2578" t="s">
        <v>669</v>
      </c>
      <c r="M2578" s="1" t="s">
        <v>2333</v>
      </c>
    </row>
    <row r="2579" spans="1:14">
      <c r="A2579" s="5">
        <v>2580</v>
      </c>
      <c r="B2579" t="str">
        <f t="shared" si="553"/>
        <v>TO</v>
      </c>
      <c r="C2579" t="str">
        <f t="shared" si="554"/>
        <v>KB</v>
      </c>
      <c r="D2579" t="s">
        <v>4844</v>
      </c>
      <c r="E2579" s="5">
        <v>3</v>
      </c>
      <c r="G2579" s="4" t="s">
        <v>5343</v>
      </c>
      <c r="H2579" s="306" t="s">
        <v>373</v>
      </c>
      <c r="I2579" s="432" t="s">
        <v>2436</v>
      </c>
      <c r="K2579" t="s">
        <v>659</v>
      </c>
      <c r="L2579" t="s">
        <v>669</v>
      </c>
      <c r="M2579" s="1" t="s">
        <v>2333</v>
      </c>
    </row>
    <row r="2580" spans="1:14">
      <c r="A2580" s="5">
        <v>2581</v>
      </c>
      <c r="B2580" t="str">
        <f t="shared" si="553"/>
        <v>TO</v>
      </c>
      <c r="C2580" t="str">
        <f t="shared" si="554"/>
        <v>KB</v>
      </c>
      <c r="D2580" t="s">
        <v>4844</v>
      </c>
      <c r="E2580" s="5">
        <v>3</v>
      </c>
      <c r="G2580" s="4" t="s">
        <v>5343</v>
      </c>
      <c r="H2580" s="306" t="s">
        <v>5233</v>
      </c>
      <c r="I2580" s="432" t="s">
        <v>5348</v>
      </c>
      <c r="K2580" t="s">
        <v>1434</v>
      </c>
      <c r="L2580" t="s">
        <v>669</v>
      </c>
      <c r="M2580" s="1" t="s">
        <v>2333</v>
      </c>
    </row>
    <row r="2581" spans="1:14">
      <c r="A2581" s="5">
        <v>2582</v>
      </c>
      <c r="B2581" t="str">
        <f t="shared" ref="B2581" si="555">MID(G2581,11,2)</f>
        <v>TO</v>
      </c>
      <c r="C2581" t="str">
        <f t="shared" ref="C2581" si="556">MID(G2581,14,2)</f>
        <v>KB</v>
      </c>
      <c r="D2581" t="s">
        <v>4844</v>
      </c>
      <c r="E2581" s="5">
        <v>3</v>
      </c>
      <c r="G2581" s="4" t="s">
        <v>5343</v>
      </c>
      <c r="H2581" s="306" t="s">
        <v>5234</v>
      </c>
      <c r="I2581" s="432" t="s">
        <v>5349</v>
      </c>
      <c r="K2581" t="s">
        <v>659</v>
      </c>
      <c r="L2581" t="s">
        <v>669</v>
      </c>
      <c r="M2581" s="1" t="s">
        <v>2333</v>
      </c>
    </row>
    <row r="2582" spans="1:14">
      <c r="A2582" s="5">
        <v>2583</v>
      </c>
      <c r="B2582" t="str">
        <f t="shared" ref="B2582:B2592" si="557">MID(G2582,11,2)</f>
        <v>TO</v>
      </c>
      <c r="C2582" t="str">
        <f t="shared" ref="C2582:C2592" si="558">MID(G2582,14,2)</f>
        <v>KB</v>
      </c>
      <c r="D2582" t="s">
        <v>4844</v>
      </c>
      <c r="E2582" s="5">
        <v>3</v>
      </c>
      <c r="G2582" s="4" t="s">
        <v>5343</v>
      </c>
      <c r="H2582" s="306" t="s">
        <v>5350</v>
      </c>
      <c r="I2582" s="432" t="s">
        <v>5351</v>
      </c>
      <c r="K2582" t="s">
        <v>659</v>
      </c>
      <c r="L2582" t="s">
        <v>669</v>
      </c>
      <c r="M2582" s="1" t="s">
        <v>2333</v>
      </c>
    </row>
    <row r="2583" spans="1:14">
      <c r="A2583" s="5">
        <v>2584</v>
      </c>
      <c r="B2583" t="str">
        <f t="shared" si="557"/>
        <v>TO</v>
      </c>
      <c r="C2583" t="str">
        <f t="shared" si="558"/>
        <v>KB</v>
      </c>
      <c r="D2583" t="s">
        <v>4844</v>
      </c>
      <c r="E2583" s="5">
        <v>3</v>
      </c>
      <c r="G2583" s="4" t="s">
        <v>5343</v>
      </c>
      <c r="H2583" s="306" t="s">
        <v>5692</v>
      </c>
      <c r="I2583" s="432" t="s">
        <v>5352</v>
      </c>
      <c r="K2583" t="s">
        <v>1434</v>
      </c>
      <c r="L2583" t="s">
        <v>669</v>
      </c>
      <c r="M2583" s="1" t="s">
        <v>2333</v>
      </c>
    </row>
    <row r="2584" spans="1:14">
      <c r="A2584" s="5">
        <v>2585</v>
      </c>
      <c r="B2584" t="str">
        <f t="shared" si="557"/>
        <v>TO</v>
      </c>
      <c r="C2584" t="str">
        <f t="shared" si="558"/>
        <v>KB</v>
      </c>
      <c r="D2584" t="s">
        <v>4844</v>
      </c>
      <c r="E2584" s="5">
        <v>3</v>
      </c>
      <c r="G2584" s="4" t="s">
        <v>5353</v>
      </c>
      <c r="H2584" s="306" t="s">
        <v>5242</v>
      </c>
      <c r="I2584" s="432" t="s">
        <v>5250</v>
      </c>
      <c r="K2584" t="s">
        <v>1434</v>
      </c>
      <c r="L2584" t="s">
        <v>669</v>
      </c>
      <c r="M2584" s="1" t="s">
        <v>2333</v>
      </c>
    </row>
    <row r="2585" spans="1:14">
      <c r="A2585" s="5">
        <v>2586</v>
      </c>
      <c r="B2585" t="str">
        <f t="shared" si="557"/>
        <v>TO</v>
      </c>
      <c r="C2585" t="str">
        <f t="shared" si="558"/>
        <v>KB</v>
      </c>
      <c r="D2585" t="s">
        <v>4844</v>
      </c>
      <c r="E2585" s="5">
        <v>3</v>
      </c>
      <c r="G2585" s="4" t="s">
        <v>5353</v>
      </c>
      <c r="H2585" s="306" t="s">
        <v>1574</v>
      </c>
      <c r="I2585" s="432" t="s">
        <v>5251</v>
      </c>
      <c r="K2585" t="s">
        <v>659</v>
      </c>
      <c r="L2585" t="s">
        <v>669</v>
      </c>
      <c r="M2585" s="1" t="s">
        <v>5775</v>
      </c>
      <c r="N2585" t="s">
        <v>2073</v>
      </c>
    </row>
    <row r="2586" spans="1:14">
      <c r="A2586" s="5">
        <v>2587</v>
      </c>
      <c r="B2586" t="str">
        <f t="shared" si="557"/>
        <v>TO</v>
      </c>
      <c r="C2586" t="str">
        <f t="shared" si="558"/>
        <v>KB</v>
      </c>
      <c r="D2586" t="s">
        <v>4844</v>
      </c>
      <c r="E2586" s="5">
        <v>3</v>
      </c>
      <c r="G2586" s="4" t="s">
        <v>5353</v>
      </c>
      <c r="H2586" s="306" t="s">
        <v>5243</v>
      </c>
      <c r="I2586" s="432" t="s">
        <v>5252</v>
      </c>
      <c r="K2586" t="s">
        <v>1434</v>
      </c>
      <c r="L2586" t="s">
        <v>669</v>
      </c>
      <c r="M2586" s="1" t="s">
        <v>2333</v>
      </c>
    </row>
    <row r="2587" spans="1:14">
      <c r="A2587" s="5">
        <v>2588</v>
      </c>
      <c r="B2587" t="str">
        <f t="shared" si="557"/>
        <v>TO</v>
      </c>
      <c r="C2587" t="str">
        <f t="shared" si="558"/>
        <v>KB</v>
      </c>
      <c r="D2587" t="s">
        <v>4844</v>
      </c>
      <c r="E2587" s="5">
        <v>3</v>
      </c>
      <c r="G2587" s="4" t="s">
        <v>5353</v>
      </c>
      <c r="H2587" s="306" t="s">
        <v>5693</v>
      </c>
      <c r="I2587" s="432" t="s">
        <v>5253</v>
      </c>
      <c r="K2587" t="s">
        <v>1434</v>
      </c>
      <c r="L2587" t="s">
        <v>669</v>
      </c>
      <c r="M2587" s="1" t="s">
        <v>2333</v>
      </c>
    </row>
    <row r="2588" spans="1:14">
      <c r="A2588" s="5">
        <v>2589</v>
      </c>
      <c r="B2588" t="str">
        <f t="shared" si="557"/>
        <v>TO</v>
      </c>
      <c r="C2588" t="str">
        <f t="shared" si="558"/>
        <v>KB</v>
      </c>
      <c r="D2588" t="s">
        <v>4844</v>
      </c>
      <c r="E2588" s="5">
        <v>3</v>
      </c>
      <c r="G2588" s="4" t="s">
        <v>5353</v>
      </c>
      <c r="H2588" s="306" t="s">
        <v>1560</v>
      </c>
      <c r="I2588" s="432" t="s">
        <v>5254</v>
      </c>
      <c r="K2588" t="s">
        <v>1434</v>
      </c>
      <c r="L2588" t="s">
        <v>669</v>
      </c>
      <c r="M2588" s="1" t="s">
        <v>2333</v>
      </c>
    </row>
    <row r="2589" spans="1:14">
      <c r="A2589" s="5">
        <v>2590</v>
      </c>
      <c r="B2589" t="str">
        <f t="shared" si="557"/>
        <v>TO</v>
      </c>
      <c r="C2589" t="str">
        <f t="shared" si="558"/>
        <v>KB</v>
      </c>
      <c r="D2589" t="s">
        <v>4844</v>
      </c>
      <c r="E2589" s="5">
        <v>3</v>
      </c>
      <c r="G2589" s="4" t="s">
        <v>5353</v>
      </c>
      <c r="H2589" s="306" t="s">
        <v>5245</v>
      </c>
      <c r="I2589" s="432" t="s">
        <v>5255</v>
      </c>
      <c r="K2589" t="s">
        <v>1434</v>
      </c>
      <c r="L2589" t="s">
        <v>669</v>
      </c>
      <c r="M2589" s="1" t="s">
        <v>2333</v>
      </c>
    </row>
    <row r="2590" spans="1:14">
      <c r="A2590" s="5">
        <v>2591</v>
      </c>
      <c r="B2590" t="str">
        <f t="shared" si="557"/>
        <v>TO</v>
      </c>
      <c r="C2590" t="str">
        <f t="shared" si="558"/>
        <v>KB</v>
      </c>
      <c r="D2590" t="s">
        <v>4844</v>
      </c>
      <c r="E2590" s="5">
        <v>3</v>
      </c>
      <c r="G2590" s="4" t="s">
        <v>5354</v>
      </c>
      <c r="H2590" s="306" t="s">
        <v>1516</v>
      </c>
      <c r="I2590" s="432" t="s">
        <v>5256</v>
      </c>
      <c r="K2590" t="s">
        <v>1434</v>
      </c>
      <c r="L2590" t="s">
        <v>669</v>
      </c>
      <c r="M2590" s="1" t="s">
        <v>5776</v>
      </c>
      <c r="N2590" t="s">
        <v>2073</v>
      </c>
    </row>
    <row r="2591" spans="1:14">
      <c r="A2591" s="5">
        <v>2592</v>
      </c>
      <c r="B2591" t="str">
        <f t="shared" si="557"/>
        <v>TO</v>
      </c>
      <c r="C2591" t="str">
        <f t="shared" si="558"/>
        <v>KB</v>
      </c>
      <c r="D2591" t="s">
        <v>4844</v>
      </c>
      <c r="E2591" s="5">
        <v>3</v>
      </c>
      <c r="G2591" s="4" t="s">
        <v>5354</v>
      </c>
      <c r="H2591" s="306" t="s">
        <v>5241</v>
      </c>
      <c r="I2591" s="432" t="s">
        <v>5249</v>
      </c>
      <c r="K2591" t="s">
        <v>1434</v>
      </c>
      <c r="L2591" t="s">
        <v>669</v>
      </c>
      <c r="M2591" s="1" t="s">
        <v>2333</v>
      </c>
    </row>
    <row r="2592" spans="1:14">
      <c r="A2592" s="5">
        <v>2593</v>
      </c>
      <c r="B2592" t="str">
        <f t="shared" si="557"/>
        <v>TO</v>
      </c>
      <c r="C2592" t="str">
        <f t="shared" si="558"/>
        <v>KB</v>
      </c>
      <c r="D2592" t="s">
        <v>4844</v>
      </c>
      <c r="E2592" s="5">
        <v>3</v>
      </c>
      <c r="G2592" s="4" t="s">
        <v>5354</v>
      </c>
      <c r="H2592" s="306" t="s">
        <v>5731</v>
      </c>
      <c r="I2592" s="432" t="s">
        <v>5264</v>
      </c>
      <c r="K2592" t="s">
        <v>1434</v>
      </c>
      <c r="L2592" t="s">
        <v>669</v>
      </c>
      <c r="M2592" s="1" t="s">
        <v>2333</v>
      </c>
    </row>
    <row r="2593" spans="1:14">
      <c r="A2593" s="5">
        <v>2594</v>
      </c>
      <c r="D2593" t="s">
        <v>4844</v>
      </c>
      <c r="E2593" s="5">
        <v>3</v>
      </c>
      <c r="G2593" s="4" t="s">
        <v>5354</v>
      </c>
      <c r="H2593" s="306" t="s">
        <v>5732</v>
      </c>
      <c r="I2593" s="432" t="s">
        <v>5265</v>
      </c>
      <c r="K2593" t="s">
        <v>1434</v>
      </c>
      <c r="L2593" t="s">
        <v>669</v>
      </c>
      <c r="M2593" s="1" t="s">
        <v>2333</v>
      </c>
    </row>
    <row r="2594" spans="1:14">
      <c r="A2594" s="5">
        <v>2595</v>
      </c>
      <c r="B2594" t="str">
        <f t="shared" ref="B2594:B2596" si="559">MID(G2594,11,2)</f>
        <v>TO</v>
      </c>
      <c r="C2594" t="str">
        <f t="shared" ref="C2594:C2596" si="560">MID(G2594,14,2)</f>
        <v>KB</v>
      </c>
      <c r="D2594" t="s">
        <v>4844</v>
      </c>
      <c r="E2594" s="5">
        <v>3</v>
      </c>
      <c r="G2594" s="4" t="s">
        <v>5354</v>
      </c>
      <c r="H2594" s="306" t="s">
        <v>5257</v>
      </c>
      <c r="I2594" s="432" t="s">
        <v>5260</v>
      </c>
      <c r="K2594" t="s">
        <v>1434</v>
      </c>
      <c r="L2594" t="s">
        <v>669</v>
      </c>
      <c r="M2594" s="1" t="s">
        <v>2333</v>
      </c>
    </row>
    <row r="2595" spans="1:14">
      <c r="A2595" s="5">
        <v>2596</v>
      </c>
      <c r="B2595" t="str">
        <f t="shared" si="559"/>
        <v>TO</v>
      </c>
      <c r="C2595" t="str">
        <f t="shared" si="560"/>
        <v>KB</v>
      </c>
      <c r="D2595" t="s">
        <v>4844</v>
      </c>
      <c r="E2595" s="5">
        <v>3</v>
      </c>
      <c r="G2595" s="4" t="s">
        <v>5354</v>
      </c>
      <c r="H2595" s="306" t="s">
        <v>5258</v>
      </c>
      <c r="I2595" s="432" t="s">
        <v>5261</v>
      </c>
      <c r="K2595" t="s">
        <v>1434</v>
      </c>
      <c r="L2595" t="s">
        <v>669</v>
      </c>
      <c r="M2595" s="1" t="s">
        <v>2333</v>
      </c>
    </row>
    <row r="2596" spans="1:14">
      <c r="A2596" s="5">
        <v>2597</v>
      </c>
      <c r="B2596" t="str">
        <f t="shared" si="559"/>
        <v>TO</v>
      </c>
      <c r="C2596" t="str">
        <f t="shared" si="560"/>
        <v>KB</v>
      </c>
      <c r="D2596" t="s">
        <v>4844</v>
      </c>
      <c r="E2596" s="5">
        <v>3</v>
      </c>
      <c r="G2596" s="4" t="s">
        <v>5358</v>
      </c>
      <c r="H2596" s="306" t="s">
        <v>5259</v>
      </c>
      <c r="I2596" s="432" t="s">
        <v>5262</v>
      </c>
      <c r="K2596" t="s">
        <v>1434</v>
      </c>
      <c r="L2596" t="s">
        <v>669</v>
      </c>
      <c r="M2596" t="s">
        <v>2333</v>
      </c>
    </row>
    <row r="2597" spans="1:14">
      <c r="A2597" s="5">
        <v>2598</v>
      </c>
      <c r="B2597" t="str">
        <f t="shared" ref="B2597:B2599" si="561">MID(G2597,11,2)</f>
        <v>TO</v>
      </c>
      <c r="C2597" t="str">
        <f t="shared" ref="C2597:C2599" si="562">MID(G2597,14,2)</f>
        <v>KB</v>
      </c>
      <c r="D2597" t="s">
        <v>4844</v>
      </c>
      <c r="E2597" s="5">
        <v>3</v>
      </c>
      <c r="G2597" s="4" t="s">
        <v>5358</v>
      </c>
      <c r="H2597" s="306" t="s">
        <v>5696</v>
      </c>
      <c r="I2597" s="432" t="s">
        <v>5263</v>
      </c>
      <c r="K2597" t="s">
        <v>1434</v>
      </c>
      <c r="L2597" t="s">
        <v>669</v>
      </c>
      <c r="M2597" t="s">
        <v>2333</v>
      </c>
    </row>
    <row r="2598" spans="1:14">
      <c r="A2598" s="5">
        <v>2599</v>
      </c>
      <c r="B2598" t="str">
        <f t="shared" si="561"/>
        <v>TO</v>
      </c>
      <c r="C2598" t="str">
        <f t="shared" si="562"/>
        <v>KB</v>
      </c>
      <c r="D2598" t="s">
        <v>4844</v>
      </c>
      <c r="E2598" s="5">
        <v>3</v>
      </c>
      <c r="G2598" s="4" t="s">
        <v>5358</v>
      </c>
      <c r="H2598" s="306" t="s">
        <v>5235</v>
      </c>
      <c r="I2598" s="432" t="s">
        <v>5200</v>
      </c>
      <c r="K2598" t="s">
        <v>659</v>
      </c>
      <c r="L2598" t="s">
        <v>669</v>
      </c>
      <c r="M2598" t="s">
        <v>2333</v>
      </c>
    </row>
    <row r="2599" spans="1:14" ht="18.600000000000001">
      <c r="A2599" s="5">
        <v>2600</v>
      </c>
      <c r="B2599" t="str">
        <f t="shared" si="561"/>
        <v>TO</v>
      </c>
      <c r="C2599" t="str">
        <f t="shared" si="562"/>
        <v>KB</v>
      </c>
      <c r="D2599" t="s">
        <v>4844</v>
      </c>
      <c r="E2599" s="5">
        <v>3</v>
      </c>
      <c r="G2599" s="4" t="s">
        <v>5358</v>
      </c>
      <c r="H2599" s="70" t="s">
        <v>5236</v>
      </c>
      <c r="I2599" s="432" t="s">
        <v>5355</v>
      </c>
      <c r="K2599" t="s">
        <v>1434</v>
      </c>
      <c r="L2599" t="s">
        <v>669</v>
      </c>
      <c r="M2599" t="s">
        <v>2333</v>
      </c>
    </row>
    <row r="2600" spans="1:14" ht="18.600000000000001">
      <c r="A2600" s="5">
        <v>2601</v>
      </c>
      <c r="B2600" t="str">
        <f t="shared" ref="B2600:B2604" si="563">MID(G2600,11,2)</f>
        <v>TO</v>
      </c>
      <c r="C2600" t="str">
        <f t="shared" ref="C2600:C2604" si="564">MID(G2600,14,2)</f>
        <v>KB</v>
      </c>
      <c r="D2600" t="s">
        <v>4844</v>
      </c>
      <c r="E2600" s="5">
        <v>3</v>
      </c>
      <c r="G2600" s="4" t="s">
        <v>5358</v>
      </c>
      <c r="H2600" s="70" t="s">
        <v>5237</v>
      </c>
      <c r="I2600" s="432" t="s">
        <v>5356</v>
      </c>
      <c r="K2600" t="s">
        <v>1434</v>
      </c>
      <c r="L2600" t="s">
        <v>669</v>
      </c>
      <c r="M2600" t="s">
        <v>2333</v>
      </c>
    </row>
    <row r="2601" spans="1:14" ht="18.600000000000001">
      <c r="A2601" s="5">
        <v>2602</v>
      </c>
      <c r="B2601" t="str">
        <f t="shared" si="563"/>
        <v>TO</v>
      </c>
      <c r="C2601" t="str">
        <f t="shared" si="564"/>
        <v>KB</v>
      </c>
      <c r="D2601" t="s">
        <v>4844</v>
      </c>
      <c r="E2601" s="5">
        <v>2</v>
      </c>
      <c r="G2601" s="4" t="s">
        <v>5415</v>
      </c>
      <c r="H2601" s="70" t="s">
        <v>4547</v>
      </c>
      <c r="I2601" s="432" t="s">
        <v>4548</v>
      </c>
      <c r="K2601" t="s">
        <v>659</v>
      </c>
      <c r="L2601" t="s">
        <v>669</v>
      </c>
      <c r="M2601" t="s">
        <v>2333</v>
      </c>
    </row>
    <row r="2602" spans="1:14" ht="36">
      <c r="A2602" s="5">
        <v>2603</v>
      </c>
      <c r="B2602" t="str">
        <f t="shared" si="563"/>
        <v>TO</v>
      </c>
      <c r="C2602" t="str">
        <f t="shared" si="564"/>
        <v>KB</v>
      </c>
      <c r="D2602" t="s">
        <v>4844</v>
      </c>
      <c r="E2602" s="5">
        <v>2</v>
      </c>
      <c r="G2602" s="4" t="s">
        <v>5359</v>
      </c>
      <c r="H2602" s="70" t="s">
        <v>5238</v>
      </c>
      <c r="I2602" s="432" t="s">
        <v>5357</v>
      </c>
      <c r="K2602" t="s">
        <v>1434</v>
      </c>
      <c r="L2602" t="s">
        <v>669</v>
      </c>
      <c r="M2602" t="s">
        <v>2137</v>
      </c>
      <c r="N2602" t="s">
        <v>982</v>
      </c>
    </row>
    <row r="2603" spans="1:14">
      <c r="A2603" s="5">
        <v>2604</v>
      </c>
      <c r="B2603" t="str">
        <f t="shared" si="563"/>
        <v>TO</v>
      </c>
      <c r="C2603" t="str">
        <f t="shared" si="564"/>
        <v>KB</v>
      </c>
      <c r="D2603" t="s">
        <v>4844</v>
      </c>
      <c r="E2603" s="5">
        <v>2</v>
      </c>
      <c r="G2603" s="4" t="s">
        <v>5359</v>
      </c>
      <c r="H2603" s="400" t="s">
        <v>5363</v>
      </c>
      <c r="I2603" s="432" t="s">
        <v>5362</v>
      </c>
      <c r="K2603" t="s">
        <v>1434</v>
      </c>
      <c r="L2603" t="s">
        <v>669</v>
      </c>
      <c r="M2603" t="s">
        <v>2333</v>
      </c>
      <c r="N2603" t="s">
        <v>2073</v>
      </c>
    </row>
    <row r="2604" spans="1:14">
      <c r="A2604" s="5">
        <v>2605</v>
      </c>
      <c r="B2604" t="str">
        <f t="shared" si="563"/>
        <v>TO</v>
      </c>
      <c r="C2604" t="str">
        <f t="shared" si="564"/>
        <v>KB</v>
      </c>
      <c r="D2604" t="s">
        <v>4844</v>
      </c>
      <c r="E2604" s="5">
        <v>2</v>
      </c>
      <c r="G2604" s="4" t="s">
        <v>5359</v>
      </c>
      <c r="H2604" s="400" t="s">
        <v>5361</v>
      </c>
      <c r="I2604" s="432" t="s">
        <v>5360</v>
      </c>
      <c r="K2604" t="s">
        <v>1434</v>
      </c>
      <c r="L2604" t="s">
        <v>669</v>
      </c>
      <c r="M2604" t="s">
        <v>3160</v>
      </c>
    </row>
    <row r="2605" spans="1:14">
      <c r="A2605" s="5">
        <v>2606</v>
      </c>
      <c r="B2605" t="str">
        <f t="shared" si="551"/>
        <v>TO</v>
      </c>
      <c r="C2605" t="str">
        <f t="shared" si="552"/>
        <v>KB</v>
      </c>
      <c r="D2605" t="s">
        <v>4844</v>
      </c>
      <c r="E2605" s="5">
        <v>2</v>
      </c>
      <c r="G2605" s="4" t="s">
        <v>5359</v>
      </c>
      <c r="H2605" s="306" t="s">
        <v>5365</v>
      </c>
      <c r="I2605" s="432" t="s">
        <v>5364</v>
      </c>
      <c r="K2605" t="s">
        <v>1434</v>
      </c>
      <c r="L2605" t="s">
        <v>669</v>
      </c>
      <c r="M2605" t="s">
        <v>2333</v>
      </c>
    </row>
    <row r="2606" spans="1:14">
      <c r="A2606" s="5">
        <v>2607</v>
      </c>
      <c r="B2606" t="str">
        <f t="shared" si="551"/>
        <v>TO</v>
      </c>
      <c r="C2606" t="str">
        <f t="shared" si="552"/>
        <v>KB</v>
      </c>
      <c r="D2606" t="s">
        <v>4844</v>
      </c>
      <c r="E2606" s="5">
        <v>2</v>
      </c>
      <c r="G2606" s="4" t="s">
        <v>5393</v>
      </c>
      <c r="H2606" s="400" t="s">
        <v>5366</v>
      </c>
      <c r="I2606" s="432" t="s">
        <v>5370</v>
      </c>
      <c r="K2606" t="s">
        <v>1434</v>
      </c>
      <c r="L2606" t="s">
        <v>669</v>
      </c>
      <c r="M2606" t="s">
        <v>2333</v>
      </c>
    </row>
    <row r="2607" spans="1:14">
      <c r="A2607" s="5">
        <v>2608</v>
      </c>
      <c r="B2607" t="str">
        <f t="shared" si="551"/>
        <v>TO</v>
      </c>
      <c r="C2607" t="str">
        <f t="shared" si="552"/>
        <v>KB</v>
      </c>
      <c r="D2607" t="s">
        <v>4844</v>
      </c>
      <c r="E2607" s="5">
        <v>2</v>
      </c>
      <c r="G2607" s="4" t="s">
        <v>5393</v>
      </c>
      <c r="H2607" s="400" t="s">
        <v>5367</v>
      </c>
      <c r="I2607" s="432" t="s">
        <v>5371</v>
      </c>
      <c r="K2607" t="s">
        <v>1434</v>
      </c>
      <c r="L2607" t="s">
        <v>669</v>
      </c>
      <c r="M2607" t="s">
        <v>2333</v>
      </c>
    </row>
    <row r="2608" spans="1:14">
      <c r="A2608" s="5">
        <v>2609</v>
      </c>
      <c r="B2608" t="str">
        <f t="shared" si="551"/>
        <v>TO</v>
      </c>
      <c r="C2608" t="str">
        <f t="shared" si="552"/>
        <v>KB</v>
      </c>
      <c r="D2608" t="s">
        <v>4844</v>
      </c>
      <c r="E2608" s="5">
        <v>2</v>
      </c>
      <c r="G2608" s="4" t="s">
        <v>5393</v>
      </c>
      <c r="H2608" s="401" t="s">
        <v>5378</v>
      </c>
      <c r="I2608" s="432" t="s">
        <v>5372</v>
      </c>
      <c r="K2608" t="s">
        <v>1434</v>
      </c>
      <c r="L2608" t="s">
        <v>669</v>
      </c>
      <c r="M2608" t="s">
        <v>2333</v>
      </c>
    </row>
    <row r="2609" spans="1:14">
      <c r="A2609" s="5">
        <v>2610</v>
      </c>
      <c r="B2609" t="str">
        <f t="shared" si="551"/>
        <v>TO</v>
      </c>
      <c r="C2609" t="str">
        <f t="shared" si="552"/>
        <v>KB</v>
      </c>
      <c r="D2609" t="s">
        <v>4844</v>
      </c>
      <c r="E2609" s="5">
        <v>2</v>
      </c>
      <c r="G2609" s="4" t="s">
        <v>5393</v>
      </c>
      <c r="H2609" s="400" t="s">
        <v>5368</v>
      </c>
      <c r="I2609" s="432" t="s">
        <v>5373</v>
      </c>
      <c r="K2609" t="s">
        <v>1434</v>
      </c>
      <c r="L2609" t="s">
        <v>669</v>
      </c>
      <c r="M2609" t="s">
        <v>2333</v>
      </c>
    </row>
    <row r="2610" spans="1:14">
      <c r="A2610" s="5">
        <v>2611</v>
      </c>
      <c r="B2610" t="str">
        <f t="shared" ref="B2610:B2611" si="565">MID(G2610,11,2)</f>
        <v>TO</v>
      </c>
      <c r="C2610" t="str">
        <f t="shared" ref="C2610:C2611" si="566">MID(G2610,14,2)</f>
        <v>KB</v>
      </c>
      <c r="D2610" t="s">
        <v>4844</v>
      </c>
      <c r="E2610" s="5">
        <v>2</v>
      </c>
      <c r="G2610" s="4" t="s">
        <v>5393</v>
      </c>
      <c r="H2610" s="400" t="s">
        <v>5369</v>
      </c>
      <c r="I2610" s="432" t="s">
        <v>5374</v>
      </c>
      <c r="K2610" t="s">
        <v>1434</v>
      </c>
      <c r="L2610" t="s">
        <v>669</v>
      </c>
      <c r="M2610" t="s">
        <v>2333</v>
      </c>
    </row>
    <row r="2611" spans="1:14">
      <c r="A2611" s="5">
        <v>2612</v>
      </c>
      <c r="B2611" t="str">
        <f t="shared" si="565"/>
        <v>TO</v>
      </c>
      <c r="C2611" t="str">
        <f t="shared" si="566"/>
        <v>KB</v>
      </c>
      <c r="D2611" t="s">
        <v>4807</v>
      </c>
      <c r="E2611" s="5">
        <v>2</v>
      </c>
      <c r="F2611" t="s">
        <v>561</v>
      </c>
      <c r="G2611" s="4" t="s">
        <v>5394</v>
      </c>
      <c r="H2611" s="5" t="s">
        <v>443</v>
      </c>
      <c r="I2611" s="432" t="s">
        <v>3837</v>
      </c>
      <c r="K2611" t="s">
        <v>659</v>
      </c>
      <c r="L2611" t="s">
        <v>669</v>
      </c>
      <c r="M2611" t="s">
        <v>2333</v>
      </c>
      <c r="N2611" t="s">
        <v>2073</v>
      </c>
    </row>
    <row r="2612" spans="1:14">
      <c r="A2612" s="5">
        <v>2613</v>
      </c>
      <c r="B2612" t="str">
        <f t="shared" ref="B2612:B2617" si="567">MID(G2612,11,2)</f>
        <v>TO</v>
      </c>
      <c r="C2612" t="str">
        <f t="shared" ref="C2612:C2617" si="568">MID(G2612,14,2)</f>
        <v>KB</v>
      </c>
      <c r="D2612" t="s">
        <v>4807</v>
      </c>
      <c r="E2612" s="5">
        <v>2</v>
      </c>
      <c r="F2612" t="s">
        <v>561</v>
      </c>
      <c r="G2612" s="4" t="s">
        <v>5394</v>
      </c>
      <c r="H2612" s="5" t="s">
        <v>4325</v>
      </c>
      <c r="I2612" s="432" t="s">
        <v>5386</v>
      </c>
      <c r="K2612" t="s">
        <v>659</v>
      </c>
      <c r="L2612" t="s">
        <v>669</v>
      </c>
      <c r="M2612" t="s">
        <v>2333</v>
      </c>
    </row>
    <row r="2613" spans="1:14">
      <c r="A2613" s="5">
        <v>2614</v>
      </c>
      <c r="B2613" t="str">
        <f t="shared" si="567"/>
        <v>TO</v>
      </c>
      <c r="C2613" t="str">
        <f t="shared" si="568"/>
        <v>KB</v>
      </c>
      <c r="D2613" t="s">
        <v>4807</v>
      </c>
      <c r="E2613" s="5">
        <v>2</v>
      </c>
      <c r="F2613" t="s">
        <v>561</v>
      </c>
      <c r="G2613" s="4" t="s">
        <v>5394</v>
      </c>
      <c r="H2613" s="5" t="s">
        <v>5376</v>
      </c>
      <c r="I2613" s="432" t="s">
        <v>5387</v>
      </c>
      <c r="K2613" t="s">
        <v>1434</v>
      </c>
      <c r="L2613" t="s">
        <v>669</v>
      </c>
      <c r="M2613" t="s">
        <v>2137</v>
      </c>
    </row>
    <row r="2614" spans="1:14">
      <c r="A2614" s="5">
        <v>2615</v>
      </c>
      <c r="B2614" t="str">
        <f t="shared" si="567"/>
        <v>TO</v>
      </c>
      <c r="C2614" t="str">
        <f t="shared" si="568"/>
        <v>KB</v>
      </c>
      <c r="D2614" t="s">
        <v>4807</v>
      </c>
      <c r="E2614" s="5">
        <v>2</v>
      </c>
      <c r="F2614" t="s">
        <v>561</v>
      </c>
      <c r="G2614" s="4" t="s">
        <v>5395</v>
      </c>
      <c r="H2614" s="5" t="s">
        <v>5377</v>
      </c>
      <c r="I2614" s="432" t="s">
        <v>5388</v>
      </c>
      <c r="K2614" t="s">
        <v>1434</v>
      </c>
      <c r="L2614" t="s">
        <v>669</v>
      </c>
      <c r="M2614" t="s">
        <v>2333</v>
      </c>
    </row>
    <row r="2615" spans="1:14">
      <c r="A2615" s="5">
        <v>2616</v>
      </c>
      <c r="B2615" t="str">
        <f t="shared" si="567"/>
        <v>TO</v>
      </c>
      <c r="C2615" t="str">
        <f t="shared" si="568"/>
        <v>KB</v>
      </c>
      <c r="D2615" t="s">
        <v>4807</v>
      </c>
      <c r="E2615" s="5">
        <v>2</v>
      </c>
      <c r="F2615" t="s">
        <v>561</v>
      </c>
      <c r="G2615" s="4" t="s">
        <v>5395</v>
      </c>
      <c r="H2615" s="5" t="s">
        <v>5390</v>
      </c>
      <c r="I2615" s="432" t="s">
        <v>5389</v>
      </c>
      <c r="K2615" t="s">
        <v>1434</v>
      </c>
      <c r="L2615" t="s">
        <v>669</v>
      </c>
      <c r="M2615" t="s">
        <v>2333</v>
      </c>
    </row>
    <row r="2616" spans="1:14">
      <c r="A2616" s="5">
        <v>2617</v>
      </c>
      <c r="B2616" t="str">
        <f t="shared" si="567"/>
        <v>TO</v>
      </c>
      <c r="C2616" t="str">
        <f t="shared" si="568"/>
        <v>KB</v>
      </c>
      <c r="D2616" t="s">
        <v>4807</v>
      </c>
      <c r="E2616" s="5">
        <v>2</v>
      </c>
      <c r="F2616" t="s">
        <v>561</v>
      </c>
      <c r="G2616" s="4" t="s">
        <v>5395</v>
      </c>
      <c r="H2616" s="5" t="s">
        <v>5379</v>
      </c>
      <c r="I2616" s="432" t="s">
        <v>5391</v>
      </c>
      <c r="K2616" t="s">
        <v>1434</v>
      </c>
      <c r="L2616" t="s">
        <v>669</v>
      </c>
      <c r="M2616" s="1" t="s">
        <v>2333</v>
      </c>
    </row>
    <row r="2617" spans="1:14">
      <c r="A2617" s="5">
        <v>2618</v>
      </c>
      <c r="B2617" t="str">
        <f t="shared" si="567"/>
        <v>TO</v>
      </c>
      <c r="C2617" t="str">
        <f t="shared" si="568"/>
        <v>KB</v>
      </c>
      <c r="D2617" t="s">
        <v>4807</v>
      </c>
      <c r="E2617" s="5">
        <v>2</v>
      </c>
      <c r="F2617" t="s">
        <v>561</v>
      </c>
      <c r="G2617" s="4" t="s">
        <v>5396</v>
      </c>
      <c r="H2617" s="5" t="s">
        <v>5380</v>
      </c>
      <c r="I2617" s="432" t="s">
        <v>5392</v>
      </c>
      <c r="K2617" t="s">
        <v>1434</v>
      </c>
      <c r="L2617" t="s">
        <v>669</v>
      </c>
      <c r="M2617" t="s">
        <v>2333</v>
      </c>
    </row>
    <row r="2618" spans="1:14">
      <c r="A2618" s="5">
        <v>2619</v>
      </c>
      <c r="B2618" t="str">
        <f t="shared" ref="B2618:B2636" si="569">MID(G2618,11,2)</f>
        <v>TO</v>
      </c>
      <c r="C2618" t="str">
        <f t="shared" ref="C2618:C2619" si="570">MID(G2618,14,2)</f>
        <v>KB</v>
      </c>
      <c r="D2618" t="s">
        <v>4807</v>
      </c>
      <c r="E2618" s="5">
        <v>2</v>
      </c>
      <c r="F2618" t="s">
        <v>561</v>
      </c>
      <c r="G2618" s="4" t="s">
        <v>5396</v>
      </c>
      <c r="H2618" s="5" t="s">
        <v>5383</v>
      </c>
      <c r="I2618" s="432" t="s">
        <v>5382</v>
      </c>
      <c r="K2618" t="s">
        <v>1434</v>
      </c>
      <c r="L2618" t="s">
        <v>669</v>
      </c>
      <c r="M2618" s="1" t="s">
        <v>2333</v>
      </c>
    </row>
    <row r="2619" spans="1:14" ht="19.8" customHeight="1">
      <c r="A2619" s="5">
        <v>2620</v>
      </c>
      <c r="B2619" t="str">
        <f t="shared" si="569"/>
        <v>TO</v>
      </c>
      <c r="C2619" t="str">
        <f t="shared" si="570"/>
        <v>Ap</v>
      </c>
      <c r="D2619" t="s">
        <v>4807</v>
      </c>
      <c r="E2619" s="5">
        <v>3</v>
      </c>
      <c r="G2619" s="4" t="s">
        <v>5402</v>
      </c>
      <c r="H2619" s="306" t="s">
        <v>5399</v>
      </c>
      <c r="K2619" t="s">
        <v>2841</v>
      </c>
      <c r="L2619" t="s">
        <v>669</v>
      </c>
      <c r="M2619" t="s">
        <v>1424</v>
      </c>
    </row>
    <row r="2620" spans="1:14">
      <c r="A2620" s="5">
        <v>2621</v>
      </c>
      <c r="B2620" t="s">
        <v>152</v>
      </c>
      <c r="C2620" t="str">
        <f t="shared" si="552"/>
        <v>KB</v>
      </c>
      <c r="D2620" t="s">
        <v>4807</v>
      </c>
      <c r="E2620" s="5">
        <v>1</v>
      </c>
      <c r="G2620" s="4" t="s">
        <v>5385</v>
      </c>
      <c r="H2620" s="306" t="s">
        <v>66</v>
      </c>
      <c r="I2620" s="432" t="s">
        <v>5384</v>
      </c>
      <c r="K2620" t="s">
        <v>659</v>
      </c>
      <c r="L2620" t="s">
        <v>669</v>
      </c>
      <c r="M2620" t="s">
        <v>2333</v>
      </c>
    </row>
    <row r="2621" spans="1:14">
      <c r="A2621" s="5">
        <v>2622</v>
      </c>
      <c r="B2621" t="str">
        <f>MID(G2621,11,2)</f>
        <v>TO</v>
      </c>
      <c r="C2621" t="str">
        <f>MID(G2621,14,2)</f>
        <v>KB</v>
      </c>
      <c r="D2621" t="s">
        <v>4807</v>
      </c>
      <c r="E2621" s="5">
        <v>2</v>
      </c>
      <c r="G2621" s="4" t="s">
        <v>5413</v>
      </c>
      <c r="H2621" s="306" t="s">
        <v>5403</v>
      </c>
      <c r="I2621" s="432" t="s">
        <v>2612</v>
      </c>
      <c r="K2621" t="s">
        <v>1434</v>
      </c>
      <c r="L2621" t="s">
        <v>669</v>
      </c>
      <c r="M2621" t="s">
        <v>2333</v>
      </c>
      <c r="N2621" t="s">
        <v>5404</v>
      </c>
    </row>
    <row r="2622" spans="1:14">
      <c r="A2622" s="5">
        <v>2623</v>
      </c>
      <c r="B2622" t="str">
        <f>MID(G2622,11,2)</f>
        <v>TO</v>
      </c>
      <c r="C2622" t="str">
        <f>MID(G2622,14,2)</f>
        <v>KB</v>
      </c>
      <c r="D2622" t="s">
        <v>4807</v>
      </c>
      <c r="E2622" s="5">
        <v>2</v>
      </c>
      <c r="G2622" s="4" t="s">
        <v>5412</v>
      </c>
      <c r="H2622" s="306" t="s">
        <v>3336</v>
      </c>
      <c r="I2622" s="432" t="s">
        <v>3337</v>
      </c>
      <c r="K2622" t="s">
        <v>659</v>
      </c>
      <c r="L2622" t="s">
        <v>669</v>
      </c>
      <c r="M2622" t="s">
        <v>2333</v>
      </c>
      <c r="N2622" t="s">
        <v>2438</v>
      </c>
    </row>
    <row r="2623" spans="1:14">
      <c r="A2623" s="5">
        <v>2624</v>
      </c>
      <c r="B2623" t="str">
        <f>MID(G2623,11,2)</f>
        <v>TO</v>
      </c>
      <c r="C2623" t="str">
        <f>MID(G2623,14,2)</f>
        <v>KB</v>
      </c>
      <c r="D2623" t="s">
        <v>4807</v>
      </c>
      <c r="E2623" s="5">
        <v>2</v>
      </c>
      <c r="G2623" s="4" t="s">
        <v>5412</v>
      </c>
      <c r="H2623" s="306" t="s">
        <v>5406</v>
      </c>
      <c r="I2623" s="432" t="s">
        <v>5407</v>
      </c>
      <c r="K2623" t="s">
        <v>659</v>
      </c>
      <c r="L2623" t="s">
        <v>669</v>
      </c>
      <c r="M2623" t="s">
        <v>2333</v>
      </c>
      <c r="N2623" t="s">
        <v>5408</v>
      </c>
    </row>
    <row r="2624" spans="1:14">
      <c r="A2624" s="5">
        <v>2625</v>
      </c>
      <c r="B2624" t="str">
        <f t="shared" ref="B2624" si="571">MID(G2624,11,2)</f>
        <v>TO</v>
      </c>
      <c r="C2624" t="str">
        <f t="shared" ref="C2624" si="572">MID(G2624,14,2)</f>
        <v>KB</v>
      </c>
      <c r="D2624" t="s">
        <v>4807</v>
      </c>
      <c r="E2624" s="5">
        <v>2</v>
      </c>
      <c r="G2624" s="4" t="s">
        <v>5412</v>
      </c>
      <c r="H2624" s="306" t="s">
        <v>4523</v>
      </c>
      <c r="I2624" s="432" t="s">
        <v>4524</v>
      </c>
      <c r="K2624" t="s">
        <v>659</v>
      </c>
      <c r="L2624" t="s">
        <v>669</v>
      </c>
      <c r="M2624" t="s">
        <v>2333</v>
      </c>
      <c r="N2624" t="s">
        <v>5409</v>
      </c>
    </row>
    <row r="2625" spans="1:15">
      <c r="A2625" s="5">
        <v>2626</v>
      </c>
      <c r="B2625" t="str">
        <f t="shared" ref="B2625:B2630" si="573">MID(G2625,11,2)</f>
        <v>TO</v>
      </c>
      <c r="C2625" t="str">
        <f t="shared" ref="C2625:C2630" si="574">MID(G2625,14,2)</f>
        <v>KB</v>
      </c>
      <c r="D2625" t="s">
        <v>4807</v>
      </c>
      <c r="E2625" s="5">
        <v>2</v>
      </c>
      <c r="F2625" t="s">
        <v>3843</v>
      </c>
      <c r="G2625" s="4" t="s">
        <v>5448</v>
      </c>
      <c r="H2625" s="306" t="s">
        <v>5426</v>
      </c>
      <c r="I2625" s="432" t="s">
        <v>5427</v>
      </c>
      <c r="K2625" t="s">
        <v>1434</v>
      </c>
      <c r="L2625" t="s">
        <v>669</v>
      </c>
      <c r="M2625" t="s">
        <v>2333</v>
      </c>
    </row>
    <row r="2626" spans="1:15">
      <c r="A2626" s="5">
        <v>2627</v>
      </c>
      <c r="B2626" t="str">
        <f t="shared" si="573"/>
        <v>TO</v>
      </c>
      <c r="C2626" t="str">
        <f t="shared" si="574"/>
        <v>KB</v>
      </c>
      <c r="D2626" t="s">
        <v>4807</v>
      </c>
      <c r="E2626" s="5">
        <v>2</v>
      </c>
      <c r="F2626" t="s">
        <v>3843</v>
      </c>
      <c r="G2626" s="4" t="s">
        <v>5448</v>
      </c>
      <c r="H2626" s="306" t="s">
        <v>5410</v>
      </c>
      <c r="I2626" s="432" t="s">
        <v>3639</v>
      </c>
      <c r="K2626" t="s">
        <v>1434</v>
      </c>
      <c r="L2626" t="s">
        <v>669</v>
      </c>
      <c r="M2626" t="s">
        <v>2333</v>
      </c>
      <c r="N2626" t="s">
        <v>5444</v>
      </c>
      <c r="O2626" t="s">
        <v>4643</v>
      </c>
    </row>
    <row r="2627" spans="1:15">
      <c r="A2627" s="5">
        <v>2628</v>
      </c>
      <c r="B2627" t="str">
        <f t="shared" si="573"/>
        <v>TO</v>
      </c>
      <c r="C2627" t="str">
        <f t="shared" si="574"/>
        <v>KB</v>
      </c>
      <c r="D2627" t="s">
        <v>4807</v>
      </c>
      <c r="E2627" s="5">
        <v>2</v>
      </c>
      <c r="F2627" t="s">
        <v>3843</v>
      </c>
      <c r="G2627" s="4" t="s">
        <v>5448</v>
      </c>
      <c r="H2627" s="306" t="s">
        <v>569</v>
      </c>
      <c r="I2627" s="432" t="s">
        <v>3535</v>
      </c>
      <c r="K2627" t="s">
        <v>1434</v>
      </c>
      <c r="L2627" t="s">
        <v>669</v>
      </c>
      <c r="M2627" t="s">
        <v>2333</v>
      </c>
      <c r="N2627" t="s">
        <v>5694</v>
      </c>
      <c r="O2627" t="s">
        <v>5405</v>
      </c>
    </row>
    <row r="2628" spans="1:15">
      <c r="A2628" s="5">
        <v>2629</v>
      </c>
      <c r="B2628" t="str">
        <f t="shared" si="573"/>
        <v>TO</v>
      </c>
      <c r="C2628" t="str">
        <f t="shared" si="574"/>
        <v>KB</v>
      </c>
      <c r="D2628" t="s">
        <v>4807</v>
      </c>
      <c r="E2628" s="5">
        <v>2</v>
      </c>
      <c r="F2628" t="s">
        <v>3843</v>
      </c>
      <c r="G2628" s="4" t="s">
        <v>5448</v>
      </c>
      <c r="H2628" s="306" t="s">
        <v>3518</v>
      </c>
      <c r="I2628" s="432" t="s">
        <v>3854</v>
      </c>
      <c r="K2628" t="s">
        <v>659</v>
      </c>
      <c r="L2628" t="s">
        <v>669</v>
      </c>
      <c r="M2628" t="s">
        <v>2333</v>
      </c>
    </row>
    <row r="2629" spans="1:15">
      <c r="A2629" s="5">
        <v>2630</v>
      </c>
      <c r="B2629" t="str">
        <f t="shared" si="573"/>
        <v>TO</v>
      </c>
      <c r="C2629" t="str">
        <f t="shared" si="574"/>
        <v>KB</v>
      </c>
      <c r="D2629" t="s">
        <v>4807</v>
      </c>
      <c r="E2629" s="5"/>
      <c r="G2629" s="4" t="s">
        <v>5448</v>
      </c>
      <c r="H2629" s="306" t="s">
        <v>257</v>
      </c>
      <c r="I2629" s="432" t="s">
        <v>4546</v>
      </c>
      <c r="K2629" t="s">
        <v>659</v>
      </c>
      <c r="L2629" t="s">
        <v>669</v>
      </c>
      <c r="M2629" t="s">
        <v>2333</v>
      </c>
    </row>
    <row r="2630" spans="1:15">
      <c r="A2630" s="5">
        <v>2631</v>
      </c>
      <c r="B2630" t="str">
        <f t="shared" si="573"/>
        <v>TO</v>
      </c>
      <c r="C2630" t="str">
        <f t="shared" si="574"/>
        <v>KB</v>
      </c>
      <c r="D2630" t="s">
        <v>4807</v>
      </c>
      <c r="E2630" s="5">
        <v>3</v>
      </c>
      <c r="G2630" s="4" t="s">
        <v>5445</v>
      </c>
      <c r="H2630" s="5" t="s">
        <v>365</v>
      </c>
      <c r="I2630" s="432" t="s">
        <v>2671</v>
      </c>
      <c r="K2630" t="s">
        <v>659</v>
      </c>
      <c r="L2630" t="s">
        <v>669</v>
      </c>
      <c r="M2630" t="s">
        <v>2333</v>
      </c>
      <c r="N2630" t="s">
        <v>5334</v>
      </c>
    </row>
    <row r="2631" spans="1:15">
      <c r="A2631" s="5">
        <v>2632</v>
      </c>
      <c r="B2631" t="str">
        <f t="shared" ref="B2631" si="575">MID(G2631,11,2)</f>
        <v>TO</v>
      </c>
      <c r="C2631" t="str">
        <f t="shared" ref="C2631" si="576">MID(G2631,14,2)</f>
        <v>KB</v>
      </c>
      <c r="D2631" t="s">
        <v>4807</v>
      </c>
      <c r="E2631" s="5">
        <v>3</v>
      </c>
      <c r="G2631" s="4" t="s">
        <v>5445</v>
      </c>
      <c r="H2631" s="306" t="s">
        <v>5421</v>
      </c>
      <c r="I2631" s="432" t="s">
        <v>5422</v>
      </c>
      <c r="K2631" t="s">
        <v>1434</v>
      </c>
      <c r="L2631" t="s">
        <v>669</v>
      </c>
      <c r="M2631" t="s">
        <v>2333</v>
      </c>
    </row>
    <row r="2632" spans="1:15">
      <c r="A2632" s="5">
        <v>2633</v>
      </c>
      <c r="B2632" t="str">
        <f t="shared" ref="B2632:B2634" si="577">MID(G2632,11,2)</f>
        <v>TO</v>
      </c>
      <c r="C2632" t="str">
        <f t="shared" ref="C2632:C2634" si="578">MID(G2632,14,2)</f>
        <v>KB</v>
      </c>
      <c r="D2632" t="s">
        <v>4807</v>
      </c>
      <c r="E2632" s="5">
        <v>3</v>
      </c>
      <c r="G2632" s="4" t="s">
        <v>5445</v>
      </c>
      <c r="H2632" s="306" t="s">
        <v>375</v>
      </c>
      <c r="I2632" s="432" t="s">
        <v>2442</v>
      </c>
      <c r="K2632" t="s">
        <v>659</v>
      </c>
      <c r="L2632" t="s">
        <v>669</v>
      </c>
      <c r="M2632" t="s">
        <v>2333</v>
      </c>
    </row>
    <row r="2633" spans="1:15">
      <c r="A2633" s="5">
        <v>2634</v>
      </c>
      <c r="B2633" t="str">
        <f t="shared" si="577"/>
        <v>TO</v>
      </c>
      <c r="C2633" t="str">
        <f t="shared" si="578"/>
        <v>KB</v>
      </c>
      <c r="D2633" t="s">
        <v>4807</v>
      </c>
      <c r="E2633" s="5">
        <v>3</v>
      </c>
      <c r="G2633" s="4" t="s">
        <v>5445</v>
      </c>
      <c r="H2633" s="306" t="s">
        <v>3000</v>
      </c>
      <c r="I2633" s="432" t="s">
        <v>3001</v>
      </c>
      <c r="K2633" t="s">
        <v>659</v>
      </c>
      <c r="L2633" t="s">
        <v>669</v>
      </c>
      <c r="M2633" t="s">
        <v>2333</v>
      </c>
    </row>
    <row r="2634" spans="1:15">
      <c r="A2634" s="5">
        <v>2635</v>
      </c>
      <c r="B2634" t="str">
        <f t="shared" si="577"/>
        <v>TO</v>
      </c>
      <c r="C2634" t="str">
        <f t="shared" si="578"/>
        <v>KB</v>
      </c>
      <c r="D2634" t="s">
        <v>4807</v>
      </c>
      <c r="E2634" s="5">
        <v>3</v>
      </c>
      <c r="G2634" s="4" t="s">
        <v>5445</v>
      </c>
      <c r="H2634" s="306" t="s">
        <v>2394</v>
      </c>
      <c r="I2634" s="432" t="s">
        <v>2823</v>
      </c>
      <c r="K2634" t="s">
        <v>659</v>
      </c>
      <c r="L2634" t="s">
        <v>669</v>
      </c>
      <c r="M2634" t="s">
        <v>2333</v>
      </c>
    </row>
    <row r="2635" spans="1:15">
      <c r="A2635" s="5">
        <v>2636</v>
      </c>
      <c r="B2635" t="str">
        <f t="shared" ref="B2635" si="579">MID(G2635,11,2)</f>
        <v>TO</v>
      </c>
      <c r="C2635" t="str">
        <f t="shared" ref="C2635" si="580">MID(G2635,14,2)</f>
        <v>KB</v>
      </c>
      <c r="D2635" t="s">
        <v>4807</v>
      </c>
      <c r="E2635" s="5">
        <v>3</v>
      </c>
      <c r="G2635" s="4" t="s">
        <v>5445</v>
      </c>
      <c r="H2635" s="306" t="s">
        <v>450</v>
      </c>
      <c r="I2635" s="438" t="s">
        <v>3083</v>
      </c>
      <c r="K2635" t="s">
        <v>659</v>
      </c>
      <c r="L2635" t="s">
        <v>669</v>
      </c>
      <c r="M2635" t="s">
        <v>2333</v>
      </c>
    </row>
    <row r="2636" spans="1:15">
      <c r="A2636" s="5">
        <v>2637</v>
      </c>
      <c r="B2636" t="str">
        <f t="shared" si="569"/>
        <v>TO</v>
      </c>
      <c r="C2636" t="str">
        <f t="shared" ref="C2636" si="581">MID(G2636,14,2)</f>
        <v>KB</v>
      </c>
      <c r="D2636" t="s">
        <v>4807</v>
      </c>
      <c r="E2636" s="5">
        <v>3</v>
      </c>
      <c r="G2636" s="4" t="s">
        <v>5734</v>
      </c>
      <c r="H2636" s="306" t="s">
        <v>5420</v>
      </c>
      <c r="I2636" s="432" t="s">
        <v>5419</v>
      </c>
      <c r="K2636" t="s">
        <v>1434</v>
      </c>
      <c r="L2636" t="s">
        <v>669</v>
      </c>
      <c r="M2636" s="1" t="s">
        <v>2102</v>
      </c>
      <c r="N2636" t="s">
        <v>5751</v>
      </c>
    </row>
    <row r="2637" spans="1:15">
      <c r="A2637" s="5">
        <v>2638</v>
      </c>
      <c r="B2637" t="str">
        <f>MID(G2637,11,2)</f>
        <v>TO</v>
      </c>
      <c r="C2637" t="str">
        <f>MID(G2637,14,2)</f>
        <v>KB</v>
      </c>
      <c r="D2637" t="s">
        <v>4807</v>
      </c>
      <c r="E2637" s="5">
        <v>3</v>
      </c>
      <c r="G2637" s="4" t="s">
        <v>5446</v>
      </c>
      <c r="H2637" s="306" t="s">
        <v>5425</v>
      </c>
      <c r="I2637" s="432" t="s">
        <v>5441</v>
      </c>
      <c r="K2637" t="s">
        <v>659</v>
      </c>
      <c r="L2637" t="s">
        <v>669</v>
      </c>
      <c r="M2637" s="1" t="s">
        <v>2102</v>
      </c>
      <c r="N2637" t="s">
        <v>5751</v>
      </c>
    </row>
    <row r="2638" spans="1:15" ht="21.6">
      <c r="A2638" s="5">
        <v>2639</v>
      </c>
      <c r="B2638" t="str">
        <f t="shared" ref="B2638:B2641" si="582">MID(G2638,11,2)</f>
        <v>TO</v>
      </c>
      <c r="C2638" t="str">
        <f t="shared" ref="C2638:C2641" si="583">MID(G2638,14,2)</f>
        <v>KB</v>
      </c>
      <c r="D2638" t="s">
        <v>4807</v>
      </c>
      <c r="E2638" s="5">
        <v>3</v>
      </c>
      <c r="G2638" s="4" t="s">
        <v>5446</v>
      </c>
      <c r="H2638" s="313" t="s">
        <v>468</v>
      </c>
      <c r="I2638" s="432" t="s">
        <v>5430</v>
      </c>
      <c r="K2638" t="s">
        <v>659</v>
      </c>
      <c r="L2638" t="s">
        <v>669</v>
      </c>
      <c r="M2638" s="1" t="s">
        <v>2102</v>
      </c>
      <c r="N2638" t="s">
        <v>5751</v>
      </c>
    </row>
    <row r="2639" spans="1:15">
      <c r="A2639" s="5">
        <v>2640</v>
      </c>
      <c r="B2639" t="str">
        <f t="shared" si="582"/>
        <v>TO</v>
      </c>
      <c r="C2639" t="str">
        <f t="shared" si="583"/>
        <v>KB</v>
      </c>
      <c r="D2639" t="s">
        <v>4807</v>
      </c>
      <c r="E2639" s="5">
        <v>3</v>
      </c>
      <c r="G2639" s="4" t="s">
        <v>5446</v>
      </c>
      <c r="H2639" s="306" t="s">
        <v>5432</v>
      </c>
      <c r="I2639" s="432" t="s">
        <v>5442</v>
      </c>
      <c r="K2639" t="s">
        <v>659</v>
      </c>
      <c r="L2639" t="s">
        <v>669</v>
      </c>
      <c r="M2639" s="1" t="s">
        <v>2102</v>
      </c>
      <c r="N2639" t="s">
        <v>5751</v>
      </c>
    </row>
    <row r="2640" spans="1:15">
      <c r="A2640" s="5">
        <v>2641</v>
      </c>
      <c r="B2640" t="str">
        <f t="shared" si="582"/>
        <v>TO</v>
      </c>
      <c r="C2640" t="str">
        <f t="shared" si="583"/>
        <v>KB</v>
      </c>
      <c r="D2640" t="s">
        <v>4807</v>
      </c>
      <c r="E2640" s="5">
        <v>3</v>
      </c>
      <c r="G2640" s="4" t="s">
        <v>5446</v>
      </c>
      <c r="H2640" s="306" t="s">
        <v>3192</v>
      </c>
      <c r="I2640" s="432" t="s">
        <v>5443</v>
      </c>
      <c r="K2640" t="s">
        <v>659</v>
      </c>
      <c r="L2640" t="s">
        <v>669</v>
      </c>
      <c r="M2640" s="1" t="s">
        <v>2102</v>
      </c>
      <c r="N2640" t="s">
        <v>5751</v>
      </c>
    </row>
    <row r="2641" spans="1:15">
      <c r="A2641" s="5">
        <v>2642</v>
      </c>
      <c r="B2641" t="str">
        <f t="shared" si="582"/>
        <v>TO</v>
      </c>
      <c r="C2641" t="str">
        <f t="shared" si="583"/>
        <v>KB</v>
      </c>
      <c r="D2641" t="s">
        <v>4807</v>
      </c>
      <c r="E2641" s="5">
        <v>3</v>
      </c>
      <c r="G2641" s="4" t="s">
        <v>5446</v>
      </c>
      <c r="H2641" s="306" t="s">
        <v>5434</v>
      </c>
      <c r="I2641" s="432" t="s">
        <v>5433</v>
      </c>
      <c r="K2641" t="s">
        <v>659</v>
      </c>
      <c r="L2641" t="s">
        <v>669</v>
      </c>
      <c r="M2641" s="1" t="s">
        <v>2102</v>
      </c>
      <c r="N2641" t="s">
        <v>5751</v>
      </c>
    </row>
    <row r="2642" spans="1:15">
      <c r="A2642" s="5">
        <v>2643</v>
      </c>
      <c r="B2642" t="str">
        <f t="shared" ref="B2642:B2652" si="584">MID(G2642,11,2)</f>
        <v>TO</v>
      </c>
      <c r="C2642" t="str">
        <f t="shared" ref="C2642:C2652" si="585">MID(G2642,14,2)</f>
        <v>KB</v>
      </c>
      <c r="D2642" t="s">
        <v>4807</v>
      </c>
      <c r="E2642" s="5">
        <v>4</v>
      </c>
      <c r="G2642" s="4" t="s">
        <v>5449</v>
      </c>
      <c r="H2642" s="306" t="s">
        <v>3422</v>
      </c>
      <c r="I2642" s="432" t="s">
        <v>3598</v>
      </c>
      <c r="K2642" t="s">
        <v>659</v>
      </c>
      <c r="L2642" t="s">
        <v>669</v>
      </c>
      <c r="M2642" s="1" t="s">
        <v>3733</v>
      </c>
    </row>
    <row r="2643" spans="1:15">
      <c r="A2643" s="5">
        <v>2644</v>
      </c>
      <c r="B2643" t="str">
        <f t="shared" si="584"/>
        <v>TO</v>
      </c>
      <c r="C2643" t="str">
        <f t="shared" si="585"/>
        <v>KB</v>
      </c>
      <c r="D2643" t="s">
        <v>4807</v>
      </c>
      <c r="E2643" s="5">
        <v>4</v>
      </c>
      <c r="G2643" s="4" t="s">
        <v>5449</v>
      </c>
      <c r="H2643" s="306" t="s">
        <v>289</v>
      </c>
      <c r="I2643" s="432" t="s">
        <v>3569</v>
      </c>
      <c r="K2643" t="s">
        <v>659</v>
      </c>
      <c r="L2643" t="s">
        <v>669</v>
      </c>
      <c r="M2643" s="1" t="s">
        <v>3733</v>
      </c>
      <c r="N2643" t="s">
        <v>5704</v>
      </c>
    </row>
    <row r="2644" spans="1:15">
      <c r="A2644" s="5">
        <v>2645</v>
      </c>
      <c r="B2644" t="str">
        <f t="shared" si="584"/>
        <v>TO</v>
      </c>
      <c r="C2644" t="str">
        <f t="shared" si="585"/>
        <v>KB</v>
      </c>
      <c r="D2644" t="s">
        <v>4807</v>
      </c>
      <c r="E2644" s="5">
        <v>4</v>
      </c>
      <c r="G2644" s="4" t="s">
        <v>5449</v>
      </c>
      <c r="H2644" s="305" t="s">
        <v>1963</v>
      </c>
      <c r="I2644" s="432" t="s">
        <v>3528</v>
      </c>
      <c r="K2644" t="s">
        <v>659</v>
      </c>
      <c r="L2644" t="s">
        <v>669</v>
      </c>
      <c r="M2644" s="1" t="s">
        <v>3733</v>
      </c>
      <c r="N2644" t="s">
        <v>5704</v>
      </c>
    </row>
    <row r="2645" spans="1:15">
      <c r="A2645" s="5">
        <v>2646</v>
      </c>
      <c r="B2645" t="str">
        <f t="shared" si="584"/>
        <v>TO</v>
      </c>
      <c r="C2645" t="str">
        <f t="shared" si="585"/>
        <v>KB</v>
      </c>
      <c r="D2645" t="s">
        <v>4807</v>
      </c>
      <c r="E2645" s="5">
        <v>4</v>
      </c>
      <c r="G2645" s="4" t="s">
        <v>5449</v>
      </c>
      <c r="H2645" s="305" t="s">
        <v>1960</v>
      </c>
      <c r="I2645" s="432" t="s">
        <v>3525</v>
      </c>
      <c r="K2645" t="s">
        <v>659</v>
      </c>
      <c r="L2645" t="s">
        <v>669</v>
      </c>
      <c r="M2645" s="1" t="s">
        <v>3733</v>
      </c>
      <c r="N2645" t="s">
        <v>5704</v>
      </c>
    </row>
    <row r="2646" spans="1:15" ht="36">
      <c r="A2646" s="5">
        <v>2647</v>
      </c>
      <c r="B2646" t="str">
        <f t="shared" si="584"/>
        <v>TO</v>
      </c>
      <c r="C2646" t="str">
        <f t="shared" si="585"/>
        <v>KB</v>
      </c>
      <c r="D2646" t="s">
        <v>4807</v>
      </c>
      <c r="E2646" s="5">
        <v>4</v>
      </c>
      <c r="G2646" s="4" t="s">
        <v>5449</v>
      </c>
      <c r="H2646" s="306" t="s">
        <v>2538</v>
      </c>
      <c r="I2646" s="432" t="s">
        <v>5436</v>
      </c>
      <c r="K2646" t="s">
        <v>659</v>
      </c>
      <c r="L2646" t="s">
        <v>669</v>
      </c>
      <c r="M2646" s="1" t="s">
        <v>3733</v>
      </c>
      <c r="N2646" t="s">
        <v>5704</v>
      </c>
    </row>
    <row r="2647" spans="1:15">
      <c r="A2647" s="5">
        <v>2648</v>
      </c>
      <c r="B2647" t="str">
        <f t="shared" si="584"/>
        <v>TO</v>
      </c>
      <c r="C2647" t="str">
        <f t="shared" si="585"/>
        <v>KB</v>
      </c>
      <c r="D2647" t="s">
        <v>4807</v>
      </c>
      <c r="E2647" s="5">
        <v>4</v>
      </c>
      <c r="G2647" s="4" t="s">
        <v>5449</v>
      </c>
      <c r="H2647" s="306" t="s">
        <v>5438</v>
      </c>
      <c r="I2647" s="432" t="s">
        <v>5439</v>
      </c>
      <c r="K2647" t="s">
        <v>659</v>
      </c>
      <c r="L2647" t="s">
        <v>669</v>
      </c>
      <c r="M2647" s="1" t="s">
        <v>2102</v>
      </c>
      <c r="N2647" t="s">
        <v>2073</v>
      </c>
    </row>
    <row r="2648" spans="1:15">
      <c r="A2648" s="5">
        <v>2649</v>
      </c>
      <c r="B2648" t="str">
        <f t="shared" ref="B2648:B2649" si="586">MID(G2648,11,2)</f>
        <v>TO</v>
      </c>
      <c r="C2648" t="str">
        <f t="shared" ref="C2648:C2649" si="587">MID(G2648,14,2)</f>
        <v>KB</v>
      </c>
      <c r="D2648" t="s">
        <v>4807</v>
      </c>
      <c r="E2648" s="5">
        <v>3</v>
      </c>
      <c r="G2648" s="4" t="s">
        <v>5447</v>
      </c>
      <c r="H2648" s="306" t="s">
        <v>4694</v>
      </c>
      <c r="I2648" s="438" t="s">
        <v>4695</v>
      </c>
      <c r="K2648" t="s">
        <v>1434</v>
      </c>
      <c r="L2648" t="s">
        <v>669</v>
      </c>
      <c r="M2648" s="1" t="s">
        <v>2102</v>
      </c>
      <c r="N2648" t="s">
        <v>5750</v>
      </c>
    </row>
    <row r="2649" spans="1:15">
      <c r="A2649" s="5">
        <v>2650</v>
      </c>
      <c r="B2649" t="str">
        <f t="shared" si="586"/>
        <v>TO</v>
      </c>
      <c r="C2649" t="str">
        <f t="shared" si="587"/>
        <v>KB</v>
      </c>
      <c r="D2649" t="s">
        <v>4807</v>
      </c>
      <c r="E2649" s="5">
        <v>3</v>
      </c>
      <c r="G2649" s="4" t="s">
        <v>5447</v>
      </c>
      <c r="H2649" s="5" t="s">
        <v>1364</v>
      </c>
      <c r="I2649" s="438" t="s">
        <v>4696</v>
      </c>
      <c r="K2649" t="s">
        <v>659</v>
      </c>
      <c r="L2649" t="s">
        <v>669</v>
      </c>
      <c r="M2649" s="1" t="s">
        <v>2102</v>
      </c>
      <c r="N2649" t="s">
        <v>5750</v>
      </c>
    </row>
    <row r="2650" spans="1:15">
      <c r="A2650" s="5">
        <v>2651</v>
      </c>
      <c r="B2650" t="str">
        <f t="shared" si="584"/>
        <v>TO</v>
      </c>
      <c r="C2650" t="str">
        <f t="shared" si="585"/>
        <v>KB</v>
      </c>
      <c r="D2650" t="s">
        <v>4807</v>
      </c>
      <c r="E2650" s="5">
        <v>3</v>
      </c>
      <c r="G2650" s="4" t="s">
        <v>5447</v>
      </c>
      <c r="H2650" s="306" t="s">
        <v>5266</v>
      </c>
      <c r="I2650" s="432" t="s">
        <v>5450</v>
      </c>
      <c r="K2650" t="s">
        <v>1434</v>
      </c>
      <c r="L2650" t="s">
        <v>669</v>
      </c>
      <c r="M2650" s="1" t="s">
        <v>2102</v>
      </c>
      <c r="N2650" t="s">
        <v>5750</v>
      </c>
    </row>
    <row r="2651" spans="1:15">
      <c r="A2651" s="5">
        <v>2652</v>
      </c>
      <c r="B2651" t="str">
        <f t="shared" si="584"/>
        <v>TO</v>
      </c>
      <c r="C2651" t="str">
        <f t="shared" si="585"/>
        <v>KB</v>
      </c>
      <c r="D2651" t="s">
        <v>4807</v>
      </c>
      <c r="E2651" s="5">
        <v>3</v>
      </c>
      <c r="G2651" s="4" t="s">
        <v>5447</v>
      </c>
      <c r="H2651" s="306" t="s">
        <v>5267</v>
      </c>
      <c r="I2651" s="432" t="s">
        <v>5451</v>
      </c>
      <c r="K2651" t="s">
        <v>1434</v>
      </c>
      <c r="L2651" t="s">
        <v>669</v>
      </c>
      <c r="M2651" s="1" t="s">
        <v>2102</v>
      </c>
      <c r="N2651" t="s">
        <v>5750</v>
      </c>
    </row>
    <row r="2652" spans="1:15">
      <c r="A2652" s="5">
        <v>2653</v>
      </c>
      <c r="B2652" t="str">
        <f t="shared" si="584"/>
        <v>TO</v>
      </c>
      <c r="C2652" t="str">
        <f t="shared" si="585"/>
        <v>KB</v>
      </c>
      <c r="D2652" t="s">
        <v>4807</v>
      </c>
      <c r="E2652" s="5">
        <v>3</v>
      </c>
      <c r="G2652" s="4" t="s">
        <v>5447</v>
      </c>
      <c r="H2652" s="306" t="s">
        <v>5268</v>
      </c>
      <c r="I2652" s="432" t="s">
        <v>5452</v>
      </c>
      <c r="K2652" t="s">
        <v>1434</v>
      </c>
      <c r="L2652" t="s">
        <v>669</v>
      </c>
      <c r="M2652" s="1" t="s">
        <v>2102</v>
      </c>
      <c r="N2652" t="s">
        <v>5750</v>
      </c>
    </row>
    <row r="2653" spans="1:15">
      <c r="A2653" s="5">
        <v>2654</v>
      </c>
      <c r="B2653" t="str">
        <f>MID(G2653,11,2)</f>
        <v>TO</v>
      </c>
      <c r="C2653" t="str">
        <f>MID(G2653,14,2)</f>
        <v>KB</v>
      </c>
      <c r="D2653" t="s">
        <v>4807</v>
      </c>
      <c r="E2653" s="5">
        <v>3</v>
      </c>
      <c r="G2653" s="4" t="s">
        <v>5447</v>
      </c>
      <c r="H2653" s="306" t="s">
        <v>5269</v>
      </c>
      <c r="I2653" s="432" t="s">
        <v>5453</v>
      </c>
      <c r="K2653" t="s">
        <v>1434</v>
      </c>
      <c r="L2653" t="s">
        <v>669</v>
      </c>
      <c r="M2653" s="1" t="s">
        <v>2102</v>
      </c>
      <c r="N2653" t="s">
        <v>5750</v>
      </c>
    </row>
    <row r="2654" spans="1:15">
      <c r="A2654" s="5">
        <v>2655</v>
      </c>
      <c r="B2654" t="str">
        <f>MID(G2654,11,2)</f>
        <v>TO</v>
      </c>
      <c r="C2654" t="str">
        <f>MID(G2654,14,2)</f>
        <v>KB</v>
      </c>
      <c r="D2654" t="s">
        <v>4807</v>
      </c>
      <c r="E2654" s="5">
        <v>3</v>
      </c>
      <c r="G2654" s="4" t="s">
        <v>5572</v>
      </c>
      <c r="H2654" s="315" t="s">
        <v>4660</v>
      </c>
      <c r="I2654" s="432" t="s">
        <v>4661</v>
      </c>
      <c r="K2654" t="s">
        <v>1434</v>
      </c>
      <c r="L2654" t="s">
        <v>982</v>
      </c>
      <c r="M2654" t="s">
        <v>2137</v>
      </c>
      <c r="N2654" t="s">
        <v>5462</v>
      </c>
      <c r="O2654" t="s">
        <v>5463</v>
      </c>
    </row>
    <row r="2655" spans="1:15">
      <c r="A2655" s="5">
        <v>2656</v>
      </c>
      <c r="B2655" t="str">
        <f>MID(G2655,11,2)</f>
        <v>TO</v>
      </c>
      <c r="C2655" t="str">
        <f>MID(G2655,14,2)</f>
        <v>KB</v>
      </c>
      <c r="D2655" t="s">
        <v>4807</v>
      </c>
      <c r="E2655" s="5">
        <v>3</v>
      </c>
      <c r="G2655" s="4" t="s">
        <v>5572</v>
      </c>
      <c r="H2655" s="315" t="s">
        <v>4670</v>
      </c>
      <c r="I2655" s="432" t="s">
        <v>4484</v>
      </c>
      <c r="K2655" t="s">
        <v>1434</v>
      </c>
      <c r="L2655" t="s">
        <v>982</v>
      </c>
      <c r="M2655" t="s">
        <v>2137</v>
      </c>
      <c r="N2655" t="s">
        <v>5462</v>
      </c>
    </row>
    <row r="2656" spans="1:15">
      <c r="A2656" s="5">
        <v>2657</v>
      </c>
      <c r="B2656" t="str">
        <f>MID(G2656,11,2)</f>
        <v>TO</v>
      </c>
      <c r="C2656" t="str">
        <f>MID(G2656,14,2)</f>
        <v>KB</v>
      </c>
      <c r="D2656" t="s">
        <v>4807</v>
      </c>
      <c r="E2656" s="5">
        <v>3</v>
      </c>
      <c r="G2656" s="4" t="s">
        <v>5572</v>
      </c>
      <c r="H2656" s="315" t="s">
        <v>4485</v>
      </c>
      <c r="I2656" s="432" t="s">
        <v>4486</v>
      </c>
      <c r="K2656" t="s">
        <v>1434</v>
      </c>
      <c r="L2656" t="s">
        <v>982</v>
      </c>
      <c r="M2656" t="s">
        <v>2137</v>
      </c>
      <c r="N2656" t="s">
        <v>5462</v>
      </c>
    </row>
    <row r="2657" spans="1:14">
      <c r="A2657" s="5">
        <v>2658</v>
      </c>
      <c r="B2657" t="str">
        <f>MID(G2657,11,2)</f>
        <v>TO</v>
      </c>
      <c r="C2657" t="str">
        <f>MID(G2657,14,2)</f>
        <v>KB</v>
      </c>
      <c r="D2657" t="s">
        <v>4807</v>
      </c>
      <c r="E2657" s="5">
        <v>3</v>
      </c>
      <c r="G2657" s="4" t="s">
        <v>5591</v>
      </c>
      <c r="H2657" s="306" t="s">
        <v>5456</v>
      </c>
      <c r="I2657" s="432" t="s">
        <v>3669</v>
      </c>
      <c r="K2657" t="s">
        <v>659</v>
      </c>
      <c r="L2657" t="s">
        <v>669</v>
      </c>
      <c r="M2657" t="s">
        <v>2333</v>
      </c>
    </row>
    <row r="2658" spans="1:14">
      <c r="A2658" s="5">
        <v>2659</v>
      </c>
      <c r="B2658" t="str">
        <f t="shared" ref="B2658:B2661" si="588">MID(G2658,11,2)</f>
        <v>TO</v>
      </c>
      <c r="C2658" t="str">
        <f t="shared" ref="C2658:C2661" si="589">MID(G2658,14,2)</f>
        <v>KB</v>
      </c>
      <c r="D2658" t="s">
        <v>4807</v>
      </c>
      <c r="E2658" s="5">
        <v>3</v>
      </c>
      <c r="G2658" s="4" t="s">
        <v>5591</v>
      </c>
      <c r="H2658" s="306" t="s">
        <v>5226</v>
      </c>
      <c r="I2658" s="432" t="s">
        <v>5459</v>
      </c>
      <c r="K2658" t="s">
        <v>659</v>
      </c>
      <c r="L2658" t="s">
        <v>669</v>
      </c>
      <c r="M2658" t="s">
        <v>2333</v>
      </c>
    </row>
    <row r="2659" spans="1:14">
      <c r="A2659" s="5">
        <v>2660</v>
      </c>
      <c r="B2659" t="str">
        <f t="shared" si="588"/>
        <v>TO</v>
      </c>
      <c r="C2659" t="str">
        <f t="shared" si="589"/>
        <v>KB</v>
      </c>
      <c r="D2659" t="s">
        <v>4807</v>
      </c>
      <c r="E2659" s="5">
        <v>3</v>
      </c>
      <c r="G2659" s="4" t="s">
        <v>5591</v>
      </c>
      <c r="H2659" s="306" t="s">
        <v>5454</v>
      </c>
      <c r="I2659" s="432" t="s">
        <v>2350</v>
      </c>
      <c r="K2659" t="s">
        <v>659</v>
      </c>
      <c r="L2659" t="s">
        <v>669</v>
      </c>
      <c r="M2659" t="s">
        <v>2333</v>
      </c>
      <c r="N2659" t="s">
        <v>4308</v>
      </c>
    </row>
    <row r="2660" spans="1:14">
      <c r="A2660" s="5">
        <v>2661</v>
      </c>
      <c r="B2660" t="str">
        <f t="shared" si="588"/>
        <v>TO</v>
      </c>
      <c r="C2660" t="str">
        <f t="shared" si="589"/>
        <v>KB</v>
      </c>
      <c r="D2660" t="s">
        <v>4807</v>
      </c>
      <c r="E2660" s="5">
        <v>3</v>
      </c>
      <c r="G2660" s="4" t="s">
        <v>5591</v>
      </c>
      <c r="H2660" s="306" t="s">
        <v>4666</v>
      </c>
      <c r="I2660" s="432" t="s">
        <v>2750</v>
      </c>
      <c r="K2660" t="s">
        <v>659</v>
      </c>
      <c r="L2660" t="s">
        <v>669</v>
      </c>
      <c r="M2660" t="s">
        <v>2333</v>
      </c>
      <c r="N2660" t="s">
        <v>4308</v>
      </c>
    </row>
    <row r="2661" spans="1:14">
      <c r="A2661" s="5">
        <v>2662</v>
      </c>
      <c r="B2661" t="str">
        <f t="shared" si="588"/>
        <v>TO</v>
      </c>
      <c r="C2661" t="str">
        <f t="shared" si="589"/>
        <v>KB</v>
      </c>
      <c r="D2661" t="s">
        <v>4807</v>
      </c>
      <c r="E2661" s="5">
        <v>3</v>
      </c>
      <c r="G2661" s="4" t="s">
        <v>5591</v>
      </c>
      <c r="H2661" s="306" t="s">
        <v>5494</v>
      </c>
      <c r="I2661" s="432" t="s">
        <v>5495</v>
      </c>
      <c r="K2661" t="s">
        <v>659</v>
      </c>
      <c r="L2661" t="s">
        <v>669</v>
      </c>
      <c r="M2661" t="s">
        <v>2333</v>
      </c>
      <c r="N2661" t="s">
        <v>4308</v>
      </c>
    </row>
    <row r="2662" spans="1:14">
      <c r="A2662" s="5">
        <v>2663</v>
      </c>
      <c r="B2662" t="str">
        <f t="shared" ref="B2662:B2666" si="590">MID(G2662,11,2)</f>
        <v>TO</v>
      </c>
      <c r="C2662" t="str">
        <f t="shared" ref="C2662:C2666" si="591">MID(G2662,14,2)</f>
        <v>KB</v>
      </c>
      <c r="D2662" t="s">
        <v>4807</v>
      </c>
      <c r="E2662" s="5">
        <v>3</v>
      </c>
      <c r="G2662" s="4" t="s">
        <v>5592</v>
      </c>
      <c r="H2662" s="306" t="s">
        <v>5464</v>
      </c>
      <c r="I2662" s="432" t="s">
        <v>3050</v>
      </c>
      <c r="K2662" t="s">
        <v>659</v>
      </c>
      <c r="L2662" t="s">
        <v>669</v>
      </c>
      <c r="M2662" t="s">
        <v>2333</v>
      </c>
    </row>
    <row r="2663" spans="1:14">
      <c r="A2663" s="5">
        <v>2664</v>
      </c>
      <c r="B2663" t="str">
        <f t="shared" si="590"/>
        <v>TO</v>
      </c>
      <c r="C2663" t="str">
        <f t="shared" si="591"/>
        <v>KB</v>
      </c>
      <c r="D2663" t="s">
        <v>4807</v>
      </c>
      <c r="E2663" s="5">
        <v>3</v>
      </c>
      <c r="G2663" s="4" t="s">
        <v>5592</v>
      </c>
      <c r="H2663" s="306" t="s">
        <v>5564</v>
      </c>
      <c r="I2663" s="432" t="s">
        <v>5565</v>
      </c>
      <c r="K2663" t="s">
        <v>1434</v>
      </c>
      <c r="L2663" t="s">
        <v>669</v>
      </c>
      <c r="M2663" t="s">
        <v>2333</v>
      </c>
    </row>
    <row r="2664" spans="1:14">
      <c r="A2664" s="5">
        <v>2665</v>
      </c>
      <c r="B2664" t="str">
        <f t="shared" si="590"/>
        <v>TO</v>
      </c>
      <c r="C2664" t="str">
        <f t="shared" si="591"/>
        <v>KB</v>
      </c>
      <c r="D2664" t="s">
        <v>4807</v>
      </c>
      <c r="E2664" s="5">
        <v>3</v>
      </c>
      <c r="G2664" s="4" t="s">
        <v>5592</v>
      </c>
      <c r="H2664" s="306" t="s">
        <v>4669</v>
      </c>
      <c r="I2664" s="432" t="s">
        <v>2429</v>
      </c>
      <c r="K2664" t="s">
        <v>659</v>
      </c>
      <c r="L2664" t="s">
        <v>669</v>
      </c>
      <c r="M2664" t="s">
        <v>2333</v>
      </c>
    </row>
    <row r="2665" spans="1:14">
      <c r="A2665" s="5">
        <v>2666</v>
      </c>
      <c r="B2665" t="str">
        <f t="shared" si="590"/>
        <v>TO</v>
      </c>
      <c r="C2665" t="str">
        <f t="shared" si="591"/>
        <v>KB</v>
      </c>
      <c r="D2665" t="s">
        <v>4807</v>
      </c>
      <c r="E2665" s="5">
        <v>3</v>
      </c>
      <c r="G2665" s="4" t="s">
        <v>5592</v>
      </c>
      <c r="H2665" s="306" t="s">
        <v>5472</v>
      </c>
      <c r="I2665" s="432" t="s">
        <v>5473</v>
      </c>
      <c r="K2665" t="s">
        <v>659</v>
      </c>
      <c r="L2665" t="s">
        <v>669</v>
      </c>
      <c r="M2665" t="s">
        <v>2333</v>
      </c>
    </row>
    <row r="2666" spans="1:14">
      <c r="A2666" s="5">
        <v>2667</v>
      </c>
      <c r="B2666" t="str">
        <f t="shared" si="590"/>
        <v>TO</v>
      </c>
      <c r="C2666" t="str">
        <f t="shared" si="591"/>
        <v>KB</v>
      </c>
      <c r="D2666" t="s">
        <v>4807</v>
      </c>
      <c r="E2666" s="5">
        <v>3</v>
      </c>
      <c r="G2666" s="4" t="s">
        <v>5592</v>
      </c>
      <c r="H2666" s="306" t="s">
        <v>5474</v>
      </c>
      <c r="I2666" s="432" t="s">
        <v>5475</v>
      </c>
      <c r="K2666" t="s">
        <v>659</v>
      </c>
      <c r="L2666" t="s">
        <v>669</v>
      </c>
      <c r="M2666" t="s">
        <v>2333</v>
      </c>
    </row>
    <row r="2667" spans="1:14">
      <c r="A2667" s="5">
        <v>2668</v>
      </c>
      <c r="B2667" t="str">
        <f t="shared" ref="B2667:B2672" si="592">MID(G2667,11,2)</f>
        <v>TO</v>
      </c>
      <c r="C2667" t="str">
        <f t="shared" ref="C2667:C2672" si="593">MID(G2667,14,2)</f>
        <v>KB</v>
      </c>
      <c r="D2667" t="s">
        <v>4807</v>
      </c>
      <c r="E2667" s="5">
        <v>3</v>
      </c>
      <c r="G2667" s="4" t="s">
        <v>5592</v>
      </c>
      <c r="H2667" s="306" t="s">
        <v>5476</v>
      </c>
      <c r="I2667" s="432" t="s">
        <v>5477</v>
      </c>
      <c r="K2667" t="s">
        <v>659</v>
      </c>
      <c r="L2667" t="s">
        <v>669</v>
      </c>
      <c r="M2667" t="s">
        <v>2333</v>
      </c>
    </row>
    <row r="2668" spans="1:14">
      <c r="A2668" s="5">
        <v>2669</v>
      </c>
      <c r="B2668" t="str">
        <f t="shared" si="592"/>
        <v>TO</v>
      </c>
      <c r="C2668" t="str">
        <f t="shared" si="593"/>
        <v>KB</v>
      </c>
      <c r="D2668" t="s">
        <v>4807</v>
      </c>
      <c r="E2668" s="5">
        <v>3</v>
      </c>
      <c r="G2668" s="4" t="s">
        <v>5593</v>
      </c>
      <c r="H2668" s="306" t="s">
        <v>5478</v>
      </c>
      <c r="I2668" s="432" t="s">
        <v>5479</v>
      </c>
      <c r="K2668" t="s">
        <v>1434</v>
      </c>
      <c r="L2668" t="s">
        <v>2102</v>
      </c>
      <c r="M2668"/>
      <c r="N2668" t="s">
        <v>5593</v>
      </c>
    </row>
    <row r="2669" spans="1:14">
      <c r="A2669" s="5">
        <v>2670</v>
      </c>
      <c r="B2669" t="str">
        <f t="shared" si="592"/>
        <v>TO</v>
      </c>
      <c r="C2669" t="str">
        <f t="shared" si="593"/>
        <v>KB</v>
      </c>
      <c r="D2669" t="s">
        <v>4807</v>
      </c>
      <c r="E2669" s="5">
        <v>3</v>
      </c>
      <c r="G2669" s="4" t="s">
        <v>5593</v>
      </c>
      <c r="H2669" s="306" t="s">
        <v>5480</v>
      </c>
      <c r="I2669" s="432" t="s">
        <v>5481</v>
      </c>
      <c r="K2669" t="s">
        <v>659</v>
      </c>
      <c r="L2669" t="s">
        <v>2102</v>
      </c>
      <c r="M2669"/>
      <c r="N2669" t="s">
        <v>5593</v>
      </c>
    </row>
    <row r="2670" spans="1:14" ht="36">
      <c r="A2670" s="5">
        <v>2671</v>
      </c>
      <c r="B2670" t="str">
        <f t="shared" si="592"/>
        <v>TO</v>
      </c>
      <c r="C2670" t="str">
        <f t="shared" si="593"/>
        <v>KB</v>
      </c>
      <c r="D2670" t="s">
        <v>4807</v>
      </c>
      <c r="E2670" s="5">
        <v>3</v>
      </c>
      <c r="G2670" s="4" t="s">
        <v>5593</v>
      </c>
      <c r="H2670" s="306" t="s">
        <v>5482</v>
      </c>
      <c r="I2670" s="432" t="s">
        <v>4310</v>
      </c>
      <c r="K2670" t="s">
        <v>659</v>
      </c>
      <c r="L2670" t="s">
        <v>2102</v>
      </c>
      <c r="M2670"/>
      <c r="N2670" t="s">
        <v>5593</v>
      </c>
    </row>
    <row r="2671" spans="1:14">
      <c r="A2671" s="5">
        <v>2672</v>
      </c>
      <c r="B2671" t="str">
        <f t="shared" si="592"/>
        <v>TO</v>
      </c>
      <c r="C2671" t="str">
        <f t="shared" si="593"/>
        <v>KB</v>
      </c>
      <c r="D2671" t="s">
        <v>4807</v>
      </c>
      <c r="E2671" s="5">
        <v>3</v>
      </c>
      <c r="G2671" s="4" t="s">
        <v>5593</v>
      </c>
      <c r="H2671" s="306" t="s">
        <v>5483</v>
      </c>
      <c r="I2671" s="432" t="s">
        <v>3575</v>
      </c>
      <c r="K2671" t="s">
        <v>659</v>
      </c>
      <c r="L2671" t="s">
        <v>2102</v>
      </c>
      <c r="M2671"/>
      <c r="N2671" t="s">
        <v>5593</v>
      </c>
    </row>
    <row r="2672" spans="1:14">
      <c r="A2672" s="5">
        <v>2673</v>
      </c>
      <c r="B2672" t="str">
        <f t="shared" si="592"/>
        <v>TO</v>
      </c>
      <c r="C2672" t="str">
        <f t="shared" si="593"/>
        <v>KB</v>
      </c>
      <c r="D2672" t="s">
        <v>4807</v>
      </c>
      <c r="E2672" s="5">
        <v>3</v>
      </c>
      <c r="G2672" s="4" t="s">
        <v>5593</v>
      </c>
      <c r="H2672" s="306" t="s">
        <v>5484</v>
      </c>
      <c r="I2672" s="432" t="s">
        <v>4551</v>
      </c>
      <c r="K2672" t="s">
        <v>659</v>
      </c>
      <c r="L2672" t="s">
        <v>2102</v>
      </c>
      <c r="M2672"/>
      <c r="N2672" t="s">
        <v>5593</v>
      </c>
    </row>
    <row r="2673" spans="1:13">
      <c r="A2673" s="5">
        <v>2674</v>
      </c>
      <c r="B2673" t="str">
        <f t="shared" ref="B2673:B2676" si="594">MID(G2673,11,2)</f>
        <v>TO</v>
      </c>
      <c r="C2673" t="str">
        <f t="shared" ref="C2673:C2676" si="595">MID(G2673,14,2)</f>
        <v>KB</v>
      </c>
      <c r="D2673" t="s">
        <v>4810</v>
      </c>
      <c r="E2673" s="5">
        <v>3</v>
      </c>
      <c r="G2673" s="4" t="s">
        <v>5594</v>
      </c>
      <c r="H2673" s="306" t="s">
        <v>5485</v>
      </c>
      <c r="I2673" s="432" t="s">
        <v>2897</v>
      </c>
      <c r="K2673" t="s">
        <v>659</v>
      </c>
      <c r="L2673" t="s">
        <v>669</v>
      </c>
      <c r="M2673" t="s">
        <v>2140</v>
      </c>
    </row>
    <row r="2674" spans="1:13">
      <c r="A2674" s="5">
        <v>2675</v>
      </c>
      <c r="B2674" t="str">
        <f t="shared" si="594"/>
        <v>TO</v>
      </c>
      <c r="C2674" t="str">
        <f t="shared" si="595"/>
        <v>KB</v>
      </c>
      <c r="D2674" t="s">
        <v>4810</v>
      </c>
      <c r="E2674" s="5">
        <v>3</v>
      </c>
      <c r="G2674" s="4" t="s">
        <v>5594</v>
      </c>
      <c r="H2674" s="306" t="s">
        <v>5486</v>
      </c>
      <c r="I2674" s="432" t="s">
        <v>5487</v>
      </c>
      <c r="K2674" t="s">
        <v>1434</v>
      </c>
      <c r="L2674" t="s">
        <v>669</v>
      </c>
      <c r="M2674" t="s">
        <v>2333</v>
      </c>
    </row>
    <row r="2675" spans="1:13">
      <c r="A2675" s="5">
        <v>2676</v>
      </c>
      <c r="B2675" t="str">
        <f t="shared" si="594"/>
        <v>TO</v>
      </c>
      <c r="C2675" t="str">
        <f t="shared" si="595"/>
        <v>KB</v>
      </c>
      <c r="D2675" t="s">
        <v>4810</v>
      </c>
      <c r="E2675" s="5">
        <v>3</v>
      </c>
      <c r="G2675" s="4" t="s">
        <v>5594</v>
      </c>
      <c r="H2675" s="306" t="s">
        <v>5488</v>
      </c>
      <c r="I2675" s="432" t="s">
        <v>5489</v>
      </c>
      <c r="K2675" t="s">
        <v>1434</v>
      </c>
      <c r="L2675" t="s">
        <v>669</v>
      </c>
      <c r="M2675" t="s">
        <v>2333</v>
      </c>
    </row>
    <row r="2676" spans="1:13">
      <c r="A2676" s="5">
        <v>2677</v>
      </c>
      <c r="B2676" t="str">
        <f t="shared" si="594"/>
        <v>TO</v>
      </c>
      <c r="C2676" t="str">
        <f t="shared" si="595"/>
        <v>KB</v>
      </c>
      <c r="D2676" t="s">
        <v>4810</v>
      </c>
      <c r="E2676" s="5">
        <v>3</v>
      </c>
      <c r="G2676" s="4" t="s">
        <v>5594</v>
      </c>
      <c r="H2676" s="306" t="s">
        <v>5490</v>
      </c>
      <c r="I2676" s="432" t="s">
        <v>5491</v>
      </c>
      <c r="K2676" t="s">
        <v>1434</v>
      </c>
      <c r="L2676" t="s">
        <v>669</v>
      </c>
      <c r="M2676" t="s">
        <v>2333</v>
      </c>
    </row>
    <row r="2677" spans="1:13">
      <c r="A2677" s="5">
        <v>2678</v>
      </c>
      <c r="B2677" t="str">
        <f>MID(G2677,11,2)</f>
        <v>TO</v>
      </c>
      <c r="C2677" t="str">
        <f>MID(G2677,14,2)</f>
        <v>KB</v>
      </c>
      <c r="D2677" t="s">
        <v>4810</v>
      </c>
      <c r="E2677" s="5">
        <v>3</v>
      </c>
      <c r="G2677" s="4" t="s">
        <v>5594</v>
      </c>
      <c r="H2677" s="306" t="s">
        <v>5492</v>
      </c>
      <c r="I2677" s="432" t="s">
        <v>5493</v>
      </c>
      <c r="K2677" t="s">
        <v>1434</v>
      </c>
      <c r="L2677" t="s">
        <v>669</v>
      </c>
      <c r="M2677" t="s">
        <v>2333</v>
      </c>
    </row>
    <row r="2678" spans="1:13">
      <c r="A2678" s="5">
        <v>2679</v>
      </c>
      <c r="B2678" t="str">
        <f>MID(G2678,11,2)</f>
        <v>TO</v>
      </c>
      <c r="C2678" t="str">
        <f>MID(G2678,14,2)</f>
        <v>KB</v>
      </c>
      <c r="D2678" t="s">
        <v>4810</v>
      </c>
      <c r="E2678" s="5">
        <v>4</v>
      </c>
      <c r="G2678" s="4" t="s">
        <v>5597</v>
      </c>
      <c r="H2678" s="306" t="s">
        <v>5465</v>
      </c>
      <c r="I2678" s="432" t="s">
        <v>5466</v>
      </c>
      <c r="K2678" t="s">
        <v>1434</v>
      </c>
      <c r="L2678" t="s">
        <v>669</v>
      </c>
      <c r="M2678" t="s">
        <v>2333</v>
      </c>
    </row>
    <row r="2679" spans="1:13">
      <c r="A2679" s="5">
        <v>2680</v>
      </c>
      <c r="B2679" t="str">
        <f t="shared" ref="B2679:B2683" si="596">MID(G2679,11,2)</f>
        <v>TO</v>
      </c>
      <c r="C2679" t="str">
        <f t="shared" ref="C2679:C2683" si="597">MID(G2679,14,2)</f>
        <v>KB</v>
      </c>
      <c r="D2679" t="s">
        <v>4810</v>
      </c>
      <c r="E2679" s="5">
        <v>4</v>
      </c>
      <c r="G2679" s="4" t="s">
        <v>5597</v>
      </c>
      <c r="H2679" s="306" t="s">
        <v>5467</v>
      </c>
      <c r="I2679" s="432" t="s">
        <v>5598</v>
      </c>
      <c r="K2679" t="s">
        <v>1434</v>
      </c>
      <c r="L2679" t="s">
        <v>669</v>
      </c>
      <c r="M2679" t="s">
        <v>2333</v>
      </c>
    </row>
    <row r="2680" spans="1:13">
      <c r="A2680" s="5">
        <v>2681</v>
      </c>
      <c r="B2680" t="str">
        <f t="shared" si="596"/>
        <v>TO</v>
      </c>
      <c r="C2680" t="str">
        <f t="shared" si="597"/>
        <v>KB</v>
      </c>
      <c r="D2680" t="s">
        <v>4810</v>
      </c>
      <c r="E2680" s="5">
        <v>4</v>
      </c>
      <c r="G2680" s="4" t="s">
        <v>5597</v>
      </c>
      <c r="H2680" s="306" t="s">
        <v>5468</v>
      </c>
      <c r="I2680" s="432" t="s">
        <v>5471</v>
      </c>
      <c r="K2680" t="s">
        <v>1434</v>
      </c>
      <c r="L2680" t="s">
        <v>669</v>
      </c>
      <c r="M2680" t="s">
        <v>2333</v>
      </c>
    </row>
    <row r="2681" spans="1:13">
      <c r="A2681" s="5">
        <v>2682</v>
      </c>
      <c r="B2681" t="str">
        <f t="shared" si="596"/>
        <v>TO</v>
      </c>
      <c r="C2681" t="str">
        <f t="shared" si="597"/>
        <v>KB</v>
      </c>
      <c r="D2681" t="s">
        <v>4810</v>
      </c>
      <c r="E2681" s="5">
        <v>4</v>
      </c>
      <c r="G2681" s="4" t="s">
        <v>5597</v>
      </c>
      <c r="H2681" s="306" t="s">
        <v>5469</v>
      </c>
      <c r="I2681" s="432" t="s">
        <v>5470</v>
      </c>
      <c r="K2681" t="s">
        <v>1434</v>
      </c>
      <c r="L2681" t="s">
        <v>669</v>
      </c>
      <c r="M2681" t="s">
        <v>2333</v>
      </c>
    </row>
    <row r="2682" spans="1:13">
      <c r="A2682" s="5">
        <v>2683</v>
      </c>
      <c r="B2682" t="str">
        <f t="shared" si="596"/>
        <v>TO</v>
      </c>
      <c r="C2682" t="str">
        <f t="shared" si="597"/>
        <v>KB</v>
      </c>
      <c r="D2682" t="s">
        <v>4810</v>
      </c>
      <c r="E2682" s="5">
        <v>4</v>
      </c>
      <c r="G2682" s="4" t="s">
        <v>5597</v>
      </c>
      <c r="H2682" s="306" t="s">
        <v>5496</v>
      </c>
      <c r="I2682" s="432" t="s">
        <v>3505</v>
      </c>
      <c r="K2682" t="s">
        <v>659</v>
      </c>
      <c r="L2682" t="s">
        <v>669</v>
      </c>
      <c r="M2682" t="s">
        <v>2333</v>
      </c>
    </row>
    <row r="2683" spans="1:13">
      <c r="A2683" s="5">
        <v>2684</v>
      </c>
      <c r="B2683" t="str">
        <f t="shared" si="596"/>
        <v>TO</v>
      </c>
      <c r="C2683" t="str">
        <f t="shared" si="597"/>
        <v>KB</v>
      </c>
      <c r="D2683" t="s">
        <v>4810</v>
      </c>
      <c r="E2683" s="5">
        <v>4</v>
      </c>
      <c r="G2683" s="4" t="s">
        <v>5597</v>
      </c>
      <c r="H2683" s="306" t="s">
        <v>5499</v>
      </c>
      <c r="I2683" s="432" t="s">
        <v>5500</v>
      </c>
      <c r="K2683" t="s">
        <v>659</v>
      </c>
      <c r="L2683" t="s">
        <v>669</v>
      </c>
      <c r="M2683" t="s">
        <v>2333</v>
      </c>
    </row>
    <row r="2684" spans="1:13">
      <c r="A2684" s="5">
        <v>2685</v>
      </c>
      <c r="B2684" t="str">
        <f>MID(G2684,11,2)</f>
        <v>TO</v>
      </c>
      <c r="C2684" t="str">
        <f>MID(G2684,14,2)</f>
        <v>KB</v>
      </c>
      <c r="D2684" t="s">
        <v>4810</v>
      </c>
      <c r="E2684" s="5">
        <v>4</v>
      </c>
      <c r="G2684" s="4" t="s">
        <v>5599</v>
      </c>
      <c r="H2684" s="306" t="s">
        <v>5501</v>
      </c>
      <c r="I2684" s="432" t="s">
        <v>5502</v>
      </c>
      <c r="K2684" t="s">
        <v>1434</v>
      </c>
      <c r="L2684" t="s">
        <v>669</v>
      </c>
      <c r="M2684" t="s">
        <v>2333</v>
      </c>
    </row>
    <row r="2685" spans="1:13">
      <c r="A2685" s="5">
        <v>2686</v>
      </c>
      <c r="B2685" t="str">
        <f t="shared" ref="B2685:B2691" si="598">MID(G2685,11,2)</f>
        <v>TO</v>
      </c>
      <c r="C2685" t="str">
        <f t="shared" ref="C2685:C2691" si="599">MID(G2685,14,2)</f>
        <v>KB</v>
      </c>
      <c r="D2685" t="s">
        <v>4810</v>
      </c>
      <c r="E2685" s="5">
        <v>4</v>
      </c>
      <c r="G2685" s="4" t="s">
        <v>5599</v>
      </c>
      <c r="H2685" s="306" t="s">
        <v>5503</v>
      </c>
      <c r="I2685" s="432" t="s">
        <v>5504</v>
      </c>
      <c r="K2685" t="s">
        <v>1434</v>
      </c>
      <c r="L2685" t="s">
        <v>669</v>
      </c>
      <c r="M2685" t="s">
        <v>2333</v>
      </c>
    </row>
    <row r="2686" spans="1:13">
      <c r="A2686" s="5">
        <v>2687</v>
      </c>
      <c r="B2686" t="str">
        <f t="shared" si="598"/>
        <v>TO</v>
      </c>
      <c r="C2686" t="str">
        <f t="shared" si="599"/>
        <v>KB</v>
      </c>
      <c r="D2686" t="s">
        <v>4810</v>
      </c>
      <c r="E2686" s="5">
        <v>4</v>
      </c>
      <c r="G2686" s="4" t="s">
        <v>5599</v>
      </c>
      <c r="H2686" s="306" t="s">
        <v>5505</v>
      </c>
      <c r="I2686" s="432" t="s">
        <v>5506</v>
      </c>
      <c r="K2686" t="s">
        <v>659</v>
      </c>
      <c r="L2686" t="s">
        <v>669</v>
      </c>
      <c r="M2686" t="s">
        <v>2333</v>
      </c>
    </row>
    <row r="2687" spans="1:13">
      <c r="A2687" s="5">
        <v>2688</v>
      </c>
      <c r="B2687" t="str">
        <f t="shared" si="598"/>
        <v>TO</v>
      </c>
      <c r="C2687" t="str">
        <f t="shared" si="599"/>
        <v>KB</v>
      </c>
      <c r="D2687" t="s">
        <v>4810</v>
      </c>
      <c r="E2687" s="5">
        <v>4</v>
      </c>
      <c r="G2687" s="4" t="s">
        <v>5599</v>
      </c>
      <c r="H2687" s="306" t="s">
        <v>5508</v>
      </c>
      <c r="I2687" s="432" t="s">
        <v>5509</v>
      </c>
      <c r="K2687" t="s">
        <v>1434</v>
      </c>
      <c r="L2687" t="s">
        <v>669</v>
      </c>
      <c r="M2687" t="s">
        <v>2333</v>
      </c>
    </row>
    <row r="2688" spans="1:13">
      <c r="A2688" s="5">
        <v>2689</v>
      </c>
      <c r="B2688" t="str">
        <f t="shared" si="598"/>
        <v>TO</v>
      </c>
      <c r="C2688" t="str">
        <f t="shared" si="599"/>
        <v>KB</v>
      </c>
      <c r="D2688" t="s">
        <v>4810</v>
      </c>
      <c r="E2688" s="5">
        <v>4</v>
      </c>
      <c r="G2688" s="4" t="s">
        <v>5599</v>
      </c>
      <c r="H2688" s="306" t="s">
        <v>5517</v>
      </c>
      <c r="I2688" s="432" t="s">
        <v>5518</v>
      </c>
      <c r="K2688" t="s">
        <v>1434</v>
      </c>
      <c r="L2688" t="s">
        <v>669</v>
      </c>
      <c r="M2688" t="s">
        <v>2333</v>
      </c>
    </row>
    <row r="2689" spans="1:13" ht="36">
      <c r="A2689" s="5">
        <v>2690</v>
      </c>
      <c r="B2689" t="str">
        <f t="shared" si="598"/>
        <v>TO</v>
      </c>
      <c r="C2689" t="str">
        <f t="shared" si="599"/>
        <v>KB</v>
      </c>
      <c r="D2689" t="s">
        <v>4810</v>
      </c>
      <c r="E2689" s="5">
        <v>4</v>
      </c>
      <c r="G2689" s="4" t="s">
        <v>5599</v>
      </c>
      <c r="H2689" s="306" t="s">
        <v>4506</v>
      </c>
      <c r="I2689" s="432" t="s">
        <v>4507</v>
      </c>
      <c r="K2689" t="s">
        <v>659</v>
      </c>
      <c r="L2689" t="s">
        <v>669</v>
      </c>
      <c r="M2689" t="s">
        <v>2333</v>
      </c>
    </row>
    <row r="2690" spans="1:13">
      <c r="A2690" s="5">
        <v>2691</v>
      </c>
      <c r="B2690" t="str">
        <f t="shared" si="598"/>
        <v>TO</v>
      </c>
      <c r="C2690" t="str">
        <f t="shared" si="599"/>
        <v>KB</v>
      </c>
      <c r="D2690" t="s">
        <v>4810</v>
      </c>
      <c r="E2690" s="5">
        <v>4</v>
      </c>
      <c r="G2690" s="4" t="s">
        <v>5599</v>
      </c>
      <c r="H2690" s="306" t="s">
        <v>5519</v>
      </c>
      <c r="I2690" s="432" t="s">
        <v>5371</v>
      </c>
      <c r="K2690" t="s">
        <v>659</v>
      </c>
      <c r="L2690" t="s">
        <v>669</v>
      </c>
      <c r="M2690" t="s">
        <v>2333</v>
      </c>
    </row>
    <row r="2691" spans="1:13">
      <c r="A2691" s="5">
        <v>2692</v>
      </c>
      <c r="B2691" t="str">
        <f t="shared" si="598"/>
        <v>TO</v>
      </c>
      <c r="C2691" t="str">
        <f t="shared" si="599"/>
        <v>KB</v>
      </c>
      <c r="D2691" t="s">
        <v>4810</v>
      </c>
      <c r="E2691" s="5">
        <v>4</v>
      </c>
      <c r="G2691" s="4" t="s">
        <v>5599</v>
      </c>
      <c r="H2691" s="306" t="s">
        <v>2809</v>
      </c>
      <c r="I2691" s="432" t="s">
        <v>5521</v>
      </c>
      <c r="K2691" t="s">
        <v>659</v>
      </c>
      <c r="L2691" t="s">
        <v>669</v>
      </c>
      <c r="M2691" t="s">
        <v>2333</v>
      </c>
    </row>
    <row r="2692" spans="1:13" ht="36">
      <c r="A2692" s="5">
        <v>2693</v>
      </c>
      <c r="B2692" t="str">
        <f>MID(G2692,11,2)</f>
        <v>TO</v>
      </c>
      <c r="C2692" t="str">
        <f>MID(G2692,14,2)</f>
        <v>KB</v>
      </c>
      <c r="D2692" t="s">
        <v>4810</v>
      </c>
      <c r="E2692" s="5">
        <v>1</v>
      </c>
      <c r="F2692" t="s">
        <v>2766</v>
      </c>
      <c r="G2692" s="4" t="s">
        <v>5602</v>
      </c>
      <c r="H2692" s="306" t="s">
        <v>5600</v>
      </c>
      <c r="I2692" s="432" t="s">
        <v>5601</v>
      </c>
      <c r="K2692" t="s">
        <v>659</v>
      </c>
      <c r="L2692" t="s">
        <v>669</v>
      </c>
      <c r="M2692" t="s">
        <v>2333</v>
      </c>
    </row>
    <row r="2693" spans="1:13">
      <c r="A2693" s="5">
        <v>2694</v>
      </c>
      <c r="B2693" t="s">
        <v>152</v>
      </c>
      <c r="C2693" t="str">
        <f>MID(G2693,14,2)</f>
        <v>KB</v>
      </c>
      <c r="D2693" t="s">
        <v>4810</v>
      </c>
      <c r="E2693" s="5">
        <v>1</v>
      </c>
      <c r="F2693" t="s">
        <v>2766</v>
      </c>
      <c r="G2693" s="4" t="s">
        <v>5641</v>
      </c>
      <c r="H2693" t="s">
        <v>1576</v>
      </c>
      <c r="I2693" s="432" t="s">
        <v>4748</v>
      </c>
      <c r="K2693" t="s">
        <v>659</v>
      </c>
      <c r="L2693" t="s">
        <v>669</v>
      </c>
      <c r="M2693" t="s">
        <v>2333</v>
      </c>
    </row>
    <row r="2694" spans="1:13">
      <c r="A2694" s="5">
        <v>2695</v>
      </c>
      <c r="B2694" t="s">
        <v>152</v>
      </c>
      <c r="C2694" t="str">
        <f>MID(G2694,14,2)</f>
        <v>KB</v>
      </c>
      <c r="D2694" t="s">
        <v>4810</v>
      </c>
      <c r="E2694" s="5">
        <v>1</v>
      </c>
      <c r="F2694" t="s">
        <v>2766</v>
      </c>
      <c r="G2694" s="4" t="s">
        <v>5641</v>
      </c>
      <c r="H2694" t="s">
        <v>1306</v>
      </c>
      <c r="I2694" s="432" t="s">
        <v>5638</v>
      </c>
      <c r="K2694" t="s">
        <v>659</v>
      </c>
      <c r="L2694" t="s">
        <v>669</v>
      </c>
      <c r="M2694" t="s">
        <v>2333</v>
      </c>
    </row>
    <row r="2695" spans="1:13">
      <c r="A2695" s="5">
        <v>2696</v>
      </c>
      <c r="B2695" t="str">
        <f>MID(G2695,11,2)</f>
        <v>TO</v>
      </c>
      <c r="C2695" t="str">
        <f>MID(G2695,14,2)</f>
        <v>KB</v>
      </c>
      <c r="D2695" t="s">
        <v>4810</v>
      </c>
      <c r="E2695" s="5">
        <v>2</v>
      </c>
      <c r="G2695" s="4" t="s">
        <v>5672</v>
      </c>
      <c r="H2695" t="s">
        <v>1505</v>
      </c>
      <c r="I2695" s="432" t="s">
        <v>5642</v>
      </c>
      <c r="K2695" t="s">
        <v>659</v>
      </c>
      <c r="L2695" t="s">
        <v>669</v>
      </c>
      <c r="M2695" t="s">
        <v>2333</v>
      </c>
    </row>
    <row r="2696" spans="1:13">
      <c r="A2696" s="5">
        <v>2697</v>
      </c>
      <c r="B2696" t="str">
        <f t="shared" ref="B2696:B2726" si="600">MID(G2696,11,2)</f>
        <v>TO</v>
      </c>
      <c r="C2696" t="str">
        <f t="shared" ref="C2696:C2726" si="601">MID(G2696,14,2)</f>
        <v>KB</v>
      </c>
      <c r="D2696" t="s">
        <v>4810</v>
      </c>
      <c r="E2696" s="5">
        <v>2</v>
      </c>
      <c r="G2696" s="4" t="s">
        <v>5672</v>
      </c>
      <c r="H2696" t="s">
        <v>1509</v>
      </c>
      <c r="I2696" s="432" t="s">
        <v>5643</v>
      </c>
      <c r="K2696" t="s">
        <v>659</v>
      </c>
      <c r="L2696" t="s">
        <v>669</v>
      </c>
      <c r="M2696" t="s">
        <v>2333</v>
      </c>
    </row>
    <row r="2697" spans="1:13">
      <c r="A2697" s="5">
        <v>2698</v>
      </c>
      <c r="B2697" t="str">
        <f t="shared" si="600"/>
        <v>TO</v>
      </c>
      <c r="C2697" t="str">
        <f t="shared" si="601"/>
        <v>KB</v>
      </c>
      <c r="D2697" t="s">
        <v>4810</v>
      </c>
      <c r="E2697" s="5">
        <v>2</v>
      </c>
      <c r="G2697" s="4" t="s">
        <v>5672</v>
      </c>
      <c r="H2697" t="s">
        <v>1578</v>
      </c>
      <c r="I2697" s="432" t="s">
        <v>5644</v>
      </c>
      <c r="K2697" t="s">
        <v>659</v>
      </c>
      <c r="L2697" t="s">
        <v>669</v>
      </c>
      <c r="M2697" t="s">
        <v>2333</v>
      </c>
    </row>
    <row r="2698" spans="1:13">
      <c r="A2698" s="5">
        <v>2699</v>
      </c>
      <c r="B2698" t="str">
        <f t="shared" si="600"/>
        <v>TO</v>
      </c>
      <c r="C2698" t="str">
        <f t="shared" si="601"/>
        <v>KB</v>
      </c>
      <c r="D2698" t="s">
        <v>4810</v>
      </c>
      <c r="E2698" s="5">
        <v>2</v>
      </c>
      <c r="G2698" s="4" t="s">
        <v>5672</v>
      </c>
      <c r="H2698" t="s">
        <v>1511</v>
      </c>
      <c r="I2698" s="432" t="s">
        <v>5645</v>
      </c>
      <c r="K2698" t="s">
        <v>659</v>
      </c>
      <c r="L2698" t="s">
        <v>669</v>
      </c>
      <c r="M2698" t="s">
        <v>2333</v>
      </c>
    </row>
    <row r="2699" spans="1:13">
      <c r="A2699" s="5">
        <v>2700</v>
      </c>
      <c r="B2699" t="str">
        <f t="shared" si="600"/>
        <v>TO</v>
      </c>
      <c r="C2699" t="str">
        <f t="shared" si="601"/>
        <v>KB</v>
      </c>
      <c r="D2699" t="s">
        <v>4810</v>
      </c>
      <c r="E2699" s="5">
        <v>2</v>
      </c>
      <c r="G2699" s="4" t="s">
        <v>5672</v>
      </c>
      <c r="H2699" t="s">
        <v>5622</v>
      </c>
      <c r="I2699" s="432" t="s">
        <v>5646</v>
      </c>
      <c r="K2699" t="s">
        <v>659</v>
      </c>
      <c r="L2699" t="s">
        <v>669</v>
      </c>
      <c r="M2699" t="s">
        <v>2333</v>
      </c>
    </row>
    <row r="2700" spans="1:13">
      <c r="A2700" s="5">
        <v>2701</v>
      </c>
      <c r="B2700" t="str">
        <f t="shared" si="600"/>
        <v>TO</v>
      </c>
      <c r="C2700" t="str">
        <f t="shared" si="601"/>
        <v>KB</v>
      </c>
      <c r="D2700" t="s">
        <v>4810</v>
      </c>
      <c r="E2700" s="5">
        <v>2</v>
      </c>
      <c r="G2700" s="4" t="s">
        <v>5672</v>
      </c>
      <c r="H2700" t="s">
        <v>5623</v>
      </c>
      <c r="I2700" s="432" t="s">
        <v>5647</v>
      </c>
      <c r="K2700" t="s">
        <v>659</v>
      </c>
      <c r="L2700" t="s">
        <v>669</v>
      </c>
      <c r="M2700" t="s">
        <v>2333</v>
      </c>
    </row>
    <row r="2701" spans="1:13">
      <c r="A2701" s="5">
        <v>2702</v>
      </c>
      <c r="B2701" t="str">
        <f t="shared" si="600"/>
        <v>TO</v>
      </c>
      <c r="C2701" t="str">
        <f t="shared" si="601"/>
        <v>KB</v>
      </c>
      <c r="D2701" t="s">
        <v>4810</v>
      </c>
      <c r="E2701" s="5">
        <v>2</v>
      </c>
      <c r="G2701" s="4" t="s">
        <v>5673</v>
      </c>
      <c r="H2701" t="s">
        <v>5624</v>
      </c>
      <c r="I2701" s="432" t="s">
        <v>5648</v>
      </c>
      <c r="K2701" t="s">
        <v>659</v>
      </c>
      <c r="L2701" t="s">
        <v>669</v>
      </c>
      <c r="M2701" t="s">
        <v>2333</v>
      </c>
    </row>
    <row r="2702" spans="1:13">
      <c r="A2702" s="5">
        <v>2703</v>
      </c>
      <c r="B2702" t="str">
        <f t="shared" si="600"/>
        <v>TO</v>
      </c>
      <c r="C2702" t="str">
        <f t="shared" si="601"/>
        <v>KB</v>
      </c>
      <c r="D2702" t="s">
        <v>4810</v>
      </c>
      <c r="E2702" s="5">
        <v>2</v>
      </c>
      <c r="G2702" s="4" t="s">
        <v>5673</v>
      </c>
      <c r="H2702" t="s">
        <v>5625</v>
      </c>
      <c r="I2702" s="432" t="s">
        <v>5649</v>
      </c>
      <c r="K2702" t="s">
        <v>659</v>
      </c>
      <c r="L2702" t="s">
        <v>669</v>
      </c>
      <c r="M2702" t="s">
        <v>2333</v>
      </c>
    </row>
    <row r="2703" spans="1:13">
      <c r="A2703" s="5">
        <v>2704</v>
      </c>
      <c r="B2703" t="str">
        <f t="shared" si="600"/>
        <v>TO</v>
      </c>
      <c r="C2703" t="str">
        <f t="shared" si="601"/>
        <v>KB</v>
      </c>
      <c r="D2703" t="s">
        <v>4810</v>
      </c>
      <c r="E2703" s="5">
        <v>2</v>
      </c>
      <c r="G2703" s="4" t="s">
        <v>5673</v>
      </c>
      <c r="H2703" t="s">
        <v>1302</v>
      </c>
      <c r="I2703" s="432" t="s">
        <v>5650</v>
      </c>
      <c r="K2703" t="s">
        <v>659</v>
      </c>
      <c r="L2703" t="s">
        <v>669</v>
      </c>
      <c r="M2703" t="s">
        <v>2333</v>
      </c>
    </row>
    <row r="2704" spans="1:13">
      <c r="A2704" s="5">
        <v>2705</v>
      </c>
      <c r="B2704" t="str">
        <f t="shared" si="600"/>
        <v>TO</v>
      </c>
      <c r="C2704" t="str">
        <f t="shared" si="601"/>
        <v>KB</v>
      </c>
      <c r="D2704" t="s">
        <v>4810</v>
      </c>
      <c r="E2704" s="5">
        <v>2</v>
      </c>
      <c r="G2704" s="4" t="s">
        <v>5673</v>
      </c>
      <c r="H2704" t="s">
        <v>1530</v>
      </c>
      <c r="I2704" s="432" t="s">
        <v>3648</v>
      </c>
      <c r="K2704" t="s">
        <v>659</v>
      </c>
      <c r="L2704" t="s">
        <v>669</v>
      </c>
      <c r="M2704" t="s">
        <v>2333</v>
      </c>
    </row>
    <row r="2705" spans="1:13">
      <c r="A2705" s="5">
        <v>2706</v>
      </c>
      <c r="B2705" t="str">
        <f t="shared" si="600"/>
        <v>TO</v>
      </c>
      <c r="C2705" t="str">
        <f t="shared" si="601"/>
        <v>KB</v>
      </c>
      <c r="D2705" t="s">
        <v>4810</v>
      </c>
      <c r="E2705" s="5">
        <v>2</v>
      </c>
      <c r="G2705" s="4" t="s">
        <v>5673</v>
      </c>
      <c r="H2705" t="s">
        <v>5626</v>
      </c>
      <c r="I2705" s="432" t="s">
        <v>5297</v>
      </c>
      <c r="K2705" t="s">
        <v>659</v>
      </c>
      <c r="L2705" t="s">
        <v>669</v>
      </c>
      <c r="M2705" t="s">
        <v>2333</v>
      </c>
    </row>
    <row r="2706" spans="1:13">
      <c r="A2706" s="5">
        <v>2707</v>
      </c>
      <c r="B2706" t="str">
        <f t="shared" si="600"/>
        <v>TO</v>
      </c>
      <c r="C2706" t="str">
        <f t="shared" si="601"/>
        <v>KB</v>
      </c>
      <c r="D2706" t="s">
        <v>4810</v>
      </c>
      <c r="E2706" s="5">
        <v>2</v>
      </c>
      <c r="G2706" s="4" t="s">
        <v>5673</v>
      </c>
      <c r="H2706" t="s">
        <v>1507</v>
      </c>
      <c r="I2706" s="432" t="s">
        <v>5651</v>
      </c>
      <c r="K2706" t="s">
        <v>659</v>
      </c>
      <c r="L2706" t="s">
        <v>669</v>
      </c>
      <c r="M2706" t="s">
        <v>2333</v>
      </c>
    </row>
    <row r="2707" spans="1:13">
      <c r="A2707" s="5">
        <v>2708</v>
      </c>
      <c r="B2707" t="str">
        <f t="shared" si="600"/>
        <v>TO</v>
      </c>
      <c r="C2707" t="str">
        <f t="shared" si="601"/>
        <v>KB</v>
      </c>
      <c r="D2707" t="s">
        <v>4845</v>
      </c>
      <c r="E2707" s="5">
        <v>2</v>
      </c>
      <c r="G2707" s="4" t="s">
        <v>5674</v>
      </c>
      <c r="H2707" t="s">
        <v>5628</v>
      </c>
      <c r="I2707" s="432" t="s">
        <v>5652</v>
      </c>
      <c r="K2707" t="s">
        <v>659</v>
      </c>
      <c r="L2707" t="s">
        <v>669</v>
      </c>
      <c r="M2707" t="s">
        <v>2333</v>
      </c>
    </row>
    <row r="2708" spans="1:13">
      <c r="A2708" s="5">
        <v>2709</v>
      </c>
      <c r="B2708" t="str">
        <f t="shared" si="600"/>
        <v>TO</v>
      </c>
      <c r="C2708" t="str">
        <f t="shared" si="601"/>
        <v>KB</v>
      </c>
      <c r="D2708" t="s">
        <v>4845</v>
      </c>
      <c r="E2708" s="5">
        <v>2</v>
      </c>
      <c r="G2708" s="4" t="s">
        <v>5674</v>
      </c>
      <c r="H2708" s="306" t="s">
        <v>5653</v>
      </c>
      <c r="I2708" s="432" t="s">
        <v>5654</v>
      </c>
      <c r="K2708" t="s">
        <v>659</v>
      </c>
      <c r="L2708" t="s">
        <v>669</v>
      </c>
      <c r="M2708" t="s">
        <v>2333</v>
      </c>
    </row>
    <row r="2709" spans="1:13">
      <c r="A2709" s="5">
        <v>2710</v>
      </c>
      <c r="B2709" t="str">
        <f t="shared" si="600"/>
        <v>TO</v>
      </c>
      <c r="C2709" t="str">
        <f t="shared" si="601"/>
        <v>KB</v>
      </c>
      <c r="D2709" t="s">
        <v>4845</v>
      </c>
      <c r="E2709" s="5">
        <v>2</v>
      </c>
      <c r="G2709" s="4" t="s">
        <v>5674</v>
      </c>
      <c r="H2709" t="s">
        <v>5629</v>
      </c>
      <c r="I2709" s="432" t="s">
        <v>5655</v>
      </c>
      <c r="K2709" t="s">
        <v>659</v>
      </c>
      <c r="L2709" t="s">
        <v>669</v>
      </c>
      <c r="M2709" t="s">
        <v>2333</v>
      </c>
    </row>
    <row r="2710" spans="1:13">
      <c r="A2710" s="5">
        <v>2711</v>
      </c>
      <c r="B2710" t="str">
        <f t="shared" si="600"/>
        <v>TO</v>
      </c>
      <c r="C2710" t="str">
        <f t="shared" si="601"/>
        <v>KB</v>
      </c>
      <c r="D2710" t="s">
        <v>4845</v>
      </c>
      <c r="E2710" s="5">
        <v>2</v>
      </c>
      <c r="G2710" s="4" t="s">
        <v>5674</v>
      </c>
      <c r="H2710" t="s">
        <v>5630</v>
      </c>
      <c r="I2710" s="432" t="s">
        <v>5656</v>
      </c>
      <c r="K2710" t="s">
        <v>1434</v>
      </c>
      <c r="L2710" t="s">
        <v>669</v>
      </c>
      <c r="M2710" t="s">
        <v>2333</v>
      </c>
    </row>
    <row r="2711" spans="1:13">
      <c r="A2711" s="5">
        <v>2712</v>
      </c>
      <c r="B2711" t="str">
        <f t="shared" si="600"/>
        <v>TO</v>
      </c>
      <c r="C2711" t="str">
        <f t="shared" si="601"/>
        <v>KB</v>
      </c>
      <c r="D2711" t="s">
        <v>4845</v>
      </c>
      <c r="E2711" s="5">
        <v>2</v>
      </c>
      <c r="G2711" s="4" t="s">
        <v>5674</v>
      </c>
      <c r="H2711" t="s">
        <v>5627</v>
      </c>
      <c r="I2711" s="432" t="s">
        <v>5657</v>
      </c>
      <c r="K2711" t="s">
        <v>1434</v>
      </c>
      <c r="L2711" t="s">
        <v>669</v>
      </c>
      <c r="M2711" t="s">
        <v>2333</v>
      </c>
    </row>
    <row r="2712" spans="1:13">
      <c r="A2712" s="5">
        <v>2713</v>
      </c>
      <c r="B2712" t="str">
        <f t="shared" si="600"/>
        <v>TO</v>
      </c>
      <c r="C2712" t="str">
        <f t="shared" si="601"/>
        <v>KB</v>
      </c>
      <c r="D2712" t="s">
        <v>4845</v>
      </c>
      <c r="E2712" s="5">
        <v>2</v>
      </c>
      <c r="G2712" s="4" t="s">
        <v>5674</v>
      </c>
      <c r="H2712" t="s">
        <v>5658</v>
      </c>
      <c r="I2712" s="432" t="s">
        <v>5659</v>
      </c>
      <c r="K2712" t="s">
        <v>1434</v>
      </c>
      <c r="L2712" t="s">
        <v>669</v>
      </c>
      <c r="M2712" t="s">
        <v>2333</v>
      </c>
    </row>
    <row r="2713" spans="1:13">
      <c r="A2713" s="5">
        <v>2714</v>
      </c>
      <c r="B2713" t="str">
        <f t="shared" si="600"/>
        <v>TO</v>
      </c>
      <c r="C2713" t="str">
        <f t="shared" si="601"/>
        <v>KB</v>
      </c>
      <c r="D2713" t="s">
        <v>4845</v>
      </c>
      <c r="E2713" s="5">
        <v>2</v>
      </c>
      <c r="G2713" s="4" t="s">
        <v>5675</v>
      </c>
      <c r="H2713" t="s">
        <v>5631</v>
      </c>
      <c r="I2713" s="432" t="s">
        <v>5660</v>
      </c>
      <c r="K2713" t="s">
        <v>659</v>
      </c>
      <c r="L2713" t="s">
        <v>669</v>
      </c>
      <c r="M2713" t="s">
        <v>2333</v>
      </c>
    </row>
    <row r="2714" spans="1:13">
      <c r="A2714" s="5">
        <v>2715</v>
      </c>
      <c r="B2714" t="str">
        <f t="shared" si="600"/>
        <v>TO</v>
      </c>
      <c r="C2714" t="str">
        <f t="shared" si="601"/>
        <v>KB</v>
      </c>
      <c r="D2714" t="s">
        <v>4845</v>
      </c>
      <c r="E2714" s="5">
        <v>2</v>
      </c>
      <c r="G2714" s="4" t="s">
        <v>5675</v>
      </c>
      <c r="H2714" t="s">
        <v>1300</v>
      </c>
      <c r="I2714" s="432" t="s">
        <v>5661</v>
      </c>
      <c r="K2714" t="s">
        <v>659</v>
      </c>
      <c r="L2714" t="s">
        <v>669</v>
      </c>
      <c r="M2714" t="s">
        <v>2333</v>
      </c>
    </row>
    <row r="2715" spans="1:13">
      <c r="A2715" s="5">
        <v>2716</v>
      </c>
      <c r="B2715" t="str">
        <f t="shared" si="600"/>
        <v>TO</v>
      </c>
      <c r="C2715" t="str">
        <f t="shared" si="601"/>
        <v>KB</v>
      </c>
      <c r="D2715" t="s">
        <v>4845</v>
      </c>
      <c r="E2715" s="5">
        <v>2</v>
      </c>
      <c r="G2715" s="4" t="s">
        <v>5675</v>
      </c>
      <c r="H2715" t="s">
        <v>4725</v>
      </c>
      <c r="I2715" s="432" t="s">
        <v>3657</v>
      </c>
      <c r="K2715" t="s">
        <v>659</v>
      </c>
      <c r="L2715" t="s">
        <v>669</v>
      </c>
      <c r="M2715" t="s">
        <v>2333</v>
      </c>
    </row>
    <row r="2716" spans="1:13">
      <c r="A2716" s="5">
        <v>2717</v>
      </c>
      <c r="B2716" t="str">
        <f t="shared" si="600"/>
        <v>TO</v>
      </c>
      <c r="C2716" t="str">
        <f t="shared" si="601"/>
        <v>KB</v>
      </c>
      <c r="D2716" t="s">
        <v>4845</v>
      </c>
      <c r="E2716" s="5">
        <v>2</v>
      </c>
      <c r="G2716" s="4" t="s">
        <v>5675</v>
      </c>
      <c r="H2716" t="s">
        <v>5632</v>
      </c>
      <c r="I2716" s="432" t="s">
        <v>5662</v>
      </c>
      <c r="K2716" t="s">
        <v>659</v>
      </c>
      <c r="L2716" t="s">
        <v>669</v>
      </c>
      <c r="M2716" t="s">
        <v>2333</v>
      </c>
    </row>
    <row r="2717" spans="1:13">
      <c r="A2717" s="5">
        <v>2718</v>
      </c>
      <c r="B2717" t="str">
        <f t="shared" si="600"/>
        <v>TO</v>
      </c>
      <c r="C2717" t="str">
        <f t="shared" si="601"/>
        <v>KB</v>
      </c>
      <c r="D2717" t="s">
        <v>4845</v>
      </c>
      <c r="E2717" s="5">
        <v>2</v>
      </c>
      <c r="G2717" s="4" t="s">
        <v>5675</v>
      </c>
      <c r="H2717" t="s">
        <v>978</v>
      </c>
      <c r="I2717" s="432" t="s">
        <v>5663</v>
      </c>
      <c r="K2717" t="s">
        <v>659</v>
      </c>
      <c r="L2717" t="s">
        <v>669</v>
      </c>
      <c r="M2717" t="s">
        <v>2333</v>
      </c>
    </row>
    <row r="2718" spans="1:13">
      <c r="A2718" s="5">
        <v>2719</v>
      </c>
      <c r="B2718" t="str">
        <f t="shared" si="600"/>
        <v>TO</v>
      </c>
      <c r="C2718" t="str">
        <f t="shared" si="601"/>
        <v>KB</v>
      </c>
      <c r="D2718" t="s">
        <v>4845</v>
      </c>
      <c r="E2718" s="5">
        <v>2</v>
      </c>
      <c r="G2718" s="4" t="s">
        <v>5675</v>
      </c>
      <c r="H2718" t="s">
        <v>1503</v>
      </c>
      <c r="I2718" s="432" t="s">
        <v>5296</v>
      </c>
      <c r="K2718" t="s">
        <v>659</v>
      </c>
      <c r="L2718" t="s">
        <v>669</v>
      </c>
      <c r="M2718" t="s">
        <v>2333</v>
      </c>
    </row>
    <row r="2719" spans="1:13">
      <c r="A2719" s="5">
        <v>2720</v>
      </c>
      <c r="B2719" t="str">
        <f t="shared" si="600"/>
        <v>TO</v>
      </c>
      <c r="C2719" t="str">
        <f t="shared" si="601"/>
        <v>KB</v>
      </c>
      <c r="D2719" t="s">
        <v>4845</v>
      </c>
      <c r="E2719" s="5">
        <v>2</v>
      </c>
      <c r="G2719" s="4" t="s">
        <v>5676</v>
      </c>
      <c r="H2719" t="s">
        <v>227</v>
      </c>
      <c r="I2719" s="432" t="s">
        <v>5664</v>
      </c>
      <c r="K2719" t="s">
        <v>659</v>
      </c>
      <c r="L2719" t="s">
        <v>669</v>
      </c>
      <c r="M2719" t="s">
        <v>2333</v>
      </c>
    </row>
    <row r="2720" spans="1:13">
      <c r="A2720" s="5">
        <v>2721</v>
      </c>
      <c r="B2720" t="str">
        <f t="shared" si="600"/>
        <v>TO</v>
      </c>
      <c r="C2720" t="str">
        <f t="shared" si="601"/>
        <v>KB</v>
      </c>
      <c r="D2720" t="s">
        <v>4845</v>
      </c>
      <c r="E2720" s="5">
        <v>2</v>
      </c>
      <c r="G2720" s="4" t="s">
        <v>5676</v>
      </c>
      <c r="H2720" t="s">
        <v>5633</v>
      </c>
      <c r="I2720" s="432" t="s">
        <v>5665</v>
      </c>
      <c r="K2720" t="s">
        <v>659</v>
      </c>
      <c r="L2720" t="s">
        <v>669</v>
      </c>
      <c r="M2720" t="s">
        <v>2333</v>
      </c>
    </row>
    <row r="2721" spans="1:14">
      <c r="A2721" s="5">
        <v>2722</v>
      </c>
      <c r="B2721" t="str">
        <f t="shared" si="600"/>
        <v>TO</v>
      </c>
      <c r="C2721" t="str">
        <f t="shared" si="601"/>
        <v>KB</v>
      </c>
      <c r="D2721" t="s">
        <v>4845</v>
      </c>
      <c r="E2721" s="5">
        <v>2</v>
      </c>
      <c r="G2721" s="4" t="s">
        <v>5676</v>
      </c>
      <c r="H2721" t="s">
        <v>5634</v>
      </c>
      <c r="I2721" s="432" t="s">
        <v>5666</v>
      </c>
      <c r="K2721" t="s">
        <v>659</v>
      </c>
      <c r="L2721" t="s">
        <v>669</v>
      </c>
      <c r="M2721" t="s">
        <v>5773</v>
      </c>
    </row>
    <row r="2722" spans="1:14">
      <c r="A2722" s="5">
        <v>2723</v>
      </c>
      <c r="B2722" t="str">
        <f t="shared" si="600"/>
        <v>TO</v>
      </c>
      <c r="C2722" t="str">
        <f t="shared" si="601"/>
        <v>KB</v>
      </c>
      <c r="D2722" t="s">
        <v>4845</v>
      </c>
      <c r="E2722" s="5">
        <v>2</v>
      </c>
      <c r="G2722" s="4" t="s">
        <v>5676</v>
      </c>
      <c r="H2722" t="s">
        <v>4291</v>
      </c>
      <c r="I2722" s="432" t="s">
        <v>5667</v>
      </c>
      <c r="K2722" t="s">
        <v>659</v>
      </c>
      <c r="L2722" t="s">
        <v>669</v>
      </c>
      <c r="M2722" t="s">
        <v>2333</v>
      </c>
    </row>
    <row r="2723" spans="1:14">
      <c r="A2723" s="5">
        <v>2724</v>
      </c>
      <c r="B2723" t="str">
        <f t="shared" si="600"/>
        <v>TO</v>
      </c>
      <c r="C2723" t="str">
        <f t="shared" si="601"/>
        <v>KB</v>
      </c>
      <c r="D2723" t="s">
        <v>4845</v>
      </c>
      <c r="E2723" s="5">
        <v>2</v>
      </c>
      <c r="G2723" s="4" t="s">
        <v>5676</v>
      </c>
      <c r="H2723" t="s">
        <v>615</v>
      </c>
      <c r="I2723" s="432" t="s">
        <v>4196</v>
      </c>
      <c r="K2723" t="s">
        <v>659</v>
      </c>
      <c r="L2723" t="s">
        <v>669</v>
      </c>
      <c r="M2723" t="s">
        <v>2333</v>
      </c>
    </row>
    <row r="2724" spans="1:14">
      <c r="A2724" s="5">
        <v>2725</v>
      </c>
      <c r="B2724" t="str">
        <f t="shared" si="600"/>
        <v>TO</v>
      </c>
      <c r="C2724" t="str">
        <f t="shared" si="601"/>
        <v>KB</v>
      </c>
      <c r="D2724" t="s">
        <v>4845</v>
      </c>
      <c r="E2724" s="5">
        <v>2</v>
      </c>
      <c r="G2724" s="4" t="s">
        <v>5676</v>
      </c>
      <c r="H2724" t="s">
        <v>5635</v>
      </c>
      <c r="I2724" s="432" t="s">
        <v>5668</v>
      </c>
      <c r="K2724" t="s">
        <v>1434</v>
      </c>
      <c r="L2724" t="s">
        <v>669</v>
      </c>
      <c r="M2724" t="s">
        <v>2333</v>
      </c>
    </row>
    <row r="2725" spans="1:14">
      <c r="A2725" s="5">
        <v>2726</v>
      </c>
      <c r="B2725" t="str">
        <f t="shared" si="600"/>
        <v>TO</v>
      </c>
      <c r="C2725" t="str">
        <f t="shared" si="601"/>
        <v>KB</v>
      </c>
      <c r="D2725" t="s">
        <v>4845</v>
      </c>
      <c r="E2725" s="5">
        <v>2</v>
      </c>
      <c r="G2725" s="4" t="s">
        <v>5676</v>
      </c>
      <c r="H2725" t="s">
        <v>4629</v>
      </c>
      <c r="I2725" s="432" t="s">
        <v>4630</v>
      </c>
      <c r="K2725" t="s">
        <v>659</v>
      </c>
      <c r="L2725" t="s">
        <v>669</v>
      </c>
      <c r="M2725" t="s">
        <v>2333</v>
      </c>
    </row>
    <row r="2726" spans="1:14">
      <c r="A2726" s="5">
        <v>2727</v>
      </c>
      <c r="B2726" t="str">
        <f t="shared" si="600"/>
        <v>TO</v>
      </c>
      <c r="C2726" t="str">
        <f t="shared" si="601"/>
        <v>KB</v>
      </c>
      <c r="D2726" t="s">
        <v>4845</v>
      </c>
      <c r="E2726" s="5">
        <v>2</v>
      </c>
      <c r="G2726" s="4" t="s">
        <v>5676</v>
      </c>
      <c r="H2726" t="s">
        <v>3642</v>
      </c>
      <c r="I2726" s="432" t="s">
        <v>3643</v>
      </c>
      <c r="K2726" t="s">
        <v>659</v>
      </c>
      <c r="L2726" t="s">
        <v>669</v>
      </c>
      <c r="M2726" t="s">
        <v>2333</v>
      </c>
    </row>
    <row r="2727" spans="1:14">
      <c r="A2727" s="5">
        <v>2728</v>
      </c>
      <c r="B2727" t="str">
        <f>MID(G2727,11,2)</f>
        <v>MH</v>
      </c>
      <c r="C2727" t="str">
        <f>MID(G2727,14,2)</f>
        <v>KB</v>
      </c>
      <c r="D2727" t="s">
        <v>4810</v>
      </c>
      <c r="E2727" s="5"/>
      <c r="G2727" s="4" t="s">
        <v>5690</v>
      </c>
      <c r="H2727" s="306" t="s">
        <v>5688</v>
      </c>
      <c r="I2727" s="432" t="s">
        <v>4105</v>
      </c>
      <c r="K2727" t="s">
        <v>659</v>
      </c>
      <c r="L2727" t="s">
        <v>669</v>
      </c>
      <c r="M2727" t="s">
        <v>2333</v>
      </c>
    </row>
    <row r="2728" spans="1:14">
      <c r="A2728" s="5">
        <v>2729</v>
      </c>
      <c r="B2728" t="str">
        <f t="shared" ref="B2728:B2729" si="602">MID(G2728,11,2)</f>
        <v>MH</v>
      </c>
      <c r="C2728" t="str">
        <f t="shared" ref="C2728:C2729" si="603">MID(G2728,14,2)</f>
        <v>KB</v>
      </c>
      <c r="D2728" t="s">
        <v>4810</v>
      </c>
      <c r="E2728" s="5"/>
      <c r="G2728" s="4" t="s">
        <v>5690</v>
      </c>
      <c r="H2728" s="306" t="s">
        <v>4557</v>
      </c>
      <c r="I2728" s="432" t="s">
        <v>5318</v>
      </c>
      <c r="K2728" t="s">
        <v>659</v>
      </c>
      <c r="L2728" t="s">
        <v>669</v>
      </c>
      <c r="M2728" t="s">
        <v>2333</v>
      </c>
    </row>
    <row r="2729" spans="1:14">
      <c r="A2729" s="5">
        <v>2730</v>
      </c>
      <c r="B2729" t="str">
        <f t="shared" si="602"/>
        <v>MH</v>
      </c>
      <c r="C2729" t="str">
        <f t="shared" si="603"/>
        <v>KB</v>
      </c>
      <c r="D2729" t="s">
        <v>4810</v>
      </c>
      <c r="E2729" s="5"/>
      <c r="G2729" s="4" t="s">
        <v>5690</v>
      </c>
      <c r="H2729" s="306" t="s">
        <v>5344</v>
      </c>
      <c r="I2729" s="432" t="s">
        <v>5345</v>
      </c>
      <c r="K2729" t="s">
        <v>659</v>
      </c>
      <c r="L2729" t="s">
        <v>669</v>
      </c>
      <c r="M2729" t="s">
        <v>2333</v>
      </c>
    </row>
    <row r="2730" spans="1:14">
      <c r="A2730" s="5">
        <v>2731</v>
      </c>
      <c r="B2730" t="str">
        <f>MID(G2730,11,2)</f>
        <v>TO</v>
      </c>
      <c r="C2730" t="str">
        <f>MID(G2730,14,2)</f>
        <v>KB</v>
      </c>
      <c r="D2730" t="s">
        <v>4845</v>
      </c>
      <c r="E2730" s="5">
        <v>2</v>
      </c>
      <c r="F2730" t="s">
        <v>3843</v>
      </c>
      <c r="G2730" s="4" t="s">
        <v>5701</v>
      </c>
      <c r="H2730" s="306" t="s">
        <v>569</v>
      </c>
      <c r="I2730" s="432" t="s">
        <v>3858</v>
      </c>
      <c r="K2730" t="s">
        <v>1434</v>
      </c>
      <c r="L2730" t="s">
        <v>669</v>
      </c>
      <c r="M2730" t="s">
        <v>2333</v>
      </c>
      <c r="N2730" t="s">
        <v>5697</v>
      </c>
    </row>
    <row r="2731" spans="1:14" ht="36">
      <c r="A2731" s="5">
        <v>2732</v>
      </c>
      <c r="B2731" t="str">
        <f>MID(G2731,11,2)</f>
        <v>TO</v>
      </c>
      <c r="C2731" t="str">
        <f>MID(G2731,14,2)</f>
        <v>KB</v>
      </c>
      <c r="D2731" t="s">
        <v>4845</v>
      </c>
      <c r="E2731" s="5">
        <v>2</v>
      </c>
      <c r="F2731" t="s">
        <v>3843</v>
      </c>
      <c r="G2731" s="4" t="s">
        <v>5701</v>
      </c>
      <c r="H2731" s="306" t="s">
        <v>5695</v>
      </c>
      <c r="I2731" s="432" t="s">
        <v>4111</v>
      </c>
      <c r="K2731" t="s">
        <v>1434</v>
      </c>
      <c r="L2731" t="s">
        <v>669</v>
      </c>
      <c r="M2731" t="s">
        <v>2333</v>
      </c>
      <c r="N2731" t="s">
        <v>5698</v>
      </c>
    </row>
    <row r="2732" spans="1:14" ht="36">
      <c r="A2732" s="5">
        <v>2733</v>
      </c>
      <c r="B2732" t="str">
        <f>MID(G2732,11,2)</f>
        <v>TO</v>
      </c>
      <c r="C2732" t="str">
        <f>MID(G2732,14,2)</f>
        <v>KB</v>
      </c>
      <c r="D2732" t="s">
        <v>4845</v>
      </c>
      <c r="E2732" s="5">
        <v>2</v>
      </c>
      <c r="F2732" t="s">
        <v>3843</v>
      </c>
      <c r="G2732" s="4" t="s">
        <v>5711</v>
      </c>
      <c r="H2732" s="306" t="s">
        <v>5620</v>
      </c>
      <c r="I2732" s="432" t="s">
        <v>5621</v>
      </c>
      <c r="K2732" t="s">
        <v>1434</v>
      </c>
      <c r="L2732" t="s">
        <v>669</v>
      </c>
      <c r="M2732" t="s">
        <v>2333</v>
      </c>
      <c r="N2732" t="s">
        <v>5699</v>
      </c>
    </row>
    <row r="2733" spans="1:14">
      <c r="A2733" s="5">
        <v>2734</v>
      </c>
      <c r="B2733" t="str">
        <f>MID(G2733,11,2)</f>
        <v>TO</v>
      </c>
      <c r="C2733" t="str">
        <f>MID(G2733,14,2)</f>
        <v>KB</v>
      </c>
      <c r="D2733" t="s">
        <v>4845</v>
      </c>
      <c r="E2733" s="5">
        <v>3</v>
      </c>
      <c r="G2733" s="4" t="s">
        <v>5709</v>
      </c>
      <c r="H2733" s="306" t="s">
        <v>3422</v>
      </c>
      <c r="I2733" s="432" t="s">
        <v>3598</v>
      </c>
      <c r="K2733" t="s">
        <v>659</v>
      </c>
      <c r="L2733" t="s">
        <v>669</v>
      </c>
      <c r="M2733" t="s">
        <v>3323</v>
      </c>
    </row>
    <row r="2734" spans="1:14">
      <c r="A2734" s="5">
        <v>2735</v>
      </c>
      <c r="B2734" t="str">
        <f t="shared" ref="B2734:B2739" si="604">MID(G2734,11,2)</f>
        <v>TO</v>
      </c>
      <c r="C2734" t="str">
        <f t="shared" ref="C2734:C2739" si="605">MID(G2734,14,2)</f>
        <v>KB</v>
      </c>
      <c r="D2734" t="s">
        <v>4845</v>
      </c>
      <c r="E2734" s="5">
        <v>3</v>
      </c>
      <c r="G2734" s="4" t="s">
        <v>5706</v>
      </c>
      <c r="H2734" s="306" t="s">
        <v>289</v>
      </c>
      <c r="I2734" s="432" t="s">
        <v>3569</v>
      </c>
      <c r="K2734" t="s">
        <v>659</v>
      </c>
      <c r="L2734" t="s">
        <v>669</v>
      </c>
      <c r="M2734" t="s">
        <v>3323</v>
      </c>
    </row>
    <row r="2735" spans="1:14">
      <c r="A2735" s="5">
        <v>2736</v>
      </c>
      <c r="B2735" t="str">
        <f t="shared" si="604"/>
        <v>TO</v>
      </c>
      <c r="C2735" t="str">
        <f t="shared" si="605"/>
        <v>KB</v>
      </c>
      <c r="D2735" t="s">
        <v>4845</v>
      </c>
      <c r="E2735" s="5">
        <v>3</v>
      </c>
      <c r="G2735" s="4" t="s">
        <v>5706</v>
      </c>
      <c r="H2735" s="305" t="s">
        <v>1963</v>
      </c>
      <c r="I2735" s="432" t="s">
        <v>3528</v>
      </c>
      <c r="K2735" t="s">
        <v>659</v>
      </c>
      <c r="L2735" t="s">
        <v>669</v>
      </c>
      <c r="M2735" t="s">
        <v>3323</v>
      </c>
    </row>
    <row r="2736" spans="1:14">
      <c r="A2736" s="5">
        <v>2737</v>
      </c>
      <c r="B2736" t="str">
        <f t="shared" si="604"/>
        <v>TO</v>
      </c>
      <c r="C2736" t="str">
        <f t="shared" si="605"/>
        <v>KB</v>
      </c>
      <c r="D2736" t="s">
        <v>4845</v>
      </c>
      <c r="E2736" s="5">
        <v>3</v>
      </c>
      <c r="G2736" s="4" t="s">
        <v>5706</v>
      </c>
      <c r="H2736" s="305" t="s">
        <v>1960</v>
      </c>
      <c r="I2736" s="432" t="s">
        <v>3525</v>
      </c>
      <c r="K2736" t="s">
        <v>1434</v>
      </c>
      <c r="L2736" t="s">
        <v>669</v>
      </c>
      <c r="M2736" t="s">
        <v>3323</v>
      </c>
    </row>
    <row r="2737" spans="1:15" ht="36">
      <c r="A2737" s="5">
        <v>2738</v>
      </c>
      <c r="B2737" t="str">
        <f t="shared" si="604"/>
        <v>TO</v>
      </c>
      <c r="C2737" t="str">
        <f t="shared" si="605"/>
        <v>KB</v>
      </c>
      <c r="D2737" t="s">
        <v>4845</v>
      </c>
      <c r="E2737" s="5">
        <v>3</v>
      </c>
      <c r="G2737" s="4" t="s">
        <v>5706</v>
      </c>
      <c r="H2737" s="306" t="s">
        <v>2538</v>
      </c>
      <c r="I2737" s="432" t="s">
        <v>5436</v>
      </c>
      <c r="K2737" t="s">
        <v>659</v>
      </c>
      <c r="L2737" t="s">
        <v>669</v>
      </c>
      <c r="M2737" t="s">
        <v>3323</v>
      </c>
    </row>
    <row r="2738" spans="1:15" ht="36">
      <c r="A2738" s="5">
        <v>2739</v>
      </c>
      <c r="B2738" t="str">
        <f t="shared" si="604"/>
        <v>TO</v>
      </c>
      <c r="C2738" t="str">
        <f t="shared" si="605"/>
        <v>KB</v>
      </c>
      <c r="D2738" t="s">
        <v>4845</v>
      </c>
      <c r="E2738" s="5">
        <v>3</v>
      </c>
      <c r="G2738" s="4" t="s">
        <v>5706</v>
      </c>
      <c r="H2738" s="306" t="s">
        <v>5507</v>
      </c>
      <c r="I2738" s="432" t="s">
        <v>5439</v>
      </c>
      <c r="K2738" t="s">
        <v>1434</v>
      </c>
      <c r="L2738" t="s">
        <v>669</v>
      </c>
      <c r="M2738" t="s">
        <v>3323</v>
      </c>
    </row>
    <row r="2739" spans="1:15">
      <c r="A2739" s="5">
        <v>2740</v>
      </c>
      <c r="B2739" t="str">
        <f t="shared" si="604"/>
        <v>TO</v>
      </c>
      <c r="C2739" t="str">
        <f t="shared" si="605"/>
        <v>KB</v>
      </c>
      <c r="D2739" t="s">
        <v>4845</v>
      </c>
      <c r="E2739" s="5">
        <v>3</v>
      </c>
      <c r="G2739" s="4" t="s">
        <v>5706</v>
      </c>
      <c r="H2739" s="306" t="s">
        <v>5702</v>
      </c>
      <c r="I2739" s="432" t="s">
        <v>3828</v>
      </c>
      <c r="K2739" t="s">
        <v>1434</v>
      </c>
      <c r="L2739" t="s">
        <v>669</v>
      </c>
      <c r="M2739" t="s">
        <v>3323</v>
      </c>
    </row>
    <row r="2740" spans="1:15" ht="36">
      <c r="A2740" s="5">
        <v>2741</v>
      </c>
      <c r="B2740" t="str">
        <f>MID(G2740,11,2)</f>
        <v>TO</v>
      </c>
      <c r="C2740" t="str">
        <f>MID(G2740,14,2)</f>
        <v>KB</v>
      </c>
      <c r="D2740" t="s">
        <v>4810</v>
      </c>
      <c r="E2740" s="5">
        <v>2</v>
      </c>
      <c r="G2740" s="4" t="s">
        <v>5735</v>
      </c>
      <c r="H2740" s="5" t="s">
        <v>5197</v>
      </c>
      <c r="I2740" s="432" t="s">
        <v>4717</v>
      </c>
      <c r="K2740" t="s">
        <v>659</v>
      </c>
      <c r="L2740" t="s">
        <v>669</v>
      </c>
      <c r="M2740" t="s">
        <v>2102</v>
      </c>
      <c r="N2740" s="4" t="s">
        <v>5763</v>
      </c>
      <c r="O2740" t="s">
        <v>5755</v>
      </c>
    </row>
    <row r="2741" spans="1:15">
      <c r="A2741" s="5">
        <v>2742</v>
      </c>
      <c r="B2741" t="str">
        <f>MID(G2741,11,2)</f>
        <v>TO</v>
      </c>
      <c r="C2741" t="str">
        <f>MID(G2741,14,2)</f>
        <v>KB</v>
      </c>
      <c r="D2741" t="s">
        <v>4810</v>
      </c>
      <c r="E2741" s="5">
        <v>2</v>
      </c>
      <c r="G2741" s="4" t="s">
        <v>5707</v>
      </c>
      <c r="H2741" s="306" t="s">
        <v>3714</v>
      </c>
      <c r="I2741" s="432" t="s">
        <v>3715</v>
      </c>
      <c r="K2741" t="s">
        <v>659</v>
      </c>
      <c r="L2741" t="s">
        <v>669</v>
      </c>
      <c r="M2741" t="s">
        <v>2102</v>
      </c>
      <c r="O2741" t="s">
        <v>5755</v>
      </c>
    </row>
    <row r="2742" spans="1:15">
      <c r="A2742" s="5">
        <v>2743</v>
      </c>
      <c r="B2742" t="str">
        <f>MID(G2742,11,2)</f>
        <v>TO</v>
      </c>
      <c r="C2742" t="str">
        <f>MID(G2742,14,2)</f>
        <v>KB</v>
      </c>
      <c r="D2742" t="s">
        <v>4810</v>
      </c>
      <c r="E2742" s="5">
        <v>2</v>
      </c>
      <c r="G2742" s="4" t="s">
        <v>5707</v>
      </c>
      <c r="H2742" s="306" t="s">
        <v>4086</v>
      </c>
      <c r="I2742" s="432" t="s">
        <v>4087</v>
      </c>
      <c r="K2742" t="s">
        <v>659</v>
      </c>
      <c r="L2742" t="s">
        <v>669</v>
      </c>
      <c r="M2742" t="s">
        <v>2102</v>
      </c>
      <c r="O2742" t="s">
        <v>5755</v>
      </c>
    </row>
    <row r="2743" spans="1:15">
      <c r="A2743" s="5">
        <v>2744</v>
      </c>
      <c r="B2743" t="str">
        <f>MID(G2743,11,2)</f>
        <v>TO</v>
      </c>
      <c r="C2743" t="str">
        <f>MID(G2743,14,2)</f>
        <v>KB</v>
      </c>
      <c r="D2743" t="s">
        <v>4810</v>
      </c>
      <c r="E2743">
        <v>3</v>
      </c>
      <c r="G2743" s="4" t="s">
        <v>5708</v>
      </c>
      <c r="H2743" s="306" t="s">
        <v>5678</v>
      </c>
      <c r="I2743" s="432" t="s">
        <v>5679</v>
      </c>
      <c r="K2743" t="s">
        <v>1434</v>
      </c>
      <c r="L2743" t="s">
        <v>669</v>
      </c>
      <c r="M2743" t="s">
        <v>2333</v>
      </c>
    </row>
    <row r="2744" spans="1:15">
      <c r="A2744" s="5">
        <v>2745</v>
      </c>
      <c r="B2744" t="str">
        <f t="shared" ref="B2744:B2749" si="606">MID(G2744,11,2)</f>
        <v>TO</v>
      </c>
      <c r="C2744" t="str">
        <f t="shared" ref="C2744:C2749" si="607">MID(G2744,14,2)</f>
        <v>KB</v>
      </c>
      <c r="D2744" t="s">
        <v>4810</v>
      </c>
      <c r="E2744">
        <v>3</v>
      </c>
      <c r="G2744" s="4" t="s">
        <v>5708</v>
      </c>
      <c r="H2744" s="306" t="s">
        <v>5523</v>
      </c>
      <c r="I2744" s="432" t="s">
        <v>3980</v>
      </c>
      <c r="K2744" t="s">
        <v>659</v>
      </c>
      <c r="L2744" t="s">
        <v>669</v>
      </c>
      <c r="M2744" t="s">
        <v>2333</v>
      </c>
    </row>
    <row r="2745" spans="1:15">
      <c r="A2745" s="5">
        <v>2746</v>
      </c>
      <c r="B2745" t="str">
        <f t="shared" si="606"/>
        <v>TO</v>
      </c>
      <c r="C2745" t="str">
        <f t="shared" si="607"/>
        <v>KB</v>
      </c>
      <c r="D2745" t="s">
        <v>4810</v>
      </c>
      <c r="E2745">
        <v>3</v>
      </c>
      <c r="G2745" s="4" t="s">
        <v>5708</v>
      </c>
      <c r="H2745" s="306" t="s">
        <v>5524</v>
      </c>
      <c r="I2745" s="432" t="s">
        <v>5525</v>
      </c>
      <c r="K2745" t="s">
        <v>659</v>
      </c>
      <c r="L2745" t="s">
        <v>669</v>
      </c>
      <c r="M2745" t="s">
        <v>2333</v>
      </c>
    </row>
    <row r="2746" spans="1:15">
      <c r="A2746" s="5">
        <v>2747</v>
      </c>
      <c r="B2746" t="s">
        <v>152</v>
      </c>
      <c r="C2746" t="str">
        <f t="shared" si="607"/>
        <v>KB</v>
      </c>
      <c r="D2746" t="s">
        <v>4845</v>
      </c>
      <c r="E2746" s="5"/>
      <c r="G2746" s="4" t="s">
        <v>5713</v>
      </c>
      <c r="H2746" t="s">
        <v>5710</v>
      </c>
      <c r="I2746" s="432" t="s">
        <v>4748</v>
      </c>
      <c r="K2746" t="s">
        <v>659</v>
      </c>
      <c r="L2746" t="s">
        <v>669</v>
      </c>
      <c r="M2746" t="s">
        <v>3733</v>
      </c>
      <c r="N2746" t="s">
        <v>5714</v>
      </c>
    </row>
    <row r="2747" spans="1:15">
      <c r="A2747" s="5">
        <v>2748</v>
      </c>
      <c r="B2747" t="s">
        <v>152</v>
      </c>
      <c r="C2747" t="str">
        <f t="shared" ref="C2747" si="608">MID(G2747,14,2)</f>
        <v>KB</v>
      </c>
      <c r="D2747" t="s">
        <v>4845</v>
      </c>
      <c r="E2747" s="5"/>
      <c r="G2747" s="4" t="s">
        <v>5713</v>
      </c>
      <c r="H2747" t="s">
        <v>1306</v>
      </c>
      <c r="I2747" s="432" t="s">
        <v>5638</v>
      </c>
      <c r="K2747" t="s">
        <v>659</v>
      </c>
      <c r="L2747" t="s">
        <v>669</v>
      </c>
      <c r="M2747" t="s">
        <v>3733</v>
      </c>
      <c r="N2747" t="s">
        <v>5714</v>
      </c>
    </row>
    <row r="2748" spans="1:15">
      <c r="A2748" s="5">
        <v>2749</v>
      </c>
      <c r="B2748" t="str">
        <f t="shared" ref="B2748" si="609">MID(G2748,11,2)</f>
        <v>TO</v>
      </c>
      <c r="C2748" t="str">
        <f t="shared" ref="C2748" si="610">MID(G2748,14,2)</f>
        <v>KB</v>
      </c>
      <c r="D2748" t="s">
        <v>4845</v>
      </c>
      <c r="E2748" s="5"/>
      <c r="G2748" s="4" t="s">
        <v>5737</v>
      </c>
      <c r="H2748" s="306" t="s">
        <v>5684</v>
      </c>
      <c r="I2748" s="432" t="s">
        <v>5685</v>
      </c>
      <c r="K2748" t="s">
        <v>659</v>
      </c>
      <c r="L2748" t="s">
        <v>2102</v>
      </c>
      <c r="M2748" s="1" t="s">
        <v>2137</v>
      </c>
      <c r="N2748" t="s">
        <v>5738</v>
      </c>
    </row>
    <row r="2749" spans="1:15" ht="36">
      <c r="A2749" s="5">
        <v>2750</v>
      </c>
      <c r="B2749" t="str">
        <f t="shared" si="606"/>
        <v>TO</v>
      </c>
      <c r="C2749" t="str">
        <f t="shared" si="607"/>
        <v>KB</v>
      </c>
      <c r="D2749" t="s">
        <v>4810</v>
      </c>
      <c r="E2749" s="5"/>
      <c r="F2749" t="s">
        <v>3843</v>
      </c>
      <c r="G2749" s="4" t="s">
        <v>5716</v>
      </c>
      <c r="H2749" s="306" t="s">
        <v>4384</v>
      </c>
      <c r="I2749" s="432" t="s">
        <v>3834</v>
      </c>
      <c r="K2749" t="s">
        <v>659</v>
      </c>
      <c r="L2749" t="s">
        <v>669</v>
      </c>
      <c r="M2749" t="s">
        <v>2333</v>
      </c>
      <c r="N2749" t="s">
        <v>5715</v>
      </c>
    </row>
    <row r="2750" spans="1:15">
      <c r="A2750" s="5">
        <v>2751</v>
      </c>
      <c r="B2750" t="str">
        <f>MID(G2750,11,2)</f>
        <v>TO</v>
      </c>
      <c r="C2750" t="str">
        <f>MID(G2750,14,2)</f>
        <v>KB</v>
      </c>
      <c r="D2750" t="s">
        <v>4810</v>
      </c>
      <c r="E2750" s="5"/>
      <c r="F2750" t="s">
        <v>2766</v>
      </c>
      <c r="G2750" s="4" t="s">
        <v>5725</v>
      </c>
      <c r="H2750" t="s">
        <v>3518</v>
      </c>
      <c r="I2750" s="432" t="s">
        <v>3519</v>
      </c>
      <c r="K2750" t="s">
        <v>659</v>
      </c>
      <c r="L2750" t="s">
        <v>669</v>
      </c>
      <c r="M2750" t="s">
        <v>2333</v>
      </c>
      <c r="N2750" t="s">
        <v>5724</v>
      </c>
    </row>
    <row r="2751" spans="1:15">
      <c r="A2751" s="5">
        <v>2752</v>
      </c>
      <c r="B2751" t="s">
        <v>114</v>
      </c>
      <c r="C2751" t="s">
        <v>17</v>
      </c>
      <c r="D2751" t="s">
        <v>4810</v>
      </c>
      <c r="E2751" s="5">
        <v>1</v>
      </c>
      <c r="G2751" t="s">
        <v>5761</v>
      </c>
      <c r="H2751" t="s">
        <v>5726</v>
      </c>
      <c r="I2751" s="432" t="s">
        <v>5727</v>
      </c>
      <c r="K2751" t="s">
        <v>1434</v>
      </c>
      <c r="L2751" t="s">
        <v>669</v>
      </c>
      <c r="M2751" t="s">
        <v>2333</v>
      </c>
    </row>
    <row r="2752" spans="1:15" ht="36">
      <c r="A2752" s="5">
        <v>2753</v>
      </c>
      <c r="B2752" t="s">
        <v>152</v>
      </c>
      <c r="C2752" t="s">
        <v>17</v>
      </c>
      <c r="D2752" t="s">
        <v>4845</v>
      </c>
      <c r="E2752" s="5"/>
      <c r="G2752" s="4" t="s">
        <v>5729</v>
      </c>
      <c r="H2752" s="306" t="s">
        <v>3961</v>
      </c>
      <c r="I2752" s="432" t="s">
        <v>3962</v>
      </c>
      <c r="K2752" t="s">
        <v>659</v>
      </c>
      <c r="L2752" t="s">
        <v>669</v>
      </c>
      <c r="M2752" t="s">
        <v>2333</v>
      </c>
    </row>
    <row r="2753" spans="1:14">
      <c r="A2753" s="5">
        <v>2754</v>
      </c>
      <c r="B2753" t="str">
        <f>MID(G2753,11,2)</f>
        <v>TO</v>
      </c>
      <c r="C2753" t="str">
        <f>MID(G2753,14,2)</f>
        <v>KB</v>
      </c>
      <c r="D2753" t="s">
        <v>4810</v>
      </c>
      <c r="E2753" s="5"/>
      <c r="G2753" s="4" t="s">
        <v>5740</v>
      </c>
      <c r="H2753" s="306" t="s">
        <v>5684</v>
      </c>
      <c r="I2753" s="432" t="s">
        <v>5685</v>
      </c>
      <c r="K2753" t="s">
        <v>659</v>
      </c>
      <c r="L2753" t="s">
        <v>2102</v>
      </c>
      <c r="M2753" s="1" t="s">
        <v>2137</v>
      </c>
      <c r="N2753" t="s">
        <v>5738</v>
      </c>
    </row>
    <row r="2754" spans="1:14" ht="36">
      <c r="A2754" s="5">
        <v>2755</v>
      </c>
      <c r="B2754" t="str">
        <f t="shared" ref="B2754:B2756" si="611">MID(G2754,11,2)</f>
        <v>TO</v>
      </c>
      <c r="C2754" t="str">
        <f t="shared" ref="C2754:C2756" si="612">MID(G2754,14,2)</f>
        <v>KB</v>
      </c>
      <c r="D2754" t="s">
        <v>4845</v>
      </c>
      <c r="E2754" s="5">
        <v>1</v>
      </c>
      <c r="F2754" t="s">
        <v>3843</v>
      </c>
      <c r="G2754" s="4" t="s">
        <v>5762</v>
      </c>
      <c r="H2754" s="306" t="s">
        <v>5523</v>
      </c>
      <c r="I2754" s="432" t="s">
        <v>3980</v>
      </c>
      <c r="K2754" t="s">
        <v>659</v>
      </c>
      <c r="L2754" t="s">
        <v>669</v>
      </c>
      <c r="M2754" t="s">
        <v>2333</v>
      </c>
    </row>
    <row r="2755" spans="1:14">
      <c r="A2755" s="5">
        <v>2756</v>
      </c>
      <c r="B2755" t="str">
        <f>MID(G2755,11,2)</f>
        <v>TO</v>
      </c>
      <c r="C2755" t="str">
        <f>MID(G2755,14,2)</f>
        <v>KB</v>
      </c>
      <c r="D2755" t="s">
        <v>4810</v>
      </c>
      <c r="E2755" s="5"/>
      <c r="G2755" s="4" t="s">
        <v>5742</v>
      </c>
      <c r="H2755" s="306" t="s">
        <v>5684</v>
      </c>
      <c r="I2755" s="432" t="s">
        <v>5685</v>
      </c>
      <c r="K2755" t="s">
        <v>659</v>
      </c>
      <c r="L2755" t="s">
        <v>2102</v>
      </c>
      <c r="M2755" t="s">
        <v>2137</v>
      </c>
    </row>
    <row r="2756" spans="1:14">
      <c r="A2756" s="5">
        <v>2757</v>
      </c>
      <c r="B2756" t="str">
        <f t="shared" si="611"/>
        <v>TO</v>
      </c>
      <c r="C2756" t="str">
        <f t="shared" si="612"/>
        <v>KB</v>
      </c>
      <c r="D2756" t="s">
        <v>4810</v>
      </c>
      <c r="E2756" s="5"/>
      <c r="G2756" s="4" t="s">
        <v>5744</v>
      </c>
      <c r="H2756" s="306" t="s">
        <v>5684</v>
      </c>
      <c r="I2756" s="432" t="s">
        <v>5685</v>
      </c>
      <c r="K2756" t="s">
        <v>659</v>
      </c>
      <c r="L2756" t="s">
        <v>2102</v>
      </c>
      <c r="M2756" t="s">
        <v>2137</v>
      </c>
    </row>
    <row r="2757" spans="1:14">
      <c r="A2757" s="5">
        <v>2758</v>
      </c>
      <c r="B2757" t="str">
        <f t="shared" ref="B2757" si="613">MID(G2757,11,2)</f>
        <v>TO</v>
      </c>
      <c r="C2757" t="str">
        <f t="shared" ref="C2757" si="614">MID(G2757,14,2)</f>
        <v>KB</v>
      </c>
      <c r="D2757" t="s">
        <v>4810</v>
      </c>
      <c r="E2757" s="5"/>
      <c r="G2757" s="4" t="s">
        <v>5745</v>
      </c>
      <c r="H2757" s="306" t="s">
        <v>5684</v>
      </c>
      <c r="I2757" s="432" t="s">
        <v>5685</v>
      </c>
      <c r="K2757" t="s">
        <v>659</v>
      </c>
      <c r="L2757" t="s">
        <v>2102</v>
      </c>
      <c r="M2757" t="s">
        <v>2137</v>
      </c>
    </row>
    <row r="2758" spans="1:14">
      <c r="A2758" s="5">
        <v>2759</v>
      </c>
      <c r="B2758" t="str">
        <f t="shared" ref="B2758" si="615">MID(G2758,11,2)</f>
        <v>TO</v>
      </c>
      <c r="C2758" t="str">
        <f t="shared" ref="C2758" si="616">MID(G2758,14,2)</f>
        <v>KB</v>
      </c>
      <c r="D2758" t="s">
        <v>4810</v>
      </c>
      <c r="E2758" s="5"/>
      <c r="G2758" s="4" t="s">
        <v>5746</v>
      </c>
      <c r="H2758" s="306" t="s">
        <v>5684</v>
      </c>
      <c r="I2758" s="432" t="s">
        <v>5685</v>
      </c>
      <c r="K2758" t="s">
        <v>659</v>
      </c>
      <c r="L2758" t="s">
        <v>669</v>
      </c>
      <c r="M2758" t="s">
        <v>2333</v>
      </c>
    </row>
    <row r="2759" spans="1:14">
      <c r="A2759" s="5">
        <v>2760</v>
      </c>
      <c r="B2759" t="str">
        <f t="shared" ref="B2759:B2773" si="617">MID(G2759,11,2)</f>
        <v>MH</v>
      </c>
      <c r="C2759" t="str">
        <f t="shared" ref="C2759:C2784" si="618">MID(G2759,14,2)</f>
        <v>KB</v>
      </c>
      <c r="D2759" t="s">
        <v>4810</v>
      </c>
      <c r="E2759" s="5"/>
      <c r="G2759" s="4" t="s">
        <v>5750</v>
      </c>
      <c r="H2759" s="306" t="s">
        <v>4694</v>
      </c>
      <c r="I2759" s="438" t="s">
        <v>4695</v>
      </c>
      <c r="K2759" t="s">
        <v>659</v>
      </c>
      <c r="L2759" t="s">
        <v>669</v>
      </c>
      <c r="M2759" s="1" t="s">
        <v>2333</v>
      </c>
      <c r="N2759" s="4" t="s">
        <v>5748</v>
      </c>
    </row>
    <row r="2760" spans="1:14">
      <c r="A2760" s="5">
        <v>2761</v>
      </c>
      <c r="B2760" t="str">
        <f t="shared" si="617"/>
        <v>MH</v>
      </c>
      <c r="C2760" t="str">
        <f t="shared" si="618"/>
        <v>KB</v>
      </c>
      <c r="D2760" t="s">
        <v>4810</v>
      </c>
      <c r="E2760" s="5"/>
      <c r="G2760" s="4" t="s">
        <v>5750</v>
      </c>
      <c r="H2760" s="5" t="s">
        <v>5760</v>
      </c>
      <c r="I2760" s="438" t="s">
        <v>4696</v>
      </c>
      <c r="K2760" t="s">
        <v>659</v>
      </c>
      <c r="L2760" t="s">
        <v>669</v>
      </c>
      <c r="M2760" s="1" t="s">
        <v>2333</v>
      </c>
      <c r="N2760" s="4" t="s">
        <v>5447</v>
      </c>
    </row>
    <row r="2761" spans="1:14">
      <c r="A2761" s="5">
        <v>2762</v>
      </c>
      <c r="B2761" t="str">
        <f t="shared" si="617"/>
        <v>MH</v>
      </c>
      <c r="C2761" t="str">
        <f t="shared" si="618"/>
        <v>KB</v>
      </c>
      <c r="D2761" t="s">
        <v>4810</v>
      </c>
      <c r="E2761" s="5"/>
      <c r="G2761" s="4" t="s">
        <v>5750</v>
      </c>
      <c r="H2761" s="306" t="s">
        <v>5266</v>
      </c>
      <c r="I2761" s="432" t="s">
        <v>5450</v>
      </c>
      <c r="K2761" t="s">
        <v>659</v>
      </c>
      <c r="L2761" t="s">
        <v>669</v>
      </c>
      <c r="M2761" s="1" t="s">
        <v>2333</v>
      </c>
      <c r="N2761" s="4" t="s">
        <v>5447</v>
      </c>
    </row>
    <row r="2762" spans="1:14">
      <c r="A2762" s="5">
        <v>2763</v>
      </c>
      <c r="B2762" t="str">
        <f t="shared" si="617"/>
        <v>MH</v>
      </c>
      <c r="C2762" t="str">
        <f t="shared" si="618"/>
        <v>KB</v>
      </c>
      <c r="D2762" t="s">
        <v>4810</v>
      </c>
      <c r="E2762" s="5"/>
      <c r="G2762" s="4" t="s">
        <v>5750</v>
      </c>
      <c r="H2762" s="306" t="s">
        <v>5267</v>
      </c>
      <c r="I2762" s="432" t="s">
        <v>5451</v>
      </c>
      <c r="K2762" t="s">
        <v>659</v>
      </c>
      <c r="L2762" t="s">
        <v>669</v>
      </c>
      <c r="M2762" s="1" t="s">
        <v>2333</v>
      </c>
      <c r="N2762" s="4" t="s">
        <v>5447</v>
      </c>
    </row>
    <row r="2763" spans="1:14">
      <c r="A2763" s="5">
        <v>2764</v>
      </c>
      <c r="B2763" t="str">
        <f t="shared" si="617"/>
        <v>MH</v>
      </c>
      <c r="C2763" t="str">
        <f t="shared" si="618"/>
        <v>KB</v>
      </c>
      <c r="D2763" t="s">
        <v>4810</v>
      </c>
      <c r="E2763" s="5"/>
      <c r="G2763" s="4" t="s">
        <v>5750</v>
      </c>
      <c r="H2763" s="306" t="s">
        <v>5268</v>
      </c>
      <c r="I2763" s="432" t="s">
        <v>5452</v>
      </c>
      <c r="K2763" t="s">
        <v>659</v>
      </c>
      <c r="L2763" t="s">
        <v>669</v>
      </c>
      <c r="M2763" s="1" t="s">
        <v>2333</v>
      </c>
      <c r="N2763" s="4" t="s">
        <v>5447</v>
      </c>
    </row>
    <row r="2764" spans="1:14">
      <c r="A2764" s="5">
        <v>2765</v>
      </c>
      <c r="B2764" t="str">
        <f t="shared" si="617"/>
        <v>MH</v>
      </c>
      <c r="C2764" t="str">
        <f t="shared" si="618"/>
        <v>KB</v>
      </c>
      <c r="D2764" t="s">
        <v>4810</v>
      </c>
      <c r="E2764" s="5"/>
      <c r="G2764" s="4" t="s">
        <v>5750</v>
      </c>
      <c r="H2764" s="306" t="s">
        <v>5269</v>
      </c>
      <c r="I2764" s="432" t="s">
        <v>5453</v>
      </c>
      <c r="K2764" t="s">
        <v>659</v>
      </c>
      <c r="L2764" t="s">
        <v>669</v>
      </c>
      <c r="M2764" s="1" t="s">
        <v>2333</v>
      </c>
      <c r="N2764" s="4" t="s">
        <v>5447</v>
      </c>
    </row>
    <row r="2765" spans="1:14">
      <c r="A2765" s="5">
        <v>2766</v>
      </c>
      <c r="B2765" t="str">
        <f t="shared" si="617"/>
        <v>MH</v>
      </c>
      <c r="C2765" t="str">
        <f t="shared" si="618"/>
        <v>KB</v>
      </c>
      <c r="D2765" t="s">
        <v>4810</v>
      </c>
      <c r="E2765" s="5"/>
      <c r="G2765" s="4" t="s">
        <v>5751</v>
      </c>
      <c r="H2765" s="306" t="s">
        <v>5420</v>
      </c>
      <c r="I2765" s="432" t="s">
        <v>5419</v>
      </c>
      <c r="K2765" t="s">
        <v>659</v>
      </c>
      <c r="L2765" t="s">
        <v>669</v>
      </c>
      <c r="M2765" s="1" t="s">
        <v>2333</v>
      </c>
      <c r="N2765" s="4" t="s">
        <v>5734</v>
      </c>
    </row>
    <row r="2766" spans="1:14">
      <c r="A2766" s="5">
        <v>2767</v>
      </c>
      <c r="B2766" t="str">
        <f t="shared" si="617"/>
        <v>MH</v>
      </c>
      <c r="C2766" t="str">
        <f t="shared" si="618"/>
        <v>KB</v>
      </c>
      <c r="D2766" t="s">
        <v>4810</v>
      </c>
      <c r="E2766" s="5"/>
      <c r="G2766" s="4" t="s">
        <v>5751</v>
      </c>
      <c r="H2766" s="306" t="s">
        <v>5425</v>
      </c>
      <c r="I2766" s="432" t="s">
        <v>5441</v>
      </c>
      <c r="K2766" t="s">
        <v>659</v>
      </c>
      <c r="L2766" t="s">
        <v>669</v>
      </c>
      <c r="M2766" s="1" t="s">
        <v>2333</v>
      </c>
      <c r="N2766" s="4" t="s">
        <v>5446</v>
      </c>
    </row>
    <row r="2767" spans="1:14" ht="21.6">
      <c r="A2767" s="5">
        <v>2768</v>
      </c>
      <c r="B2767" t="str">
        <f t="shared" si="617"/>
        <v>MH</v>
      </c>
      <c r="C2767" t="str">
        <f t="shared" si="618"/>
        <v>KB</v>
      </c>
      <c r="D2767" t="s">
        <v>4810</v>
      </c>
      <c r="E2767" s="5"/>
      <c r="G2767" s="4" t="s">
        <v>5751</v>
      </c>
      <c r="H2767" s="313" t="s">
        <v>468</v>
      </c>
      <c r="I2767" s="432" t="s">
        <v>5430</v>
      </c>
      <c r="K2767" t="s">
        <v>659</v>
      </c>
      <c r="L2767" t="s">
        <v>669</v>
      </c>
      <c r="M2767" s="1" t="s">
        <v>2333</v>
      </c>
      <c r="N2767" s="4" t="s">
        <v>5446</v>
      </c>
    </row>
    <row r="2768" spans="1:14">
      <c r="A2768" s="5">
        <v>2769</v>
      </c>
      <c r="B2768" t="str">
        <f t="shared" si="617"/>
        <v>MH</v>
      </c>
      <c r="C2768" t="str">
        <f t="shared" si="618"/>
        <v>KB</v>
      </c>
      <c r="D2768" t="s">
        <v>4810</v>
      </c>
      <c r="E2768" s="5"/>
      <c r="G2768" s="4" t="s">
        <v>5751</v>
      </c>
      <c r="H2768" s="306" t="s">
        <v>5432</v>
      </c>
      <c r="I2768" s="432" t="s">
        <v>5442</v>
      </c>
      <c r="K2768" t="s">
        <v>659</v>
      </c>
      <c r="L2768" t="s">
        <v>669</v>
      </c>
      <c r="M2768" s="1" t="s">
        <v>2333</v>
      </c>
      <c r="N2768" s="4" t="s">
        <v>5446</v>
      </c>
    </row>
    <row r="2769" spans="1:14">
      <c r="A2769" s="5">
        <v>2770</v>
      </c>
      <c r="B2769" t="str">
        <f t="shared" si="617"/>
        <v>MH</v>
      </c>
      <c r="C2769" t="str">
        <f t="shared" si="618"/>
        <v>KB</v>
      </c>
      <c r="D2769" t="s">
        <v>4810</v>
      </c>
      <c r="E2769" s="5"/>
      <c r="G2769" s="4" t="s">
        <v>5751</v>
      </c>
      <c r="H2769" s="306" t="s">
        <v>3192</v>
      </c>
      <c r="I2769" s="432" t="s">
        <v>5443</v>
      </c>
      <c r="K2769" t="s">
        <v>659</v>
      </c>
      <c r="L2769" t="s">
        <v>669</v>
      </c>
      <c r="M2769" s="1" t="s">
        <v>2333</v>
      </c>
      <c r="N2769" s="4" t="s">
        <v>5446</v>
      </c>
    </row>
    <row r="2770" spans="1:14">
      <c r="A2770" s="5">
        <v>2771</v>
      </c>
      <c r="B2770" t="str">
        <f t="shared" si="617"/>
        <v>MH</v>
      </c>
      <c r="C2770" t="str">
        <f t="shared" si="618"/>
        <v>KB</v>
      </c>
      <c r="D2770" t="s">
        <v>4810</v>
      </c>
      <c r="E2770" s="5"/>
      <c r="G2770" s="4" t="s">
        <v>5751</v>
      </c>
      <c r="H2770" s="306" t="s">
        <v>5434</v>
      </c>
      <c r="I2770" s="432" t="s">
        <v>5433</v>
      </c>
      <c r="K2770" t="s">
        <v>659</v>
      </c>
      <c r="L2770" t="s">
        <v>669</v>
      </c>
      <c r="M2770" s="1" t="s">
        <v>2333</v>
      </c>
      <c r="N2770" s="4" t="s">
        <v>5446</v>
      </c>
    </row>
    <row r="2771" spans="1:14">
      <c r="A2771" s="5">
        <v>2772</v>
      </c>
      <c r="B2771" t="str">
        <f t="shared" si="617"/>
        <v>MH</v>
      </c>
      <c r="C2771" t="str">
        <f t="shared" si="618"/>
        <v>KB</v>
      </c>
      <c r="D2771" t="s">
        <v>4810</v>
      </c>
      <c r="E2771" s="5"/>
      <c r="G2771" s="4" t="s">
        <v>5755</v>
      </c>
      <c r="H2771" s="5" t="s">
        <v>5197</v>
      </c>
      <c r="I2771" s="432" t="s">
        <v>4717</v>
      </c>
      <c r="K2771" t="s">
        <v>659</v>
      </c>
      <c r="L2771" t="s">
        <v>669</v>
      </c>
      <c r="M2771" t="s">
        <v>2333</v>
      </c>
      <c r="N2771" s="4" t="s">
        <v>5735</v>
      </c>
    </row>
    <row r="2772" spans="1:14">
      <c r="A2772" s="5">
        <v>2773</v>
      </c>
      <c r="B2772" t="str">
        <f t="shared" si="617"/>
        <v>MH</v>
      </c>
      <c r="C2772" t="str">
        <f t="shared" si="618"/>
        <v>KB</v>
      </c>
      <c r="D2772" t="s">
        <v>4810</v>
      </c>
      <c r="E2772" s="5"/>
      <c r="G2772" s="4" t="s">
        <v>5755</v>
      </c>
      <c r="H2772" s="306" t="s">
        <v>3714</v>
      </c>
      <c r="I2772" s="432" t="s">
        <v>3715</v>
      </c>
      <c r="K2772" t="s">
        <v>659</v>
      </c>
      <c r="L2772" t="s">
        <v>669</v>
      </c>
      <c r="M2772" t="s">
        <v>2333</v>
      </c>
      <c r="N2772" s="4" t="s">
        <v>5707</v>
      </c>
    </row>
    <row r="2773" spans="1:14">
      <c r="A2773" s="5">
        <v>2774</v>
      </c>
      <c r="B2773" t="str">
        <f t="shared" si="617"/>
        <v>MH</v>
      </c>
      <c r="C2773" t="str">
        <f t="shared" si="618"/>
        <v>KB</v>
      </c>
      <c r="D2773" t="s">
        <v>4810</v>
      </c>
      <c r="E2773" s="5"/>
      <c r="G2773" s="4" t="s">
        <v>5755</v>
      </c>
      <c r="H2773" s="306" t="s">
        <v>4086</v>
      </c>
      <c r="I2773" s="432" t="s">
        <v>4087</v>
      </c>
      <c r="K2773" t="s">
        <v>659</v>
      </c>
      <c r="L2773" t="s">
        <v>669</v>
      </c>
      <c r="M2773" t="s">
        <v>2333</v>
      </c>
      <c r="N2773" s="4" t="s">
        <v>5707</v>
      </c>
    </row>
    <row r="2774" spans="1:14">
      <c r="A2774" s="5">
        <v>2775</v>
      </c>
      <c r="B2774" t="s">
        <v>114</v>
      </c>
      <c r="C2774" t="str">
        <f t="shared" si="618"/>
        <v>KB</v>
      </c>
      <c r="D2774" t="s">
        <v>4810</v>
      </c>
      <c r="E2774" s="5">
        <v>3</v>
      </c>
      <c r="G2774" s="4" t="s">
        <v>5758</v>
      </c>
      <c r="H2774" s="306" t="s">
        <v>5772</v>
      </c>
      <c r="I2774" s="432" t="s">
        <v>5479</v>
      </c>
      <c r="K2774" t="s">
        <v>659</v>
      </c>
      <c r="L2774" t="s">
        <v>669</v>
      </c>
      <c r="M2774" t="s">
        <v>2333</v>
      </c>
      <c r="N2774" s="4" t="s">
        <v>5756</v>
      </c>
    </row>
    <row r="2775" spans="1:14">
      <c r="A2775" s="5">
        <v>2776</v>
      </c>
      <c r="B2775" t="s">
        <v>114</v>
      </c>
      <c r="C2775" t="str">
        <f t="shared" si="618"/>
        <v>KB</v>
      </c>
      <c r="D2775" t="s">
        <v>4810</v>
      </c>
      <c r="E2775" s="5">
        <v>3</v>
      </c>
      <c r="G2775" s="4" t="s">
        <v>5758</v>
      </c>
      <c r="H2775" s="306" t="s">
        <v>5480</v>
      </c>
      <c r="I2775" s="432" t="s">
        <v>5481</v>
      </c>
      <c r="K2775" t="s">
        <v>659</v>
      </c>
      <c r="L2775" t="s">
        <v>669</v>
      </c>
      <c r="M2775" t="s">
        <v>2333</v>
      </c>
      <c r="N2775" s="4" t="s">
        <v>5593</v>
      </c>
    </row>
    <row r="2776" spans="1:14" ht="36">
      <c r="A2776" s="5">
        <v>2777</v>
      </c>
      <c r="B2776" t="s">
        <v>114</v>
      </c>
      <c r="C2776" t="str">
        <f t="shared" si="618"/>
        <v>KB</v>
      </c>
      <c r="D2776" t="s">
        <v>4810</v>
      </c>
      <c r="E2776" s="5">
        <v>3</v>
      </c>
      <c r="G2776" s="4" t="s">
        <v>5758</v>
      </c>
      <c r="H2776" s="306" t="s">
        <v>5482</v>
      </c>
      <c r="I2776" s="432" t="s">
        <v>4310</v>
      </c>
      <c r="K2776" t="s">
        <v>659</v>
      </c>
      <c r="L2776" t="s">
        <v>669</v>
      </c>
      <c r="M2776" t="s">
        <v>2333</v>
      </c>
      <c r="N2776" s="4" t="s">
        <v>5593</v>
      </c>
    </row>
    <row r="2777" spans="1:14">
      <c r="A2777" s="5">
        <v>2778</v>
      </c>
      <c r="B2777" t="s">
        <v>114</v>
      </c>
      <c r="C2777" t="str">
        <f t="shared" si="618"/>
        <v>KB</v>
      </c>
      <c r="D2777" t="s">
        <v>4810</v>
      </c>
      <c r="E2777" s="5">
        <v>3</v>
      </c>
      <c r="G2777" s="4" t="s">
        <v>5758</v>
      </c>
      <c r="H2777" s="306" t="s">
        <v>5483</v>
      </c>
      <c r="I2777" s="432" t="s">
        <v>3575</v>
      </c>
      <c r="K2777" t="s">
        <v>659</v>
      </c>
      <c r="L2777" t="s">
        <v>669</v>
      </c>
      <c r="M2777" t="s">
        <v>2333</v>
      </c>
      <c r="N2777" s="4" t="s">
        <v>5593</v>
      </c>
    </row>
    <row r="2778" spans="1:14">
      <c r="A2778" s="5">
        <v>2779</v>
      </c>
      <c r="B2778" t="s">
        <v>114</v>
      </c>
      <c r="C2778" t="str">
        <f t="shared" si="618"/>
        <v>KB</v>
      </c>
      <c r="D2778" t="s">
        <v>4810</v>
      </c>
      <c r="E2778" s="5">
        <v>3</v>
      </c>
      <c r="G2778" s="4" t="s">
        <v>5758</v>
      </c>
      <c r="H2778" s="306" t="s">
        <v>5484</v>
      </c>
      <c r="I2778" s="432" t="s">
        <v>4551</v>
      </c>
      <c r="K2778" t="s">
        <v>659</v>
      </c>
      <c r="L2778" t="s">
        <v>669</v>
      </c>
      <c r="M2778" t="s">
        <v>2333</v>
      </c>
      <c r="N2778" s="4" t="s">
        <v>5593</v>
      </c>
    </row>
    <row r="2779" spans="1:14">
      <c r="A2779" s="5">
        <v>2780</v>
      </c>
      <c r="B2779" t="str">
        <f t="shared" ref="B2779:B2784" si="619">MID(G2779,11,2)</f>
        <v>MH</v>
      </c>
      <c r="C2779" t="str">
        <f t="shared" si="618"/>
        <v>KB</v>
      </c>
      <c r="D2779" t="s">
        <v>4810</v>
      </c>
      <c r="E2779" s="5"/>
      <c r="G2779" s="4" t="s">
        <v>5752</v>
      </c>
      <c r="H2779" s="306" t="s">
        <v>3422</v>
      </c>
      <c r="I2779" s="432" t="s">
        <v>3598</v>
      </c>
      <c r="K2779" t="s">
        <v>659</v>
      </c>
      <c r="L2779" t="s">
        <v>669</v>
      </c>
      <c r="M2779" t="s">
        <v>2333</v>
      </c>
      <c r="N2779" s="4" t="s">
        <v>5449</v>
      </c>
    </row>
    <row r="2780" spans="1:14">
      <c r="A2780" s="5">
        <v>2781</v>
      </c>
      <c r="B2780" t="str">
        <f t="shared" si="619"/>
        <v>MH</v>
      </c>
      <c r="C2780" t="str">
        <f t="shared" si="618"/>
        <v>KB</v>
      </c>
      <c r="D2780" t="s">
        <v>4810</v>
      </c>
      <c r="E2780" s="5"/>
      <c r="G2780" s="4" t="s">
        <v>5752</v>
      </c>
      <c r="H2780" s="306" t="s">
        <v>289</v>
      </c>
      <c r="I2780" s="432" t="s">
        <v>3569</v>
      </c>
      <c r="K2780" t="s">
        <v>659</v>
      </c>
      <c r="L2780" t="s">
        <v>669</v>
      </c>
      <c r="M2780" t="s">
        <v>2333</v>
      </c>
      <c r="N2780" s="4" t="s">
        <v>5449</v>
      </c>
    </row>
    <row r="2781" spans="1:14">
      <c r="A2781" s="5">
        <v>2782</v>
      </c>
      <c r="B2781" t="str">
        <f t="shared" si="619"/>
        <v>MH</v>
      </c>
      <c r="C2781" t="str">
        <f t="shared" si="618"/>
        <v>KB</v>
      </c>
      <c r="D2781" t="s">
        <v>4810</v>
      </c>
      <c r="E2781" s="5"/>
      <c r="G2781" s="4" t="s">
        <v>5752</v>
      </c>
      <c r="H2781" s="305" t="s">
        <v>1963</v>
      </c>
      <c r="I2781" s="432" t="s">
        <v>3528</v>
      </c>
      <c r="K2781" t="s">
        <v>659</v>
      </c>
      <c r="L2781" t="s">
        <v>669</v>
      </c>
      <c r="M2781" t="s">
        <v>2333</v>
      </c>
      <c r="N2781" s="4" t="s">
        <v>5449</v>
      </c>
    </row>
    <row r="2782" spans="1:14">
      <c r="A2782" s="5">
        <v>2783</v>
      </c>
      <c r="B2782" t="str">
        <f t="shared" si="619"/>
        <v>MH</v>
      </c>
      <c r="C2782" t="str">
        <f t="shared" si="618"/>
        <v>KB</v>
      </c>
      <c r="D2782" t="s">
        <v>4810</v>
      </c>
      <c r="E2782" s="5"/>
      <c r="G2782" s="4" t="s">
        <v>5752</v>
      </c>
      <c r="H2782" s="305" t="s">
        <v>1960</v>
      </c>
      <c r="I2782" s="432" t="s">
        <v>3525</v>
      </c>
      <c r="K2782" t="s">
        <v>659</v>
      </c>
      <c r="L2782" t="s">
        <v>669</v>
      </c>
      <c r="M2782" t="s">
        <v>2333</v>
      </c>
      <c r="N2782" s="4" t="s">
        <v>5449</v>
      </c>
    </row>
    <row r="2783" spans="1:14" ht="36">
      <c r="A2783" s="5">
        <v>2784</v>
      </c>
      <c r="B2783" t="str">
        <f t="shared" si="619"/>
        <v>MH</v>
      </c>
      <c r="C2783" t="str">
        <f t="shared" si="618"/>
        <v>KB</v>
      </c>
      <c r="D2783" t="s">
        <v>4810</v>
      </c>
      <c r="E2783" s="5"/>
      <c r="G2783" s="4" t="s">
        <v>5752</v>
      </c>
      <c r="H2783" s="306" t="s">
        <v>2538</v>
      </c>
      <c r="I2783" s="432" t="s">
        <v>5436</v>
      </c>
      <c r="K2783" t="s">
        <v>659</v>
      </c>
      <c r="L2783" t="s">
        <v>669</v>
      </c>
      <c r="M2783" t="s">
        <v>2333</v>
      </c>
      <c r="N2783" s="4" t="s">
        <v>5449</v>
      </c>
    </row>
    <row r="2784" spans="1:14">
      <c r="A2784" s="5">
        <v>2785</v>
      </c>
      <c r="B2784" t="str">
        <f t="shared" si="619"/>
        <v>MH</v>
      </c>
      <c r="C2784" t="str">
        <f t="shared" si="618"/>
        <v>KB</v>
      </c>
      <c r="D2784" t="s">
        <v>4810</v>
      </c>
      <c r="E2784" s="5"/>
      <c r="G2784" s="4" t="s">
        <v>5752</v>
      </c>
      <c r="H2784" s="306" t="s">
        <v>5438</v>
      </c>
      <c r="I2784" s="432" t="s">
        <v>5439</v>
      </c>
      <c r="K2784" t="s">
        <v>659</v>
      </c>
      <c r="L2784" t="s">
        <v>669</v>
      </c>
      <c r="M2784" t="s">
        <v>2333</v>
      </c>
      <c r="N2784" s="4" t="s">
        <v>5449</v>
      </c>
    </row>
    <row r="2785" spans="1:14">
      <c r="A2785" s="5">
        <v>2786</v>
      </c>
      <c r="B2785" t="str">
        <f t="shared" ref="B2785:B2908" si="620">MID(G2785,11,2)</f>
        <v>TO</v>
      </c>
      <c r="C2785" t="str">
        <f t="shared" ref="C2785:C2908" si="621">MID(G2785,14,2)</f>
        <v>KB</v>
      </c>
      <c r="D2785" t="s">
        <v>4845</v>
      </c>
      <c r="E2785" s="5">
        <v>1</v>
      </c>
      <c r="F2785" t="s">
        <v>3843</v>
      </c>
      <c r="G2785" s="4" t="s">
        <v>5770</v>
      </c>
      <c r="H2785" s="306" t="s">
        <v>5771</v>
      </c>
      <c r="I2785" s="432" t="s">
        <v>5769</v>
      </c>
      <c r="K2785" t="s">
        <v>659</v>
      </c>
      <c r="L2785" t="s">
        <v>669</v>
      </c>
      <c r="M2785" t="s">
        <v>2333</v>
      </c>
    </row>
    <row r="2786" spans="1:14">
      <c r="A2786" s="5">
        <v>2787</v>
      </c>
      <c r="B2786" t="str">
        <f t="shared" si="620"/>
        <v>TO</v>
      </c>
      <c r="C2786" t="str">
        <f t="shared" si="621"/>
        <v>KB</v>
      </c>
      <c r="D2786" t="s">
        <v>4845</v>
      </c>
      <c r="E2786" s="5">
        <v>1</v>
      </c>
      <c r="F2786" t="s">
        <v>3843</v>
      </c>
      <c r="G2786" s="4" t="s">
        <v>5770</v>
      </c>
      <c r="H2786" s="306" t="s">
        <v>5522</v>
      </c>
      <c r="I2786" s="432" t="s">
        <v>3980</v>
      </c>
      <c r="K2786" t="s">
        <v>659</v>
      </c>
      <c r="L2786" t="s">
        <v>669</v>
      </c>
      <c r="M2786" t="s">
        <v>2333</v>
      </c>
    </row>
    <row r="2787" spans="1:14">
      <c r="A2787" s="5">
        <v>2788</v>
      </c>
      <c r="B2787" t="s">
        <v>114</v>
      </c>
      <c r="C2787" t="s">
        <v>112</v>
      </c>
      <c r="D2787" t="s">
        <v>4845</v>
      </c>
      <c r="E2787" s="5">
        <v>1</v>
      </c>
      <c r="G2787" s="4" t="s">
        <v>5774</v>
      </c>
      <c r="H2787" s="306" t="s">
        <v>5774</v>
      </c>
      <c r="I2787" s="432" t="s">
        <v>5727</v>
      </c>
      <c r="K2787" t="s">
        <v>1434</v>
      </c>
      <c r="L2787" t="s">
        <v>669</v>
      </c>
      <c r="M2787" t="s">
        <v>2333</v>
      </c>
    </row>
    <row r="2788" spans="1:14">
      <c r="A2788" s="5">
        <v>2789</v>
      </c>
      <c r="B2788" t="str">
        <f t="shared" si="620"/>
        <v>MH</v>
      </c>
      <c r="C2788" t="str">
        <f t="shared" si="621"/>
        <v>KB</v>
      </c>
      <c r="D2788" t="s">
        <v>4845</v>
      </c>
      <c r="E2788" s="5">
        <v>1</v>
      </c>
      <c r="G2788" s="4" t="s">
        <v>5828</v>
      </c>
      <c r="H2788" s="306" t="s">
        <v>5808</v>
      </c>
      <c r="I2788" s="432" t="s">
        <v>5809</v>
      </c>
      <c r="K2788" t="s">
        <v>659</v>
      </c>
      <c r="L2788" t="s">
        <v>669</v>
      </c>
      <c r="M2788" t="s">
        <v>3733</v>
      </c>
    </row>
    <row r="2789" spans="1:14">
      <c r="A2789" s="5">
        <v>2790</v>
      </c>
      <c r="B2789" t="str">
        <f>MID(G2789,11,2)</f>
        <v>TO</v>
      </c>
      <c r="C2789" t="str">
        <f>MID(G2789,14,2)</f>
        <v>Ap</v>
      </c>
      <c r="D2789" t="s">
        <v>4845</v>
      </c>
      <c r="E2789" s="5">
        <v>3</v>
      </c>
      <c r="G2789" s="4" t="s">
        <v>5820</v>
      </c>
      <c r="H2789" s="306" t="s">
        <v>5825</v>
      </c>
      <c r="K2789" t="s">
        <v>2841</v>
      </c>
      <c r="L2789" t="s">
        <v>3224</v>
      </c>
      <c r="M2789"/>
    </row>
    <row r="2790" spans="1:14">
      <c r="A2790" s="5">
        <v>2791</v>
      </c>
      <c r="B2790" t="str">
        <f t="shared" ref="B2790:B2793" si="622">MID(G2790,11,2)</f>
        <v>TO</v>
      </c>
      <c r="C2790" t="str">
        <f t="shared" ref="C2790:C2793" si="623">MID(G2790,14,2)</f>
        <v>Ap</v>
      </c>
      <c r="D2790" t="s">
        <v>4845</v>
      </c>
      <c r="E2790" s="5">
        <v>3</v>
      </c>
      <c r="G2790" s="4" t="s">
        <v>5820</v>
      </c>
      <c r="H2790" s="306" t="s">
        <v>5821</v>
      </c>
      <c r="K2790" t="s">
        <v>2841</v>
      </c>
      <c r="L2790" t="s">
        <v>3224</v>
      </c>
      <c r="M2790"/>
    </row>
    <row r="2791" spans="1:14">
      <c r="A2791" s="5">
        <v>2792</v>
      </c>
      <c r="B2791" t="str">
        <f t="shared" si="622"/>
        <v>TO</v>
      </c>
      <c r="C2791" t="str">
        <f t="shared" si="623"/>
        <v>Ap</v>
      </c>
      <c r="D2791" t="s">
        <v>4845</v>
      </c>
      <c r="E2791" s="5">
        <v>3</v>
      </c>
      <c r="G2791" s="4" t="s">
        <v>5820</v>
      </c>
      <c r="H2791" s="306" t="s">
        <v>5822</v>
      </c>
      <c r="K2791" t="s">
        <v>2841</v>
      </c>
      <c r="L2791" t="s">
        <v>3224</v>
      </c>
      <c r="M2791"/>
    </row>
    <row r="2792" spans="1:14">
      <c r="A2792" s="5">
        <v>2793</v>
      </c>
      <c r="B2792" t="str">
        <f t="shared" si="622"/>
        <v>TO</v>
      </c>
      <c r="C2792" t="str">
        <f t="shared" si="623"/>
        <v>Ap</v>
      </c>
      <c r="D2792" t="s">
        <v>4845</v>
      </c>
      <c r="E2792" s="5">
        <v>3</v>
      </c>
      <c r="G2792" s="4" t="s">
        <v>5820</v>
      </c>
      <c r="H2792" s="306" t="s">
        <v>5823</v>
      </c>
      <c r="K2792" t="s">
        <v>2841</v>
      </c>
      <c r="L2792" t="s">
        <v>3224</v>
      </c>
      <c r="M2792"/>
    </row>
    <row r="2793" spans="1:14">
      <c r="A2793" s="5">
        <v>2794</v>
      </c>
      <c r="B2793" t="str">
        <f t="shared" si="622"/>
        <v>TO</v>
      </c>
      <c r="C2793" t="str">
        <f t="shared" si="623"/>
        <v>Ap</v>
      </c>
      <c r="D2793" t="s">
        <v>4845</v>
      </c>
      <c r="E2793" s="5">
        <v>3</v>
      </c>
      <c r="G2793" s="4" t="s">
        <v>5820</v>
      </c>
      <c r="H2793" s="306" t="s">
        <v>5824</v>
      </c>
      <c r="K2793" t="s">
        <v>2841</v>
      </c>
      <c r="L2793" t="s">
        <v>3224</v>
      </c>
      <c r="M2793"/>
    </row>
    <row r="2794" spans="1:14">
      <c r="A2794" s="5">
        <v>2795</v>
      </c>
      <c r="B2794" t="str">
        <f>MID(G2794,11,2)</f>
        <v>MH</v>
      </c>
      <c r="C2794" t="str">
        <f>MID(G2794,14,2)</f>
        <v>KB</v>
      </c>
      <c r="D2794" t="s">
        <v>4845</v>
      </c>
      <c r="E2794" s="5"/>
      <c r="F2794" t="s">
        <v>2766</v>
      </c>
      <c r="G2794" s="4" t="s">
        <v>5833</v>
      </c>
      <c r="H2794" s="306" t="s">
        <v>5806</v>
      </c>
      <c r="I2794" s="432" t="s">
        <v>5809</v>
      </c>
      <c r="K2794" t="s">
        <v>659</v>
      </c>
      <c r="L2794" t="s">
        <v>669</v>
      </c>
      <c r="M2794" t="s">
        <v>2333</v>
      </c>
    </row>
    <row r="2795" spans="1:14">
      <c r="A2795" s="5">
        <v>2796</v>
      </c>
      <c r="B2795" t="str">
        <f t="shared" ref="B2795:B2799" si="624">MID(G2795,11,2)</f>
        <v>TO</v>
      </c>
      <c r="C2795" t="str">
        <f t="shared" ref="C2795:C2799" si="625">MID(G2795,14,2)</f>
        <v>KB</v>
      </c>
      <c r="D2795" t="s">
        <v>4816</v>
      </c>
      <c r="E2795" s="5">
        <v>1</v>
      </c>
      <c r="F2795" t="s">
        <v>4452</v>
      </c>
      <c r="G2795" s="4" t="s">
        <v>5848</v>
      </c>
      <c r="H2795" s="306" t="s">
        <v>5829</v>
      </c>
      <c r="I2795" s="432" t="s">
        <v>5830</v>
      </c>
      <c r="J2795" t="s">
        <v>5834</v>
      </c>
      <c r="K2795" t="s">
        <v>1434</v>
      </c>
      <c r="L2795" t="s">
        <v>669</v>
      </c>
      <c r="M2795" t="s">
        <v>2333</v>
      </c>
    </row>
    <row r="2796" spans="1:14">
      <c r="A2796" s="5">
        <v>2797</v>
      </c>
      <c r="B2796" t="str">
        <f>MID(G2796,11,2)</f>
        <v>TO</v>
      </c>
      <c r="C2796" t="str">
        <f>MID(G2796,14,2)</f>
        <v>KB</v>
      </c>
      <c r="D2796" t="s">
        <v>4816</v>
      </c>
      <c r="E2796" s="5">
        <v>1</v>
      </c>
      <c r="F2796" t="s">
        <v>4452</v>
      </c>
      <c r="G2796" s="4" t="s">
        <v>5848</v>
      </c>
      <c r="H2796" s="306" t="s">
        <v>559</v>
      </c>
      <c r="I2796" s="432" t="s">
        <v>3945</v>
      </c>
      <c r="J2796" t="s">
        <v>5834</v>
      </c>
      <c r="K2796" t="s">
        <v>659</v>
      </c>
      <c r="L2796" t="s">
        <v>669</v>
      </c>
      <c r="M2796" t="s">
        <v>2333</v>
      </c>
    </row>
    <row r="2797" spans="1:14">
      <c r="A2797" s="5">
        <v>2798</v>
      </c>
      <c r="B2797" t="str">
        <f t="shared" ref="B2797:B2798" si="626">MID(G2797,11,2)</f>
        <v>TO</v>
      </c>
      <c r="C2797" t="str">
        <f t="shared" ref="C2797:C2798" si="627">MID(G2797,14,2)</f>
        <v>KB</v>
      </c>
      <c r="D2797" t="s">
        <v>4816</v>
      </c>
      <c r="E2797" s="5">
        <v>1</v>
      </c>
      <c r="F2797" t="s">
        <v>3843</v>
      </c>
      <c r="G2797" s="4" t="s">
        <v>5847</v>
      </c>
      <c r="H2797" s="306" t="s">
        <v>4580</v>
      </c>
      <c r="I2797" s="432" t="s">
        <v>4640</v>
      </c>
      <c r="J2797" t="s">
        <v>5834</v>
      </c>
      <c r="K2797" t="s">
        <v>659</v>
      </c>
      <c r="L2797" t="s">
        <v>669</v>
      </c>
      <c r="M2797" t="s">
        <v>2333</v>
      </c>
    </row>
    <row r="2798" spans="1:14">
      <c r="A2798" s="5">
        <v>2799</v>
      </c>
      <c r="B2798" t="str">
        <f t="shared" si="626"/>
        <v>TO</v>
      </c>
      <c r="C2798" t="str">
        <f t="shared" si="627"/>
        <v>KB</v>
      </c>
      <c r="D2798" t="s">
        <v>4816</v>
      </c>
      <c r="E2798" s="5">
        <v>1</v>
      </c>
      <c r="F2798" t="s">
        <v>3843</v>
      </c>
      <c r="G2798" s="4" t="s">
        <v>5847</v>
      </c>
      <c r="H2798" s="306" t="s">
        <v>5831</v>
      </c>
      <c r="I2798" s="432" t="s">
        <v>5832</v>
      </c>
      <c r="J2798" t="s">
        <v>5834</v>
      </c>
      <c r="K2798" t="s">
        <v>659</v>
      </c>
      <c r="L2798" t="s">
        <v>669</v>
      </c>
      <c r="M2798" t="s">
        <v>2333</v>
      </c>
    </row>
    <row r="2799" spans="1:14">
      <c r="A2799" s="5">
        <v>2800</v>
      </c>
      <c r="B2799" t="str">
        <f t="shared" si="624"/>
        <v>TO</v>
      </c>
      <c r="C2799" t="str">
        <f t="shared" si="625"/>
        <v>KB</v>
      </c>
      <c r="D2799" t="s">
        <v>4816</v>
      </c>
      <c r="E2799" s="5">
        <v>2</v>
      </c>
      <c r="G2799" s="4" t="s">
        <v>5844</v>
      </c>
      <c r="H2799" s="306" t="s">
        <v>5811</v>
      </c>
      <c r="I2799" s="432" t="s">
        <v>5810</v>
      </c>
      <c r="J2799" t="s">
        <v>5834</v>
      </c>
      <c r="K2799" t="s">
        <v>659</v>
      </c>
      <c r="L2799" t="s">
        <v>669</v>
      </c>
      <c r="M2799" t="s">
        <v>2333</v>
      </c>
    </row>
    <row r="2800" spans="1:14">
      <c r="A2800" s="5">
        <v>2801</v>
      </c>
      <c r="B2800" t="str">
        <f t="shared" ref="B2800:B2803" si="628">MID(G2800,11,2)</f>
        <v>TO</v>
      </c>
      <c r="C2800" t="str">
        <f t="shared" ref="C2800:C2803" si="629">MID(G2800,14,2)</f>
        <v>KB</v>
      </c>
      <c r="D2800" t="s">
        <v>4816</v>
      </c>
      <c r="E2800" s="5">
        <v>2</v>
      </c>
      <c r="G2800" s="4" t="s">
        <v>5838</v>
      </c>
      <c r="H2800" s="306" t="s">
        <v>3825</v>
      </c>
      <c r="I2800" s="432" t="s">
        <v>3826</v>
      </c>
      <c r="J2800" t="s">
        <v>5834</v>
      </c>
      <c r="K2800" t="s">
        <v>659</v>
      </c>
      <c r="L2800" t="s">
        <v>669</v>
      </c>
      <c r="M2800" t="s">
        <v>2333</v>
      </c>
      <c r="N2800" t="s">
        <v>2333</v>
      </c>
    </row>
    <row r="2801" spans="1:14">
      <c r="A2801" s="5">
        <v>2802</v>
      </c>
      <c r="B2801" t="str">
        <f t="shared" si="628"/>
        <v>TO</v>
      </c>
      <c r="C2801" t="str">
        <f t="shared" si="629"/>
        <v>KB</v>
      </c>
      <c r="D2801" t="s">
        <v>4816</v>
      </c>
      <c r="E2801" s="5">
        <v>2</v>
      </c>
      <c r="G2801" s="4" t="s">
        <v>5838</v>
      </c>
      <c r="H2801" s="306" t="s">
        <v>5812</v>
      </c>
      <c r="I2801" s="432" t="s">
        <v>5813</v>
      </c>
      <c r="J2801" t="s">
        <v>5834</v>
      </c>
      <c r="K2801" t="s">
        <v>1434</v>
      </c>
      <c r="L2801" t="s">
        <v>669</v>
      </c>
      <c r="M2801" t="s">
        <v>2333</v>
      </c>
    </row>
    <row r="2802" spans="1:14">
      <c r="A2802" s="5">
        <v>2803</v>
      </c>
      <c r="B2802" t="str">
        <f t="shared" si="628"/>
        <v>TO</v>
      </c>
      <c r="C2802" t="str">
        <f t="shared" si="629"/>
        <v>KB</v>
      </c>
      <c r="D2802" t="s">
        <v>4816</v>
      </c>
      <c r="E2802" s="5">
        <v>2</v>
      </c>
      <c r="G2802" s="4" t="s">
        <v>5838</v>
      </c>
      <c r="H2802" s="306" t="s">
        <v>5814</v>
      </c>
      <c r="I2802" s="432" t="s">
        <v>5388</v>
      </c>
      <c r="J2802" t="s">
        <v>5834</v>
      </c>
      <c r="K2802" t="s">
        <v>1434</v>
      </c>
      <c r="L2802" t="s">
        <v>669</v>
      </c>
      <c r="M2802" t="s">
        <v>2333</v>
      </c>
    </row>
    <row r="2803" spans="1:14">
      <c r="A2803" s="5">
        <v>2804</v>
      </c>
      <c r="B2803" t="str">
        <f t="shared" si="628"/>
        <v>TO</v>
      </c>
      <c r="C2803" t="str">
        <f t="shared" si="629"/>
        <v>KB</v>
      </c>
      <c r="D2803" t="s">
        <v>4816</v>
      </c>
      <c r="E2803" s="5">
        <v>2</v>
      </c>
      <c r="G2803" s="4" t="s">
        <v>5838</v>
      </c>
      <c r="H2803" s="306" t="s">
        <v>5524</v>
      </c>
      <c r="I2803" s="432" t="s">
        <v>5525</v>
      </c>
      <c r="J2803" t="s">
        <v>5834</v>
      </c>
      <c r="K2803" t="s">
        <v>659</v>
      </c>
      <c r="L2803" t="s">
        <v>669</v>
      </c>
      <c r="M2803" t="s">
        <v>2333</v>
      </c>
    </row>
    <row r="2804" spans="1:14">
      <c r="A2804" s="5">
        <v>2805</v>
      </c>
      <c r="B2804" t="str">
        <f t="shared" ref="B2804:B2809" si="630">MID(G2804,11,2)</f>
        <v>TO</v>
      </c>
      <c r="C2804" t="str">
        <f t="shared" ref="C2804:C2809" si="631">MID(G2804,14,2)</f>
        <v>KB</v>
      </c>
      <c r="D2804" t="s">
        <v>4816</v>
      </c>
      <c r="E2804" s="5">
        <v>2</v>
      </c>
      <c r="G2804" s="4" t="s">
        <v>5839</v>
      </c>
      <c r="H2804" s="306" t="s">
        <v>3694</v>
      </c>
      <c r="I2804" s="432" t="s">
        <v>3695</v>
      </c>
      <c r="K2804" t="s">
        <v>659</v>
      </c>
      <c r="L2804" t="s">
        <v>669</v>
      </c>
      <c r="M2804" t="s">
        <v>2333</v>
      </c>
    </row>
    <row r="2805" spans="1:14">
      <c r="A2805" s="5">
        <v>2806</v>
      </c>
      <c r="B2805" t="str">
        <f t="shared" si="630"/>
        <v>TO</v>
      </c>
      <c r="C2805" t="str">
        <f t="shared" si="631"/>
        <v>KB</v>
      </c>
      <c r="D2805" t="s">
        <v>4816</v>
      </c>
      <c r="E2805" s="5">
        <v>2</v>
      </c>
      <c r="G2805" s="4" t="s">
        <v>5839</v>
      </c>
      <c r="H2805" s="306" t="s">
        <v>5523</v>
      </c>
      <c r="I2805" s="432" t="s">
        <v>3980</v>
      </c>
      <c r="K2805" t="s">
        <v>659</v>
      </c>
      <c r="L2805" t="s">
        <v>669</v>
      </c>
      <c r="M2805" t="s">
        <v>2333</v>
      </c>
    </row>
    <row r="2806" spans="1:14">
      <c r="A2806" s="5">
        <v>2807</v>
      </c>
      <c r="B2806" t="str">
        <f t="shared" si="630"/>
        <v>TO</v>
      </c>
      <c r="C2806" t="str">
        <f t="shared" si="631"/>
        <v>KB</v>
      </c>
      <c r="D2806" t="s">
        <v>4816</v>
      </c>
      <c r="E2806" s="5">
        <v>2</v>
      </c>
      <c r="G2806" s="4" t="s">
        <v>5839</v>
      </c>
      <c r="H2806" s="306" t="s">
        <v>4515</v>
      </c>
      <c r="I2806" s="432" t="s">
        <v>3058</v>
      </c>
      <c r="K2806" t="s">
        <v>659</v>
      </c>
      <c r="L2806" t="s">
        <v>669</v>
      </c>
      <c r="M2806" t="s">
        <v>2333</v>
      </c>
    </row>
    <row r="2807" spans="1:14">
      <c r="A2807" s="5">
        <v>2808</v>
      </c>
      <c r="B2807" t="str">
        <f t="shared" si="630"/>
        <v>TO</v>
      </c>
      <c r="C2807" t="str">
        <f t="shared" si="631"/>
        <v>KB</v>
      </c>
      <c r="D2807" t="s">
        <v>4816</v>
      </c>
      <c r="E2807" s="5">
        <v>2</v>
      </c>
      <c r="G2807" s="4" t="s">
        <v>5839</v>
      </c>
      <c r="H2807" s="306" t="s">
        <v>5815</v>
      </c>
      <c r="I2807" s="432" t="s">
        <v>5816</v>
      </c>
      <c r="K2807" t="s">
        <v>659</v>
      </c>
      <c r="L2807" t="s">
        <v>669</v>
      </c>
      <c r="M2807" t="s">
        <v>2333</v>
      </c>
    </row>
    <row r="2808" spans="1:14">
      <c r="A2808" s="5">
        <v>2809</v>
      </c>
      <c r="B2808" t="str">
        <f t="shared" si="630"/>
        <v>TO</v>
      </c>
      <c r="C2808" t="str">
        <f t="shared" si="631"/>
        <v>KB</v>
      </c>
      <c r="D2808" t="s">
        <v>4816</v>
      </c>
      <c r="E2808" s="5">
        <v>2</v>
      </c>
      <c r="G2808" s="4" t="s">
        <v>5839</v>
      </c>
      <c r="H2808" s="306" t="s">
        <v>5817</v>
      </c>
      <c r="I2808" s="432" t="s">
        <v>5818</v>
      </c>
      <c r="K2808" t="s">
        <v>1434</v>
      </c>
      <c r="L2808" t="s">
        <v>669</v>
      </c>
      <c r="M2808" t="s">
        <v>2333</v>
      </c>
    </row>
    <row r="2809" spans="1:14">
      <c r="A2809" s="5">
        <v>2810</v>
      </c>
      <c r="B2809" t="str">
        <f t="shared" si="630"/>
        <v>TO</v>
      </c>
      <c r="C2809" t="str">
        <f t="shared" si="631"/>
        <v>KB</v>
      </c>
      <c r="D2809" t="s">
        <v>4816</v>
      </c>
      <c r="E2809" s="5">
        <v>2</v>
      </c>
      <c r="G2809" s="4" t="s">
        <v>5845</v>
      </c>
      <c r="H2809" s="306" t="s">
        <v>5684</v>
      </c>
      <c r="I2809" s="432" t="s">
        <v>5685</v>
      </c>
      <c r="K2809" t="s">
        <v>659</v>
      </c>
      <c r="L2809" t="s">
        <v>669</v>
      </c>
      <c r="M2809" t="s">
        <v>2333</v>
      </c>
    </row>
    <row r="2810" spans="1:14">
      <c r="A2810" s="5">
        <v>2811</v>
      </c>
      <c r="B2810" t="str">
        <f t="shared" ref="B2810:B2814" si="632">MID(G2810,11,2)</f>
        <v>TO</v>
      </c>
      <c r="C2810" t="str">
        <f t="shared" ref="C2810:C2814" si="633">MID(G2810,14,2)</f>
        <v>KB</v>
      </c>
      <c r="D2810" t="s">
        <v>4816</v>
      </c>
      <c r="E2810" s="5">
        <v>2</v>
      </c>
      <c r="G2810" s="4" t="s">
        <v>5840</v>
      </c>
      <c r="H2810" s="306" t="s">
        <v>4049</v>
      </c>
      <c r="I2810" s="432" t="s">
        <v>5460</v>
      </c>
      <c r="K2810" t="s">
        <v>659</v>
      </c>
      <c r="L2810" t="s">
        <v>669</v>
      </c>
      <c r="M2810" t="s">
        <v>3160</v>
      </c>
      <c r="N2810" t="s">
        <v>5461</v>
      </c>
    </row>
    <row r="2811" spans="1:14">
      <c r="A2811" s="5">
        <v>2812</v>
      </c>
      <c r="B2811" t="str">
        <f t="shared" si="632"/>
        <v>TO</v>
      </c>
      <c r="C2811" t="str">
        <f t="shared" si="633"/>
        <v>KB</v>
      </c>
      <c r="D2811" t="s">
        <v>4816</v>
      </c>
      <c r="E2811" s="5">
        <v>2</v>
      </c>
      <c r="G2811" s="4" t="s">
        <v>5840</v>
      </c>
      <c r="H2811" s="306" t="s">
        <v>5843</v>
      </c>
      <c r="I2811" s="432" t="s">
        <v>4105</v>
      </c>
      <c r="K2811" t="s">
        <v>1434</v>
      </c>
      <c r="L2811" t="s">
        <v>669</v>
      </c>
      <c r="M2811" t="s">
        <v>2333</v>
      </c>
    </row>
    <row r="2812" spans="1:14" ht="18.600000000000001">
      <c r="A2812" s="5">
        <v>2813</v>
      </c>
      <c r="B2812" t="str">
        <f t="shared" si="632"/>
        <v>TO</v>
      </c>
      <c r="C2812" t="str">
        <f t="shared" si="633"/>
        <v>KB</v>
      </c>
      <c r="D2812" t="s">
        <v>4816</v>
      </c>
      <c r="E2812" s="5">
        <v>2</v>
      </c>
      <c r="G2812" s="4" t="s">
        <v>5840</v>
      </c>
      <c r="H2812" s="70" t="s">
        <v>5223</v>
      </c>
      <c r="I2812" s="438" t="s">
        <v>4664</v>
      </c>
      <c r="K2812" t="s">
        <v>1434</v>
      </c>
      <c r="L2812" t="s">
        <v>669</v>
      </c>
      <c r="M2812" t="s">
        <v>3160</v>
      </c>
    </row>
    <row r="2813" spans="1:14">
      <c r="A2813" s="5">
        <v>2814</v>
      </c>
      <c r="B2813" t="str">
        <f t="shared" si="632"/>
        <v>TO</v>
      </c>
      <c r="C2813" t="str">
        <f t="shared" si="633"/>
        <v>KB</v>
      </c>
      <c r="D2813" t="s">
        <v>4816</v>
      </c>
      <c r="E2813" s="5">
        <v>2</v>
      </c>
      <c r="G2813" s="4" t="s">
        <v>5840</v>
      </c>
      <c r="H2813" s="306" t="s">
        <v>4667</v>
      </c>
      <c r="I2813" s="432" t="s">
        <v>4668</v>
      </c>
      <c r="K2813" t="s">
        <v>1434</v>
      </c>
      <c r="L2813" t="s">
        <v>2137</v>
      </c>
      <c r="M2813" t="s">
        <v>2137</v>
      </c>
      <c r="N2813" t="s">
        <v>5994</v>
      </c>
    </row>
    <row r="2814" spans="1:14">
      <c r="A2814" s="5">
        <v>2815</v>
      </c>
      <c r="B2814" t="str">
        <f t="shared" si="632"/>
        <v>TO</v>
      </c>
      <c r="C2814" t="str">
        <f t="shared" si="633"/>
        <v>KB</v>
      </c>
      <c r="D2814" t="s">
        <v>4816</v>
      </c>
      <c r="E2814" s="5">
        <v>2</v>
      </c>
      <c r="G2814" s="4" t="s">
        <v>5840</v>
      </c>
      <c r="H2814" s="306" t="s">
        <v>5497</v>
      </c>
      <c r="I2814" s="432" t="s">
        <v>5498</v>
      </c>
      <c r="K2814" t="s">
        <v>659</v>
      </c>
      <c r="L2814" t="s">
        <v>669</v>
      </c>
      <c r="M2814" t="s">
        <v>2333</v>
      </c>
    </row>
    <row r="2815" spans="1:14">
      <c r="A2815" s="5">
        <v>2816</v>
      </c>
      <c r="B2815" t="str">
        <f>MID(G2815,11,2)</f>
        <v>TO</v>
      </c>
      <c r="C2815" t="str">
        <f>MID(G2815,14,2)</f>
        <v>KB</v>
      </c>
      <c r="D2815" t="s">
        <v>4816</v>
      </c>
      <c r="E2815" s="5">
        <v>3</v>
      </c>
      <c r="G2815" s="4" t="s">
        <v>5841</v>
      </c>
      <c r="H2815" s="306" t="s">
        <v>5766</v>
      </c>
      <c r="I2815" s="432" t="s">
        <v>2319</v>
      </c>
      <c r="K2815" t="s">
        <v>659</v>
      </c>
      <c r="L2815" t="s">
        <v>669</v>
      </c>
      <c r="M2815" t="s">
        <v>2102</v>
      </c>
    </row>
    <row r="2816" spans="1:14">
      <c r="A2816" s="5">
        <v>2817</v>
      </c>
      <c r="B2816" t="str">
        <f t="shared" ref="B2816:B2826" si="634">MID(G2816,11,2)</f>
        <v>TO</v>
      </c>
      <c r="C2816" t="str">
        <f t="shared" ref="C2816:C2826" si="635">MID(G2816,14,2)</f>
        <v>KB</v>
      </c>
      <c r="D2816" t="s">
        <v>4816</v>
      </c>
      <c r="E2816" s="5">
        <v>3</v>
      </c>
      <c r="G2816" s="4" t="s">
        <v>5841</v>
      </c>
      <c r="H2816" s="306" t="s">
        <v>5717</v>
      </c>
      <c r="I2816" s="432" t="s">
        <v>5718</v>
      </c>
      <c r="K2816" t="s">
        <v>659</v>
      </c>
      <c r="L2816" t="s">
        <v>669</v>
      </c>
      <c r="M2816" t="s">
        <v>2102</v>
      </c>
    </row>
    <row r="2817" spans="1:14">
      <c r="A2817" s="5">
        <v>2818</v>
      </c>
      <c r="B2817" t="str">
        <f t="shared" si="634"/>
        <v>TO</v>
      </c>
      <c r="C2817" t="str">
        <f t="shared" si="635"/>
        <v>KB</v>
      </c>
      <c r="D2817" t="s">
        <v>4816</v>
      </c>
      <c r="E2817" s="5">
        <v>3</v>
      </c>
      <c r="G2817" s="4" t="s">
        <v>5841</v>
      </c>
      <c r="H2817" s="306" t="s">
        <v>5719</v>
      </c>
      <c r="I2817" s="432" t="s">
        <v>5720</v>
      </c>
      <c r="K2817" t="s">
        <v>659</v>
      </c>
      <c r="L2817" t="s">
        <v>669</v>
      </c>
      <c r="M2817" t="s">
        <v>2102</v>
      </c>
    </row>
    <row r="2818" spans="1:14">
      <c r="A2818" s="5">
        <v>2819</v>
      </c>
      <c r="B2818" t="str">
        <f t="shared" si="634"/>
        <v>TO</v>
      </c>
      <c r="C2818" t="str">
        <f t="shared" si="635"/>
        <v>KB</v>
      </c>
      <c r="D2818" t="s">
        <v>4816</v>
      </c>
      <c r="E2818" s="5">
        <v>3</v>
      </c>
      <c r="G2818" s="4" t="s">
        <v>7026</v>
      </c>
      <c r="H2818" s="306" t="s">
        <v>5457</v>
      </c>
      <c r="I2818" s="432" t="s">
        <v>5458</v>
      </c>
      <c r="K2818" t="s">
        <v>1434</v>
      </c>
      <c r="L2818" t="s">
        <v>669</v>
      </c>
      <c r="M2818" t="s">
        <v>2102</v>
      </c>
      <c r="N2818" t="s">
        <v>5842</v>
      </c>
    </row>
    <row r="2819" spans="1:14">
      <c r="A2819" s="5">
        <v>2820</v>
      </c>
      <c r="B2819" t="str">
        <f t="shared" si="634"/>
        <v>TO</v>
      </c>
      <c r="C2819" t="str">
        <f t="shared" si="635"/>
        <v>KB</v>
      </c>
      <c r="D2819" t="s">
        <v>4816</v>
      </c>
      <c r="E2819" s="5">
        <v>3</v>
      </c>
      <c r="G2819" s="4" t="s">
        <v>5841</v>
      </c>
      <c r="H2819" s="306" t="s">
        <v>5686</v>
      </c>
      <c r="I2819" s="432" t="s">
        <v>5687</v>
      </c>
      <c r="K2819" t="s">
        <v>659</v>
      </c>
      <c r="L2819" t="s">
        <v>669</v>
      </c>
      <c r="M2819" t="s">
        <v>2102</v>
      </c>
    </row>
    <row r="2820" spans="1:14">
      <c r="A2820" s="5">
        <v>2821</v>
      </c>
      <c r="B2820" t="str">
        <f t="shared" si="634"/>
        <v>TO</v>
      </c>
      <c r="C2820" t="str">
        <f t="shared" si="635"/>
        <v>KB</v>
      </c>
      <c r="D2820" t="s">
        <v>4816</v>
      </c>
      <c r="E2820" s="5">
        <v>3</v>
      </c>
      <c r="G2820" s="4" t="s">
        <v>5841</v>
      </c>
      <c r="H2820" s="306" t="s">
        <v>5702</v>
      </c>
      <c r="I2820" s="432" t="s">
        <v>3828</v>
      </c>
      <c r="K2820" t="s">
        <v>659</v>
      </c>
      <c r="L2820" t="s">
        <v>669</v>
      </c>
      <c r="M2820" t="s">
        <v>2102</v>
      </c>
    </row>
    <row r="2821" spans="1:14">
      <c r="A2821" s="5">
        <v>2822</v>
      </c>
      <c r="B2821" t="str">
        <f t="shared" si="634"/>
        <v>TO</v>
      </c>
      <c r="C2821" t="str">
        <f t="shared" si="635"/>
        <v>KB</v>
      </c>
      <c r="D2821" t="s">
        <v>4816</v>
      </c>
      <c r="E2821" s="5">
        <v>3</v>
      </c>
      <c r="G2821" s="4" t="s">
        <v>5841</v>
      </c>
      <c r="H2821" s="305" t="s">
        <v>1979</v>
      </c>
      <c r="I2821" s="432" t="s">
        <v>3592</v>
      </c>
      <c r="K2821" t="s">
        <v>1434</v>
      </c>
      <c r="L2821" t="s">
        <v>669</v>
      </c>
      <c r="M2821" t="s">
        <v>2102</v>
      </c>
    </row>
    <row r="2822" spans="1:14">
      <c r="A2822" s="5">
        <v>2823</v>
      </c>
      <c r="B2822" t="str">
        <f t="shared" si="634"/>
        <v>TO</v>
      </c>
      <c r="C2822" t="str">
        <f t="shared" si="635"/>
        <v>KB</v>
      </c>
      <c r="D2822" t="s">
        <v>4816</v>
      </c>
      <c r="E2822" s="5">
        <v>3</v>
      </c>
      <c r="G2822" s="4" t="s">
        <v>5841</v>
      </c>
      <c r="H2822" s="306" t="s">
        <v>378</v>
      </c>
      <c r="I2822" s="438" t="s">
        <v>2488</v>
      </c>
      <c r="K2822" t="s">
        <v>659</v>
      </c>
      <c r="L2822" t="s">
        <v>669</v>
      </c>
      <c r="M2822" t="s">
        <v>2102</v>
      </c>
      <c r="N2822" s="282"/>
    </row>
    <row r="2823" spans="1:14">
      <c r="A2823" s="5">
        <v>2824</v>
      </c>
      <c r="B2823" t="str">
        <f t="shared" si="634"/>
        <v>TO</v>
      </c>
      <c r="C2823" t="str">
        <f t="shared" si="635"/>
        <v>KB</v>
      </c>
      <c r="D2823" t="s">
        <v>4816</v>
      </c>
      <c r="E2823" s="5">
        <v>3</v>
      </c>
      <c r="G2823" s="4" t="s">
        <v>5841</v>
      </c>
      <c r="H2823" s="306" t="s">
        <v>2772</v>
      </c>
      <c r="I2823" s="438" t="s">
        <v>1115</v>
      </c>
      <c r="K2823" t="s">
        <v>659</v>
      </c>
      <c r="L2823" t="s">
        <v>669</v>
      </c>
      <c r="M2823" t="s">
        <v>2102</v>
      </c>
    </row>
    <row r="2824" spans="1:14">
      <c r="A2824" s="5">
        <v>2825</v>
      </c>
      <c r="B2824" t="str">
        <f t="shared" si="634"/>
        <v>TO</v>
      </c>
      <c r="C2824" t="str">
        <f t="shared" si="635"/>
        <v>KB</v>
      </c>
      <c r="D2824" t="s">
        <v>4816</v>
      </c>
      <c r="E2824" s="5">
        <v>3</v>
      </c>
      <c r="G2824" s="4" t="s">
        <v>5846</v>
      </c>
      <c r="H2824" s="306" t="s">
        <v>1574</v>
      </c>
      <c r="I2824" s="432" t="s">
        <v>5251</v>
      </c>
      <c r="K2824" t="s">
        <v>659</v>
      </c>
      <c r="L2824" t="s">
        <v>669</v>
      </c>
      <c r="M2824" t="s">
        <v>2102</v>
      </c>
    </row>
    <row r="2825" spans="1:14">
      <c r="A2825" s="5">
        <v>2826</v>
      </c>
      <c r="B2825" t="str">
        <f t="shared" si="634"/>
        <v>TO</v>
      </c>
      <c r="C2825" t="str">
        <f t="shared" si="635"/>
        <v>KB</v>
      </c>
      <c r="D2825" t="s">
        <v>4816</v>
      </c>
      <c r="E2825" s="5">
        <v>3</v>
      </c>
      <c r="G2825" s="4" t="s">
        <v>5841</v>
      </c>
      <c r="H2825" s="306" t="s">
        <v>5777</v>
      </c>
      <c r="I2825" s="432" t="s">
        <v>4103</v>
      </c>
      <c r="K2825" t="s">
        <v>1434</v>
      </c>
      <c r="L2825" t="s">
        <v>669</v>
      </c>
      <c r="M2825" t="s">
        <v>2102</v>
      </c>
    </row>
    <row r="2826" spans="1:14">
      <c r="A2826" s="5">
        <v>2827</v>
      </c>
      <c r="B2826" t="str">
        <f t="shared" si="634"/>
        <v>TO</v>
      </c>
      <c r="C2826" t="str">
        <f t="shared" si="635"/>
        <v>KB</v>
      </c>
      <c r="D2826" t="s">
        <v>4816</v>
      </c>
      <c r="E2826" s="5">
        <v>3</v>
      </c>
      <c r="G2826" s="4" t="s">
        <v>5841</v>
      </c>
      <c r="H2826" s="306" t="s">
        <v>2942</v>
      </c>
      <c r="I2826" s="432" t="s">
        <v>5787</v>
      </c>
      <c r="K2826" t="s">
        <v>1434</v>
      </c>
      <c r="L2826" t="s">
        <v>669</v>
      </c>
      <c r="M2826" t="s">
        <v>2102</v>
      </c>
    </row>
    <row r="2827" spans="1:14">
      <c r="A2827" s="5">
        <v>2828</v>
      </c>
      <c r="B2827" t="str">
        <f>MID(G2827,11,2)</f>
        <v>TO</v>
      </c>
      <c r="C2827" t="str">
        <f>MID(G2827,14,2)</f>
        <v>KB</v>
      </c>
      <c r="D2827" t="s">
        <v>4816</v>
      </c>
      <c r="E2827" s="5">
        <v>3</v>
      </c>
      <c r="G2827" s="4" t="s">
        <v>5841</v>
      </c>
      <c r="H2827" s="306" t="s">
        <v>2221</v>
      </c>
      <c r="I2827" s="432" t="s">
        <v>2222</v>
      </c>
      <c r="K2827" t="s">
        <v>659</v>
      </c>
      <c r="L2827" t="s">
        <v>669</v>
      </c>
      <c r="M2827" t="s">
        <v>2102</v>
      </c>
    </row>
    <row r="2828" spans="1:14" ht="36">
      <c r="A2828" s="5">
        <v>2829</v>
      </c>
      <c r="B2828" t="str">
        <f t="shared" ref="B2828" si="636">MID(G2828,11,2)</f>
        <v>TO</v>
      </c>
      <c r="C2828" t="str">
        <f t="shared" ref="C2828" si="637">MID(G2828,14,2)</f>
        <v>KB</v>
      </c>
      <c r="D2828" t="s">
        <v>4816</v>
      </c>
      <c r="E2828" s="5">
        <v>1</v>
      </c>
      <c r="G2828" s="4" t="s">
        <v>5851</v>
      </c>
      <c r="H2828" s="306" t="s">
        <v>5849</v>
      </c>
      <c r="I2828" s="436" t="s">
        <v>5852</v>
      </c>
      <c r="K2828" t="s">
        <v>1434</v>
      </c>
      <c r="L2828" t="s">
        <v>4921</v>
      </c>
      <c r="M2828"/>
    </row>
    <row r="2829" spans="1:14">
      <c r="A2829" s="5">
        <v>2830</v>
      </c>
      <c r="B2829" t="str">
        <f t="shared" ref="B2829" si="638">MID(G2829,11,2)</f>
        <v>TO</v>
      </c>
      <c r="C2829" t="str">
        <f t="shared" ref="C2829" si="639">MID(G2829,14,2)</f>
        <v>KB</v>
      </c>
      <c r="D2829" t="s">
        <v>4816</v>
      </c>
      <c r="E2829" s="5">
        <v>2</v>
      </c>
      <c r="G2829" s="4" t="s">
        <v>5857</v>
      </c>
      <c r="H2829" s="306" t="s">
        <v>5853</v>
      </c>
      <c r="I2829" s="432" t="s">
        <v>4090</v>
      </c>
      <c r="K2829" t="s">
        <v>659</v>
      </c>
      <c r="L2829" t="s">
        <v>669</v>
      </c>
      <c r="M2829" t="s">
        <v>2333</v>
      </c>
    </row>
    <row r="2830" spans="1:14">
      <c r="A2830" s="5">
        <v>2831</v>
      </c>
      <c r="B2830" t="str">
        <f t="shared" ref="B2830:B2835" si="640">MID(G2830,11,2)</f>
        <v>TO</v>
      </c>
      <c r="C2830" t="str">
        <f t="shared" ref="C2830:C2835" si="641">MID(G2830,14,2)</f>
        <v>KB</v>
      </c>
      <c r="D2830" t="s">
        <v>4816</v>
      </c>
      <c r="E2830" s="5">
        <v>2</v>
      </c>
      <c r="G2830" s="4" t="s">
        <v>5857</v>
      </c>
      <c r="H2830" s="306" t="s">
        <v>5854</v>
      </c>
      <c r="I2830" s="432" t="s">
        <v>5855</v>
      </c>
      <c r="K2830" t="s">
        <v>659</v>
      </c>
      <c r="L2830" t="s">
        <v>669</v>
      </c>
      <c r="M2830" t="s">
        <v>2333</v>
      </c>
    </row>
    <row r="2831" spans="1:14">
      <c r="A2831" s="5">
        <v>2832</v>
      </c>
      <c r="B2831" t="str">
        <f t="shared" si="640"/>
        <v>TO</v>
      </c>
      <c r="C2831" t="str">
        <f t="shared" si="641"/>
        <v>KB</v>
      </c>
      <c r="D2831" t="s">
        <v>4816</v>
      </c>
      <c r="E2831" s="5">
        <v>2</v>
      </c>
      <c r="G2831" s="4" t="s">
        <v>5857</v>
      </c>
      <c r="H2831" s="306" t="s">
        <v>4631</v>
      </c>
      <c r="I2831" s="432" t="s">
        <v>4778</v>
      </c>
      <c r="K2831" t="s">
        <v>659</v>
      </c>
      <c r="L2831" t="s">
        <v>669</v>
      </c>
      <c r="M2831" t="s">
        <v>2333</v>
      </c>
    </row>
    <row r="2832" spans="1:14">
      <c r="A2832" s="5">
        <v>2833</v>
      </c>
      <c r="B2832" t="str">
        <f t="shared" si="640"/>
        <v>TO</v>
      </c>
      <c r="C2832" t="str">
        <f t="shared" si="641"/>
        <v>KB</v>
      </c>
      <c r="D2832" t="s">
        <v>4816</v>
      </c>
      <c r="E2832" s="5">
        <v>2</v>
      </c>
      <c r="G2832" s="4" t="s">
        <v>5857</v>
      </c>
      <c r="H2832" s="306" t="s">
        <v>5721</v>
      </c>
      <c r="I2832" s="432" t="s">
        <v>5722</v>
      </c>
      <c r="K2832" t="s">
        <v>659</v>
      </c>
      <c r="L2832" t="s">
        <v>669</v>
      </c>
      <c r="M2832" t="s">
        <v>2333</v>
      </c>
    </row>
    <row r="2833" spans="1:15">
      <c r="A2833" s="5">
        <v>2834</v>
      </c>
      <c r="B2833" t="str">
        <f t="shared" si="640"/>
        <v>TO</v>
      </c>
      <c r="C2833" t="str">
        <f t="shared" si="641"/>
        <v>KB</v>
      </c>
      <c r="D2833" t="s">
        <v>4816</v>
      </c>
      <c r="E2833" s="5">
        <v>2</v>
      </c>
      <c r="G2833" s="4" t="s">
        <v>5857</v>
      </c>
      <c r="H2833" s="306" t="s">
        <v>5730</v>
      </c>
      <c r="I2833" s="432" t="s">
        <v>3340</v>
      </c>
      <c r="K2833" t="s">
        <v>659</v>
      </c>
      <c r="L2833" t="s">
        <v>669</v>
      </c>
      <c r="M2833" t="s">
        <v>3160</v>
      </c>
    </row>
    <row r="2834" spans="1:15">
      <c r="A2834" s="5">
        <v>2835</v>
      </c>
      <c r="B2834" t="str">
        <f t="shared" si="640"/>
        <v>TO</v>
      </c>
      <c r="C2834" t="str">
        <f t="shared" si="641"/>
        <v>KB</v>
      </c>
      <c r="D2834" t="s">
        <v>4816</v>
      </c>
      <c r="E2834" s="5">
        <v>2</v>
      </c>
      <c r="G2834" s="4" t="s">
        <v>5857</v>
      </c>
      <c r="H2834" s="306" t="s">
        <v>5524</v>
      </c>
      <c r="I2834" s="432" t="s">
        <v>5525</v>
      </c>
      <c r="K2834" t="s">
        <v>659</v>
      </c>
      <c r="L2834" t="s">
        <v>669</v>
      </c>
      <c r="M2834" t="s">
        <v>2333</v>
      </c>
    </row>
    <row r="2835" spans="1:15">
      <c r="A2835" s="5">
        <v>2836</v>
      </c>
      <c r="B2835" t="str">
        <f t="shared" si="640"/>
        <v>TO</v>
      </c>
      <c r="C2835" t="str">
        <f t="shared" si="641"/>
        <v>KB</v>
      </c>
      <c r="D2835" t="s">
        <v>4816</v>
      </c>
      <c r="E2835" s="5">
        <v>2</v>
      </c>
      <c r="G2835" s="4" t="s">
        <v>5857</v>
      </c>
      <c r="H2835" s="306" t="s">
        <v>5703</v>
      </c>
      <c r="I2835" s="432" t="s">
        <v>5388</v>
      </c>
      <c r="K2835" t="s">
        <v>659</v>
      </c>
      <c r="L2835" t="s">
        <v>669</v>
      </c>
      <c r="M2835" t="s">
        <v>2333</v>
      </c>
    </row>
    <row r="2836" spans="1:15">
      <c r="A2836" s="5">
        <v>2837</v>
      </c>
      <c r="B2836" t="str">
        <f>MID(G2836,11,2)</f>
        <v>TO</v>
      </c>
      <c r="C2836" t="str">
        <f>MID(G2836,14,2)</f>
        <v>KB</v>
      </c>
      <c r="D2836" t="s">
        <v>4816</v>
      </c>
      <c r="E2836" s="5">
        <v>2</v>
      </c>
      <c r="G2836" s="4" t="s">
        <v>7031</v>
      </c>
      <c r="H2836" s="306" t="s">
        <v>5512</v>
      </c>
      <c r="I2836" s="432" t="s">
        <v>5513</v>
      </c>
      <c r="K2836" t="s">
        <v>659</v>
      </c>
      <c r="L2836" t="s">
        <v>669</v>
      </c>
      <c r="M2836" t="s">
        <v>2333</v>
      </c>
    </row>
    <row r="2837" spans="1:15">
      <c r="A2837" s="5">
        <v>2838</v>
      </c>
      <c r="B2837" t="str">
        <f t="shared" ref="B2837:B2846" si="642">MID(G2837,11,2)</f>
        <v>TO</v>
      </c>
      <c r="C2837" t="str">
        <f t="shared" ref="C2837:C2846" si="643">MID(G2837,14,2)</f>
        <v>KB</v>
      </c>
      <c r="D2837" t="s">
        <v>4816</v>
      </c>
      <c r="E2837" s="5">
        <v>2</v>
      </c>
      <c r="G2837" s="4" t="s">
        <v>5858</v>
      </c>
      <c r="H2837" s="306" t="s">
        <v>124</v>
      </c>
      <c r="I2837" s="432" t="s">
        <v>5514</v>
      </c>
      <c r="K2837" t="s">
        <v>659</v>
      </c>
      <c r="L2837" t="s">
        <v>669</v>
      </c>
      <c r="M2837" t="s">
        <v>2333</v>
      </c>
    </row>
    <row r="2838" spans="1:15">
      <c r="A2838" s="5">
        <v>2839</v>
      </c>
      <c r="B2838" t="str">
        <f t="shared" si="642"/>
        <v>TO</v>
      </c>
      <c r="C2838" t="str">
        <f t="shared" si="643"/>
        <v>KB</v>
      </c>
      <c r="D2838" t="s">
        <v>4816</v>
      </c>
      <c r="E2838" s="5">
        <v>2</v>
      </c>
      <c r="G2838" s="4" t="s">
        <v>5858</v>
      </c>
      <c r="H2838" s="306" t="s">
        <v>5515</v>
      </c>
      <c r="I2838" s="432" t="s">
        <v>5516</v>
      </c>
      <c r="K2838" t="s">
        <v>659</v>
      </c>
      <c r="L2838" t="s">
        <v>669</v>
      </c>
      <c r="M2838" t="s">
        <v>7032</v>
      </c>
    </row>
    <row r="2839" spans="1:15">
      <c r="A2839" s="5">
        <v>2840</v>
      </c>
      <c r="B2839" t="str">
        <f t="shared" si="642"/>
        <v>TO</v>
      </c>
      <c r="C2839" t="str">
        <f t="shared" si="643"/>
        <v>KB</v>
      </c>
      <c r="D2839" t="s">
        <v>4816</v>
      </c>
      <c r="E2839" s="5">
        <v>2</v>
      </c>
      <c r="G2839" s="4" t="s">
        <v>5858</v>
      </c>
      <c r="H2839" s="306" t="s">
        <v>4669</v>
      </c>
      <c r="I2839" s="432" t="s">
        <v>2429</v>
      </c>
      <c r="K2839" t="s">
        <v>659</v>
      </c>
      <c r="L2839" t="s">
        <v>669</v>
      </c>
      <c r="M2839" t="s">
        <v>2333</v>
      </c>
    </row>
    <row r="2840" spans="1:15">
      <c r="A2840" s="5">
        <v>2841</v>
      </c>
      <c r="B2840" t="str">
        <f t="shared" si="642"/>
        <v>TO</v>
      </c>
      <c r="C2840" t="str">
        <f t="shared" si="643"/>
        <v>Ap</v>
      </c>
      <c r="D2840" t="s">
        <v>4816</v>
      </c>
      <c r="E2840" s="5">
        <v>2</v>
      </c>
      <c r="G2840" s="4" t="s">
        <v>5861</v>
      </c>
      <c r="H2840" s="306" t="s">
        <v>3062</v>
      </c>
      <c r="K2840" t="s">
        <v>2841</v>
      </c>
      <c r="L2840" t="s">
        <v>3224</v>
      </c>
      <c r="M2840"/>
    </row>
    <row r="2841" spans="1:15">
      <c r="A2841" s="5">
        <v>2842</v>
      </c>
      <c r="B2841" t="str">
        <f t="shared" si="642"/>
        <v>TO</v>
      </c>
      <c r="C2841" t="str">
        <f t="shared" si="643"/>
        <v>Ap</v>
      </c>
      <c r="D2841" t="s">
        <v>4816</v>
      </c>
      <c r="E2841" s="5">
        <v>2</v>
      </c>
      <c r="G2841" s="4" t="s">
        <v>5861</v>
      </c>
      <c r="H2841" s="306" t="s">
        <v>5822</v>
      </c>
      <c r="K2841" t="s">
        <v>2841</v>
      </c>
      <c r="L2841" t="s">
        <v>3224</v>
      </c>
      <c r="M2841"/>
    </row>
    <row r="2842" spans="1:15">
      <c r="A2842" s="5">
        <v>2843</v>
      </c>
      <c r="B2842" t="str">
        <f t="shared" si="642"/>
        <v>TO</v>
      </c>
      <c r="C2842" t="str">
        <f t="shared" si="643"/>
        <v>Ap</v>
      </c>
      <c r="D2842" t="s">
        <v>4816</v>
      </c>
      <c r="E2842" s="5">
        <v>2</v>
      </c>
      <c r="G2842" s="4" t="s">
        <v>5861</v>
      </c>
      <c r="H2842" s="306" t="s">
        <v>5821</v>
      </c>
      <c r="K2842" t="s">
        <v>2841</v>
      </c>
      <c r="L2842" t="s">
        <v>3224</v>
      </c>
      <c r="M2842"/>
    </row>
    <row r="2843" spans="1:15">
      <c r="A2843" s="5">
        <v>2844</v>
      </c>
      <c r="B2843" t="str">
        <f t="shared" ref="B2843" si="644">MID(G2843,11,2)</f>
        <v>TO</v>
      </c>
      <c r="C2843" t="str">
        <f t="shared" ref="C2843" si="645">MID(G2843,14,2)</f>
        <v>Ap</v>
      </c>
      <c r="D2843" t="s">
        <v>4816</v>
      </c>
      <c r="E2843" s="5">
        <v>2</v>
      </c>
      <c r="G2843" s="4" t="s">
        <v>5861</v>
      </c>
      <c r="H2843" s="306" t="s">
        <v>5862</v>
      </c>
      <c r="K2843" t="s">
        <v>2841</v>
      </c>
      <c r="L2843" t="s">
        <v>3224</v>
      </c>
      <c r="M2843"/>
    </row>
    <row r="2844" spans="1:15" ht="36">
      <c r="B2844" t="str">
        <f>MID(G2844,11,2)</f>
        <v>TO</v>
      </c>
      <c r="C2844" t="str">
        <f>MID(G2844,14,2)</f>
        <v>Do</v>
      </c>
      <c r="D2844" t="s">
        <v>4819</v>
      </c>
      <c r="E2844" s="5">
        <v>2</v>
      </c>
      <c r="G2844" s="4" t="s">
        <v>6011</v>
      </c>
      <c r="H2844" s="413" t="s">
        <v>6010</v>
      </c>
      <c r="K2844" t="s">
        <v>2841</v>
      </c>
      <c r="L2844" t="s">
        <v>2137</v>
      </c>
      <c r="M2844" t="s">
        <v>2137</v>
      </c>
      <c r="N2844" t="s">
        <v>7038</v>
      </c>
    </row>
    <row r="2845" spans="1:15">
      <c r="A2845" s="5">
        <v>2845</v>
      </c>
      <c r="B2845" t="str">
        <f t="shared" si="642"/>
        <v>TO</v>
      </c>
      <c r="C2845" t="str">
        <f t="shared" si="643"/>
        <v>KB</v>
      </c>
      <c r="D2845" t="s">
        <v>4819</v>
      </c>
      <c r="E2845" s="5">
        <v>1</v>
      </c>
      <c r="G2845" s="4" t="s">
        <v>5992</v>
      </c>
      <c r="H2845" s="306" t="s">
        <v>5993</v>
      </c>
      <c r="K2845" t="s">
        <v>1434</v>
      </c>
      <c r="L2845" t="s">
        <v>669</v>
      </c>
      <c r="M2845"/>
      <c r="N2845" t="s">
        <v>5996</v>
      </c>
      <c r="O2845" s="397" t="s">
        <v>5995</v>
      </c>
    </row>
    <row r="2846" spans="1:15">
      <c r="A2846" s="5">
        <v>2846</v>
      </c>
      <c r="B2846" t="str">
        <f t="shared" si="642"/>
        <v>TO</v>
      </c>
      <c r="C2846" t="str">
        <f t="shared" si="643"/>
        <v>KB</v>
      </c>
      <c r="D2846" t="s">
        <v>4819</v>
      </c>
      <c r="E2846" s="5">
        <v>3</v>
      </c>
      <c r="G2846" s="4" t="s">
        <v>6004</v>
      </c>
      <c r="H2846" s="306" t="s">
        <v>1987</v>
      </c>
      <c r="I2846" s="432" t="s">
        <v>5526</v>
      </c>
      <c r="K2846" t="s">
        <v>659</v>
      </c>
      <c r="L2846" t="s">
        <v>669</v>
      </c>
      <c r="M2846" t="s">
        <v>2333</v>
      </c>
    </row>
    <row r="2847" spans="1:15">
      <c r="A2847" s="5">
        <v>2847</v>
      </c>
      <c r="B2847" t="str">
        <f t="shared" ref="B2847:B2850" si="646">MID(G2847,11,2)</f>
        <v>TO</v>
      </c>
      <c r="C2847" t="str">
        <f t="shared" ref="C2847:C2850" si="647">MID(G2847,14,2)</f>
        <v>KB</v>
      </c>
      <c r="D2847" t="s">
        <v>4819</v>
      </c>
      <c r="E2847" s="5">
        <v>3</v>
      </c>
      <c r="G2847" s="4" t="s">
        <v>5999</v>
      </c>
      <c r="H2847" s="306" t="s">
        <v>1964</v>
      </c>
      <c r="I2847" s="432" t="s">
        <v>5527</v>
      </c>
      <c r="K2847" t="s">
        <v>659</v>
      </c>
      <c r="L2847" t="s">
        <v>669</v>
      </c>
      <c r="M2847" t="s">
        <v>2333</v>
      </c>
    </row>
    <row r="2848" spans="1:15">
      <c r="A2848" s="5">
        <v>2848</v>
      </c>
      <c r="B2848" t="str">
        <f t="shared" si="646"/>
        <v>TO</v>
      </c>
      <c r="C2848" t="str">
        <f t="shared" si="647"/>
        <v>KB</v>
      </c>
      <c r="D2848" t="s">
        <v>4819</v>
      </c>
      <c r="E2848" s="5">
        <v>3</v>
      </c>
      <c r="G2848" s="4" t="s">
        <v>5999</v>
      </c>
      <c r="H2848" s="306" t="s">
        <v>5528</v>
      </c>
      <c r="I2848" s="432" t="s">
        <v>5529</v>
      </c>
      <c r="K2848" t="s">
        <v>1434</v>
      </c>
      <c r="L2848" t="s">
        <v>669</v>
      </c>
      <c r="M2848" t="s">
        <v>2333</v>
      </c>
    </row>
    <row r="2849" spans="1:14">
      <c r="A2849" s="5">
        <v>2849</v>
      </c>
      <c r="B2849" t="str">
        <f t="shared" si="646"/>
        <v>TO</v>
      </c>
      <c r="C2849" t="str">
        <f t="shared" si="647"/>
        <v>KB</v>
      </c>
      <c r="D2849" t="s">
        <v>4819</v>
      </c>
      <c r="E2849" s="5">
        <v>3</v>
      </c>
      <c r="G2849" s="4" t="s">
        <v>5999</v>
      </c>
      <c r="H2849" s="306" t="s">
        <v>5530</v>
      </c>
      <c r="I2849" s="432" t="s">
        <v>5531</v>
      </c>
      <c r="K2849" t="s">
        <v>659</v>
      </c>
      <c r="L2849" t="s">
        <v>669</v>
      </c>
      <c r="M2849" t="s">
        <v>2333</v>
      </c>
    </row>
    <row r="2850" spans="1:14">
      <c r="A2850" s="5">
        <v>2850</v>
      </c>
      <c r="B2850" t="str">
        <f t="shared" si="646"/>
        <v>TO</v>
      </c>
      <c r="C2850" t="str">
        <f t="shared" si="647"/>
        <v>KB</v>
      </c>
      <c r="D2850" t="s">
        <v>4819</v>
      </c>
      <c r="E2850" s="5">
        <v>3</v>
      </c>
      <c r="G2850" s="4" t="s">
        <v>5999</v>
      </c>
      <c r="H2850" s="306" t="s">
        <v>5532</v>
      </c>
      <c r="I2850" s="432" t="s">
        <v>5533</v>
      </c>
      <c r="K2850" t="s">
        <v>659</v>
      </c>
      <c r="L2850" t="s">
        <v>669</v>
      </c>
      <c r="M2850" t="s">
        <v>2333</v>
      </c>
    </row>
    <row r="2851" spans="1:14">
      <c r="A2851" s="5">
        <v>2851</v>
      </c>
      <c r="B2851" t="str">
        <f>MID(G2851,11,2)</f>
        <v>TO</v>
      </c>
      <c r="C2851" t="str">
        <f>MID(G2851,14,2)</f>
        <v>KB</v>
      </c>
      <c r="D2851" t="s">
        <v>4819</v>
      </c>
      <c r="E2851" s="5">
        <v>3</v>
      </c>
      <c r="G2851" s="4" t="s">
        <v>6000</v>
      </c>
      <c r="H2851" s="306" t="s">
        <v>1818</v>
      </c>
      <c r="I2851" s="432" t="s">
        <v>5537</v>
      </c>
      <c r="K2851" t="s">
        <v>1434</v>
      </c>
      <c r="L2851" t="s">
        <v>669</v>
      </c>
      <c r="M2851"/>
      <c r="N2851" t="s">
        <v>6936</v>
      </c>
    </row>
    <row r="2852" spans="1:14">
      <c r="A2852" s="5">
        <v>2852</v>
      </c>
      <c r="B2852" t="str">
        <f t="shared" ref="B2852:B2865" si="648">MID(G2852,11,2)</f>
        <v>TO</v>
      </c>
      <c r="C2852" t="str">
        <f t="shared" ref="C2852:C2865" si="649">MID(G2852,14,2)</f>
        <v>KB</v>
      </c>
      <c r="D2852" t="s">
        <v>4819</v>
      </c>
      <c r="E2852" s="5">
        <v>3</v>
      </c>
      <c r="G2852" s="4" t="s">
        <v>6006</v>
      </c>
      <c r="H2852" s="306" t="s">
        <v>1285</v>
      </c>
      <c r="I2852" s="432" t="s">
        <v>5534</v>
      </c>
      <c r="K2852" t="s">
        <v>659</v>
      </c>
      <c r="L2852" t="s">
        <v>669</v>
      </c>
      <c r="M2852"/>
    </row>
    <row r="2853" spans="1:14">
      <c r="A2853" s="5">
        <v>2853</v>
      </c>
      <c r="B2853" t="str">
        <f t="shared" si="648"/>
        <v>TO</v>
      </c>
      <c r="C2853" t="str">
        <f t="shared" si="649"/>
        <v>KB</v>
      </c>
      <c r="D2853" t="s">
        <v>4819</v>
      </c>
      <c r="E2853" s="5">
        <v>3</v>
      </c>
      <c r="G2853" s="4" t="s">
        <v>6000</v>
      </c>
      <c r="H2853" s="306" t="s">
        <v>5535</v>
      </c>
      <c r="I2853" s="432" t="s">
        <v>2418</v>
      </c>
      <c r="K2853" t="s">
        <v>659</v>
      </c>
      <c r="L2853" t="s">
        <v>669</v>
      </c>
      <c r="M2853"/>
    </row>
    <row r="2854" spans="1:14">
      <c r="A2854" s="5">
        <v>2854</v>
      </c>
      <c r="B2854" t="str">
        <f t="shared" si="648"/>
        <v>TO</v>
      </c>
      <c r="C2854" t="str">
        <f t="shared" si="649"/>
        <v>KB</v>
      </c>
      <c r="D2854" t="s">
        <v>4819</v>
      </c>
      <c r="E2854" s="5">
        <v>3</v>
      </c>
      <c r="G2854" s="4" t="s">
        <v>6000</v>
      </c>
      <c r="H2854" s="306" t="s">
        <v>5536</v>
      </c>
      <c r="I2854" s="432" t="s">
        <v>2549</v>
      </c>
      <c r="K2854" t="s">
        <v>659</v>
      </c>
      <c r="L2854" t="s">
        <v>669</v>
      </c>
      <c r="M2854"/>
    </row>
    <row r="2855" spans="1:14">
      <c r="A2855" s="5">
        <v>2855</v>
      </c>
      <c r="B2855" t="str">
        <f t="shared" si="648"/>
        <v>TO</v>
      </c>
      <c r="C2855" t="str">
        <f t="shared" si="649"/>
        <v>KB</v>
      </c>
      <c r="D2855" t="s">
        <v>4819</v>
      </c>
      <c r="E2855" s="5">
        <v>3</v>
      </c>
      <c r="G2855" s="4" t="s">
        <v>6000</v>
      </c>
      <c r="H2855" s="306" t="s">
        <v>5538</v>
      </c>
      <c r="I2855" s="432" t="s">
        <v>5539</v>
      </c>
      <c r="K2855" t="s">
        <v>659</v>
      </c>
      <c r="L2855" t="s">
        <v>669</v>
      </c>
      <c r="M2855"/>
    </row>
    <row r="2856" spans="1:14">
      <c r="A2856" s="5">
        <v>2856</v>
      </c>
      <c r="B2856" t="str">
        <f t="shared" si="648"/>
        <v>TO</v>
      </c>
      <c r="C2856" t="str">
        <f t="shared" si="649"/>
        <v>KB</v>
      </c>
      <c r="D2856" t="s">
        <v>4819</v>
      </c>
      <c r="E2856" s="5">
        <v>3</v>
      </c>
      <c r="G2856" s="4" t="s">
        <v>6000</v>
      </c>
      <c r="H2856" s="306" t="s">
        <v>5540</v>
      </c>
      <c r="I2856" s="432" t="s">
        <v>5541</v>
      </c>
      <c r="K2856" t="s">
        <v>659</v>
      </c>
      <c r="L2856" t="s">
        <v>669</v>
      </c>
      <c r="M2856"/>
    </row>
    <row r="2857" spans="1:14">
      <c r="A2857" s="5">
        <v>2857</v>
      </c>
      <c r="B2857" t="str">
        <f t="shared" si="648"/>
        <v>TO</v>
      </c>
      <c r="C2857" t="str">
        <f t="shared" si="649"/>
        <v>KB</v>
      </c>
      <c r="D2857" t="s">
        <v>4819</v>
      </c>
      <c r="E2857" s="5">
        <v>3</v>
      </c>
      <c r="G2857" s="4" t="s">
        <v>6000</v>
      </c>
      <c r="H2857" s="306" t="s">
        <v>5542</v>
      </c>
      <c r="I2857" s="432" t="s">
        <v>5543</v>
      </c>
      <c r="K2857" t="s">
        <v>659</v>
      </c>
      <c r="L2857" t="s">
        <v>669</v>
      </c>
      <c r="M2857"/>
    </row>
    <row r="2858" spans="1:14">
      <c r="A2858" s="5">
        <v>2858</v>
      </c>
      <c r="B2858" t="str">
        <f t="shared" si="648"/>
        <v>TO</v>
      </c>
      <c r="C2858" t="str">
        <f t="shared" si="649"/>
        <v>KB</v>
      </c>
      <c r="D2858" t="s">
        <v>4819</v>
      </c>
      <c r="E2858" s="5">
        <v>3</v>
      </c>
      <c r="G2858" s="4" t="s">
        <v>6000</v>
      </c>
      <c r="H2858" s="306" t="s">
        <v>5544</v>
      </c>
      <c r="I2858" s="432" t="s">
        <v>5545</v>
      </c>
      <c r="K2858" t="s">
        <v>659</v>
      </c>
      <c r="L2858" t="s">
        <v>669</v>
      </c>
      <c r="M2858"/>
    </row>
    <row r="2859" spans="1:14">
      <c r="A2859" s="5">
        <v>2859</v>
      </c>
      <c r="B2859" t="str">
        <f t="shared" si="648"/>
        <v>TO</v>
      </c>
      <c r="C2859" t="str">
        <f t="shared" si="649"/>
        <v>KB</v>
      </c>
      <c r="D2859" t="s">
        <v>4819</v>
      </c>
      <c r="E2859" s="5">
        <v>3</v>
      </c>
      <c r="G2859" s="4" t="s">
        <v>6001</v>
      </c>
      <c r="H2859" s="306" t="s">
        <v>1294</v>
      </c>
      <c r="I2859" s="432" t="s">
        <v>4747</v>
      </c>
      <c r="K2859" t="s">
        <v>659</v>
      </c>
      <c r="L2859" t="s">
        <v>3224</v>
      </c>
      <c r="M2859" t="s">
        <v>3323</v>
      </c>
    </row>
    <row r="2860" spans="1:14">
      <c r="A2860" s="5">
        <v>2860</v>
      </c>
      <c r="B2860" t="str">
        <f t="shared" si="648"/>
        <v>TO</v>
      </c>
      <c r="C2860" t="str">
        <f t="shared" si="649"/>
        <v>KB</v>
      </c>
      <c r="D2860" t="s">
        <v>4819</v>
      </c>
      <c r="E2860" s="5">
        <v>3</v>
      </c>
      <c r="G2860" s="4" t="s">
        <v>6001</v>
      </c>
      <c r="H2860" s="306" t="s">
        <v>5546</v>
      </c>
      <c r="I2860" s="432" t="s">
        <v>5547</v>
      </c>
      <c r="K2860" t="s">
        <v>659</v>
      </c>
      <c r="L2860" t="s">
        <v>3224</v>
      </c>
      <c r="M2860"/>
    </row>
    <row r="2861" spans="1:14">
      <c r="A2861" s="5">
        <v>2861</v>
      </c>
      <c r="B2861" t="str">
        <f t="shared" si="648"/>
        <v>TO</v>
      </c>
      <c r="C2861" t="str">
        <f t="shared" si="649"/>
        <v>KB</v>
      </c>
      <c r="D2861" t="s">
        <v>4819</v>
      </c>
      <c r="E2861" s="5">
        <v>3</v>
      </c>
      <c r="G2861" s="4" t="s">
        <v>6001</v>
      </c>
      <c r="H2861" s="306" t="s">
        <v>5779</v>
      </c>
      <c r="I2861" s="432" t="s">
        <v>5778</v>
      </c>
      <c r="K2861" t="s">
        <v>1434</v>
      </c>
      <c r="L2861" t="s">
        <v>3224</v>
      </c>
      <c r="M2861"/>
    </row>
    <row r="2862" spans="1:14">
      <c r="A2862" s="5">
        <v>2862</v>
      </c>
      <c r="B2862" t="str">
        <f t="shared" si="648"/>
        <v>TO</v>
      </c>
      <c r="C2862" t="str">
        <f t="shared" si="649"/>
        <v>KB</v>
      </c>
      <c r="D2862" t="s">
        <v>4819</v>
      </c>
      <c r="E2862" s="5">
        <v>3</v>
      </c>
      <c r="G2862" s="4" t="s">
        <v>6001</v>
      </c>
      <c r="H2862" s="306" t="s">
        <v>5780</v>
      </c>
      <c r="I2862" s="432" t="s">
        <v>5346</v>
      </c>
      <c r="K2862" t="s">
        <v>659</v>
      </c>
      <c r="L2862" t="s">
        <v>3224</v>
      </c>
      <c r="M2862"/>
    </row>
    <row r="2863" spans="1:14">
      <c r="A2863" s="5">
        <v>2863</v>
      </c>
      <c r="B2863" t="str">
        <f t="shared" si="648"/>
        <v>TO</v>
      </c>
      <c r="C2863" t="str">
        <f t="shared" si="649"/>
        <v>KB</v>
      </c>
      <c r="D2863" t="s">
        <v>4819</v>
      </c>
      <c r="E2863" s="5">
        <v>3</v>
      </c>
      <c r="G2863" s="4" t="s">
        <v>6001</v>
      </c>
      <c r="H2863" s="306" t="s">
        <v>2057</v>
      </c>
      <c r="I2863" s="432" t="s">
        <v>5781</v>
      </c>
      <c r="K2863" t="s">
        <v>1434</v>
      </c>
      <c r="L2863" t="s">
        <v>3224</v>
      </c>
      <c r="M2863"/>
    </row>
    <row r="2864" spans="1:14">
      <c r="A2864" s="5">
        <v>2864</v>
      </c>
      <c r="B2864" t="str">
        <f t="shared" si="648"/>
        <v>TO</v>
      </c>
      <c r="C2864" t="str">
        <f t="shared" si="649"/>
        <v>KB</v>
      </c>
      <c r="D2864" t="s">
        <v>4819</v>
      </c>
      <c r="E2864" s="5">
        <v>3</v>
      </c>
      <c r="G2864" s="4" t="s">
        <v>6001</v>
      </c>
      <c r="H2864" s="306" t="s">
        <v>5782</v>
      </c>
      <c r="I2864" s="432" t="s">
        <v>5783</v>
      </c>
      <c r="K2864" t="s">
        <v>1434</v>
      </c>
      <c r="L2864" t="s">
        <v>3224</v>
      </c>
      <c r="M2864"/>
    </row>
    <row r="2865" spans="1:14">
      <c r="A2865" s="5">
        <v>2865</v>
      </c>
      <c r="B2865" t="str">
        <f t="shared" si="648"/>
        <v>TO</v>
      </c>
      <c r="C2865" t="str">
        <f t="shared" si="649"/>
        <v>KB</v>
      </c>
      <c r="D2865" t="s">
        <v>4819</v>
      </c>
      <c r="E2865" s="5">
        <v>3</v>
      </c>
      <c r="G2865" s="4" t="s">
        <v>6001</v>
      </c>
      <c r="H2865" s="306" t="s">
        <v>2577</v>
      </c>
      <c r="I2865" s="432" t="s">
        <v>2578</v>
      </c>
      <c r="K2865" t="s">
        <v>659</v>
      </c>
      <c r="L2865" t="s">
        <v>3224</v>
      </c>
      <c r="M2865"/>
    </row>
    <row r="2866" spans="1:14">
      <c r="A2866" s="5">
        <v>2866</v>
      </c>
      <c r="B2866" t="str">
        <f t="shared" ref="B2866" si="650">MID(G2866,11,2)</f>
        <v>TO</v>
      </c>
      <c r="C2866" t="str">
        <f t="shared" ref="C2866:C2867" si="651">MID(G2866,14,2)</f>
        <v>KB</v>
      </c>
      <c r="D2866" t="s">
        <v>4819</v>
      </c>
      <c r="E2866" s="5">
        <v>3</v>
      </c>
      <c r="G2866" s="4" t="s">
        <v>6001</v>
      </c>
      <c r="H2866" s="306" t="s">
        <v>1336</v>
      </c>
      <c r="I2866" s="432" t="s">
        <v>3055</v>
      </c>
      <c r="K2866" t="s">
        <v>659</v>
      </c>
      <c r="L2866" t="s">
        <v>3224</v>
      </c>
      <c r="M2866"/>
    </row>
    <row r="2867" spans="1:14">
      <c r="A2867" s="5">
        <v>2867</v>
      </c>
      <c r="B2867" t="s">
        <v>152</v>
      </c>
      <c r="C2867" t="str">
        <f t="shared" si="651"/>
        <v>KB</v>
      </c>
      <c r="D2867" t="s">
        <v>4819</v>
      </c>
      <c r="E2867" s="5">
        <v>3</v>
      </c>
      <c r="G2867" s="4" t="s">
        <v>6002</v>
      </c>
      <c r="H2867" s="306" t="s">
        <v>5784</v>
      </c>
      <c r="I2867" s="432" t="s">
        <v>5373</v>
      </c>
      <c r="K2867" t="s">
        <v>659</v>
      </c>
      <c r="L2867" t="s">
        <v>669</v>
      </c>
      <c r="M2867" t="s">
        <v>2333</v>
      </c>
    </row>
    <row r="2868" spans="1:14">
      <c r="A2868" s="5">
        <v>2868</v>
      </c>
      <c r="B2868" t="s">
        <v>152</v>
      </c>
      <c r="C2868" t="str">
        <f t="shared" ref="C2868:C2869" si="652">MID(G2868,14,2)</f>
        <v>KB</v>
      </c>
      <c r="D2868" t="s">
        <v>4819</v>
      </c>
      <c r="E2868" s="5">
        <v>3</v>
      </c>
      <c r="G2868" s="4" t="s">
        <v>6002</v>
      </c>
      <c r="H2868" s="306" t="s">
        <v>5785</v>
      </c>
      <c r="I2868" s="432" t="s">
        <v>5786</v>
      </c>
      <c r="K2868" t="s">
        <v>659</v>
      </c>
      <c r="L2868" t="s">
        <v>669</v>
      </c>
      <c r="M2868" t="s">
        <v>2333</v>
      </c>
    </row>
    <row r="2869" spans="1:14">
      <c r="A2869" s="5">
        <v>2869</v>
      </c>
      <c r="B2869" t="s">
        <v>152</v>
      </c>
      <c r="C2869" t="str">
        <f t="shared" si="652"/>
        <v>KB</v>
      </c>
      <c r="D2869" t="s">
        <v>4819</v>
      </c>
      <c r="E2869" s="5">
        <v>3</v>
      </c>
      <c r="G2869" s="4" t="s">
        <v>6002</v>
      </c>
      <c r="H2869" s="306" t="s">
        <v>522</v>
      </c>
      <c r="I2869" s="432" t="s">
        <v>2191</v>
      </c>
      <c r="K2869" t="s">
        <v>659</v>
      </c>
      <c r="L2869" t="s">
        <v>669</v>
      </c>
      <c r="M2869" t="s">
        <v>2333</v>
      </c>
    </row>
    <row r="2870" spans="1:14" ht="36">
      <c r="A2870" s="5">
        <v>2870</v>
      </c>
      <c r="B2870" t="str">
        <f t="shared" ref="B2870:B2872" si="653">MID(G2870,11,2)</f>
        <v>TO</v>
      </c>
      <c r="C2870" t="str">
        <f t="shared" ref="C2870:C2872" si="654">MID(G2870,14,2)</f>
        <v>KB</v>
      </c>
      <c r="D2870" t="s">
        <v>4819</v>
      </c>
      <c r="E2870" s="5">
        <v>3</v>
      </c>
      <c r="G2870" s="4" t="s">
        <v>6003</v>
      </c>
      <c r="H2870" s="306" t="s">
        <v>5573</v>
      </c>
      <c r="I2870" s="432" t="s">
        <v>5580</v>
      </c>
      <c r="K2870" t="s">
        <v>1434</v>
      </c>
      <c r="L2870" t="s">
        <v>669</v>
      </c>
      <c r="M2870" t="s">
        <v>2333</v>
      </c>
    </row>
    <row r="2871" spans="1:14">
      <c r="A2871" s="5">
        <v>2871</v>
      </c>
      <c r="B2871" t="str">
        <f t="shared" si="653"/>
        <v>TO</v>
      </c>
      <c r="C2871" t="str">
        <f t="shared" si="654"/>
        <v>KB</v>
      </c>
      <c r="D2871" t="s">
        <v>4819</v>
      </c>
      <c r="E2871" s="5">
        <v>3</v>
      </c>
      <c r="G2871" s="4" t="s">
        <v>6003</v>
      </c>
      <c r="H2871" s="306" t="s">
        <v>3582</v>
      </c>
      <c r="I2871" s="432" t="s">
        <v>3927</v>
      </c>
      <c r="K2871" t="s">
        <v>659</v>
      </c>
      <c r="L2871" t="s">
        <v>669</v>
      </c>
      <c r="M2871" t="s">
        <v>2333</v>
      </c>
      <c r="N2871" t="s">
        <v>7084</v>
      </c>
    </row>
    <row r="2872" spans="1:14">
      <c r="A2872" s="5">
        <v>2872</v>
      </c>
      <c r="B2872" t="str">
        <f t="shared" si="653"/>
        <v>TO</v>
      </c>
      <c r="C2872" t="str">
        <f t="shared" si="654"/>
        <v>KB</v>
      </c>
      <c r="D2872" t="s">
        <v>4819</v>
      </c>
      <c r="E2872" s="5">
        <v>3</v>
      </c>
      <c r="G2872" s="4" t="s">
        <v>6003</v>
      </c>
      <c r="H2872" s="306" t="s">
        <v>2525</v>
      </c>
      <c r="I2872" s="432" t="s">
        <v>2526</v>
      </c>
      <c r="K2872" t="s">
        <v>659</v>
      </c>
      <c r="L2872" t="s">
        <v>669</v>
      </c>
      <c r="M2872" t="s">
        <v>2333</v>
      </c>
    </row>
    <row r="2873" spans="1:14">
      <c r="A2873" s="5">
        <v>2873</v>
      </c>
      <c r="B2873" t="s">
        <v>152</v>
      </c>
      <c r="C2873" t="str">
        <f t="shared" ref="C2873" si="655">MID(G2873,14,2)</f>
        <v>KB</v>
      </c>
      <c r="D2873" t="s">
        <v>4819</v>
      </c>
      <c r="E2873" s="5">
        <v>3</v>
      </c>
      <c r="G2873" s="4" t="s">
        <v>6005</v>
      </c>
      <c r="H2873" s="306" t="s">
        <v>295</v>
      </c>
      <c r="I2873" s="432" t="s">
        <v>5581</v>
      </c>
      <c r="K2873" t="s">
        <v>659</v>
      </c>
      <c r="L2873" t="s">
        <v>669</v>
      </c>
      <c r="M2873" t="s">
        <v>2333</v>
      </c>
    </row>
    <row r="2874" spans="1:14">
      <c r="A2874" s="5">
        <v>2874</v>
      </c>
      <c r="B2874" t="s">
        <v>152</v>
      </c>
      <c r="C2874" t="str">
        <f t="shared" ref="C2874:C2875" si="656">MID(G2874,14,2)</f>
        <v>KB</v>
      </c>
      <c r="D2874" t="s">
        <v>4819</v>
      </c>
      <c r="E2874" s="5">
        <v>3</v>
      </c>
      <c r="G2874" s="4" t="s">
        <v>6005</v>
      </c>
      <c r="H2874" s="306" t="s">
        <v>5575</v>
      </c>
      <c r="I2874" s="432" t="s">
        <v>4330</v>
      </c>
      <c r="K2874" t="s">
        <v>659</v>
      </c>
      <c r="L2874" t="s">
        <v>669</v>
      </c>
      <c r="M2874" t="s">
        <v>2333</v>
      </c>
    </row>
    <row r="2875" spans="1:14">
      <c r="A2875" s="5">
        <v>2875</v>
      </c>
      <c r="B2875" t="s">
        <v>152</v>
      </c>
      <c r="C2875" t="str">
        <f t="shared" si="656"/>
        <v>KB</v>
      </c>
      <c r="D2875" t="s">
        <v>4819</v>
      </c>
      <c r="E2875" s="5">
        <v>3</v>
      </c>
      <c r="G2875" s="4" t="s">
        <v>6005</v>
      </c>
      <c r="H2875" s="306" t="s">
        <v>5278</v>
      </c>
      <c r="I2875" s="432" t="s">
        <v>2946</v>
      </c>
      <c r="K2875" t="s">
        <v>659</v>
      </c>
      <c r="L2875" t="s">
        <v>669</v>
      </c>
      <c r="M2875" t="s">
        <v>2333</v>
      </c>
    </row>
    <row r="2876" spans="1:14">
      <c r="A2876" s="5">
        <v>2876</v>
      </c>
      <c r="B2876" t="str">
        <f t="shared" ref="B2876" si="657">MID(G2876,11,2)</f>
        <v>TO</v>
      </c>
      <c r="C2876" t="str">
        <f t="shared" ref="C2876" si="658">MID(G2876,14,2)</f>
        <v>KB</v>
      </c>
      <c r="D2876" t="s">
        <v>4819</v>
      </c>
      <c r="E2876" s="5">
        <v>3</v>
      </c>
      <c r="G2876" s="4" t="s">
        <v>6007</v>
      </c>
      <c r="H2876" s="306" t="s">
        <v>5574</v>
      </c>
      <c r="I2876" s="432" t="s">
        <v>5582</v>
      </c>
      <c r="K2876" t="s">
        <v>1434</v>
      </c>
      <c r="L2876" t="s">
        <v>669</v>
      </c>
      <c r="M2876" t="s">
        <v>2333</v>
      </c>
    </row>
    <row r="2877" spans="1:14">
      <c r="A2877" s="5">
        <v>2877</v>
      </c>
      <c r="B2877" t="str">
        <f t="shared" ref="B2877:B2878" si="659">MID(G2877,11,2)</f>
        <v>TO</v>
      </c>
      <c r="C2877" t="str">
        <f t="shared" ref="C2877:C2878" si="660">MID(G2877,14,2)</f>
        <v>KB</v>
      </c>
      <c r="D2877" t="s">
        <v>4819</v>
      </c>
      <c r="E2877" s="5">
        <v>3</v>
      </c>
      <c r="G2877" s="4" t="s">
        <v>6007</v>
      </c>
      <c r="H2877" s="306" t="s">
        <v>7033</v>
      </c>
      <c r="I2877" s="432" t="s">
        <v>5583</v>
      </c>
      <c r="K2877" t="s">
        <v>3574</v>
      </c>
      <c r="L2877" t="s">
        <v>669</v>
      </c>
      <c r="M2877" t="s">
        <v>2333</v>
      </c>
    </row>
    <row r="2878" spans="1:14">
      <c r="A2878" s="5">
        <v>2878</v>
      </c>
      <c r="B2878" t="str">
        <f t="shared" si="659"/>
        <v>TO</v>
      </c>
      <c r="C2878" t="str">
        <f t="shared" si="660"/>
        <v>KB</v>
      </c>
      <c r="D2878" t="s">
        <v>4819</v>
      </c>
      <c r="E2878" s="5">
        <v>3</v>
      </c>
      <c r="G2878" s="4" t="s">
        <v>6007</v>
      </c>
      <c r="H2878" s="306" t="s">
        <v>555</v>
      </c>
      <c r="I2878" s="432" t="s">
        <v>5584</v>
      </c>
      <c r="K2878" t="s">
        <v>659</v>
      </c>
      <c r="L2878" t="s">
        <v>669</v>
      </c>
      <c r="M2878" t="s">
        <v>2333</v>
      </c>
    </row>
    <row r="2879" spans="1:14">
      <c r="A2879" s="5">
        <v>2879</v>
      </c>
      <c r="B2879" t="s">
        <v>114</v>
      </c>
      <c r="C2879" t="str">
        <f>MID(G2879,14,2)</f>
        <v>KB</v>
      </c>
      <c r="D2879" t="s">
        <v>4819</v>
      </c>
      <c r="E2879" s="5">
        <v>3</v>
      </c>
      <c r="G2879" s="4" t="s">
        <v>6013</v>
      </c>
      <c r="H2879" s="306" t="s">
        <v>5576</v>
      </c>
      <c r="I2879" s="432" t="s">
        <v>5585</v>
      </c>
      <c r="K2879" t="s">
        <v>659</v>
      </c>
      <c r="L2879" t="s">
        <v>669</v>
      </c>
      <c r="M2879" t="s">
        <v>2333</v>
      </c>
    </row>
    <row r="2880" spans="1:14" ht="36">
      <c r="A2880" s="5">
        <v>2880</v>
      </c>
      <c r="B2880" t="str">
        <f t="shared" ref="B2880" si="661">MID(G2880,11,2)</f>
        <v>TO</v>
      </c>
      <c r="C2880" t="str">
        <f t="shared" ref="C2880" si="662">MID(G2880,14,2)</f>
        <v>KB</v>
      </c>
      <c r="D2880" t="s">
        <v>4819</v>
      </c>
      <c r="E2880" s="5">
        <v>3</v>
      </c>
      <c r="G2880" s="4" t="s">
        <v>6013</v>
      </c>
      <c r="H2880" s="306" t="s">
        <v>5577</v>
      </c>
      <c r="I2880" s="432" t="s">
        <v>2377</v>
      </c>
      <c r="K2880" t="s">
        <v>659</v>
      </c>
      <c r="L2880" t="s">
        <v>669</v>
      </c>
      <c r="M2880" t="s">
        <v>2333</v>
      </c>
    </row>
    <row r="2881" spans="1:15">
      <c r="A2881" s="5">
        <v>2881</v>
      </c>
      <c r="B2881" t="str">
        <f t="shared" si="620"/>
        <v>TO</v>
      </c>
      <c r="C2881" t="str">
        <f t="shared" si="621"/>
        <v>KB</v>
      </c>
      <c r="D2881" t="s">
        <v>4819</v>
      </c>
      <c r="E2881" s="5">
        <v>3</v>
      </c>
      <c r="G2881" s="4" t="s">
        <v>6013</v>
      </c>
      <c r="H2881" s="306" t="s">
        <v>5578</v>
      </c>
      <c r="I2881" s="432" t="s">
        <v>5586</v>
      </c>
      <c r="K2881" t="s">
        <v>659</v>
      </c>
      <c r="L2881" t="s">
        <v>669</v>
      </c>
      <c r="M2881" t="s">
        <v>2333</v>
      </c>
    </row>
    <row r="2882" spans="1:15">
      <c r="A2882" s="5">
        <v>2882</v>
      </c>
      <c r="B2882" t="str">
        <f t="shared" ref="B2882:B2884" si="663">MID(G2882,11,2)</f>
        <v>TO</v>
      </c>
      <c r="C2882" t="str">
        <f t="shared" ref="C2882:C2884" si="664">MID(G2882,14,2)</f>
        <v>KB</v>
      </c>
      <c r="D2882" t="s">
        <v>4819</v>
      </c>
      <c r="E2882" s="5">
        <v>3</v>
      </c>
      <c r="G2882" s="4" t="s">
        <v>6021</v>
      </c>
      <c r="H2882" s="306" t="s">
        <v>4046</v>
      </c>
      <c r="I2882" s="432" t="s">
        <v>5587</v>
      </c>
      <c r="K2882" t="s">
        <v>659</v>
      </c>
      <c r="L2882" t="s">
        <v>3224</v>
      </c>
      <c r="M2882"/>
    </row>
    <row r="2883" spans="1:15">
      <c r="A2883" s="5">
        <v>2883</v>
      </c>
      <c r="B2883" t="str">
        <f t="shared" si="663"/>
        <v>TO</v>
      </c>
      <c r="C2883" t="str">
        <f t="shared" si="664"/>
        <v>KB</v>
      </c>
      <c r="D2883" t="s">
        <v>4819</v>
      </c>
      <c r="E2883" s="5">
        <v>3</v>
      </c>
      <c r="G2883" s="4" t="s">
        <v>6014</v>
      </c>
      <c r="H2883" s="306" t="s">
        <v>3775</v>
      </c>
      <c r="I2883" s="432" t="s">
        <v>3776</v>
      </c>
      <c r="K2883" t="s">
        <v>659</v>
      </c>
      <c r="L2883" t="s">
        <v>3224</v>
      </c>
      <c r="M2883"/>
    </row>
    <row r="2884" spans="1:15">
      <c r="A2884" s="5">
        <v>2884</v>
      </c>
      <c r="B2884" t="str">
        <f t="shared" si="663"/>
        <v>TO</v>
      </c>
      <c r="C2884" t="str">
        <f t="shared" si="664"/>
        <v>KB</v>
      </c>
      <c r="D2884" t="s">
        <v>4819</v>
      </c>
      <c r="E2884" s="5">
        <v>3</v>
      </c>
      <c r="G2884" s="4" t="s">
        <v>6014</v>
      </c>
      <c r="H2884" s="306" t="s">
        <v>5579</v>
      </c>
      <c r="I2884" s="432" t="s">
        <v>5588</v>
      </c>
      <c r="K2884" t="s">
        <v>1434</v>
      </c>
      <c r="L2884" t="s">
        <v>3224</v>
      </c>
      <c r="M2884"/>
    </row>
    <row r="2885" spans="1:15">
      <c r="A2885" s="5">
        <v>2885</v>
      </c>
      <c r="B2885" t="s">
        <v>152</v>
      </c>
      <c r="C2885" t="str">
        <f t="shared" ref="C2885" si="665">MID(G2885,14,2)</f>
        <v>KB</v>
      </c>
      <c r="D2885" t="s">
        <v>4819</v>
      </c>
      <c r="E2885" s="5">
        <v>3</v>
      </c>
      <c r="G2885" s="4" t="s">
        <v>6015</v>
      </c>
      <c r="H2885" s="306" t="s">
        <v>1612</v>
      </c>
      <c r="I2885" s="432" t="s">
        <v>4522</v>
      </c>
      <c r="K2885" t="s">
        <v>659</v>
      </c>
      <c r="L2885" t="s">
        <v>669</v>
      </c>
      <c r="M2885"/>
    </row>
    <row r="2886" spans="1:15">
      <c r="A2886" s="5">
        <v>2886</v>
      </c>
      <c r="B2886" t="s">
        <v>152</v>
      </c>
      <c r="C2886" t="str">
        <f t="shared" ref="C2886:C2889" si="666">MID(G2886,14,2)</f>
        <v>KB</v>
      </c>
      <c r="D2886" t="s">
        <v>4819</v>
      </c>
      <c r="E2886" s="5">
        <v>3</v>
      </c>
      <c r="G2886" s="4" t="s">
        <v>6015</v>
      </c>
      <c r="H2886" s="306" t="s">
        <v>3445</v>
      </c>
      <c r="I2886" s="432" t="s">
        <v>3446</v>
      </c>
      <c r="K2886" t="s">
        <v>659</v>
      </c>
      <c r="L2886" t="s">
        <v>669</v>
      </c>
      <c r="M2886"/>
    </row>
    <row r="2887" spans="1:15">
      <c r="A2887" s="5">
        <v>2887</v>
      </c>
      <c r="B2887" t="s">
        <v>152</v>
      </c>
      <c r="C2887" t="str">
        <f t="shared" si="666"/>
        <v>KB</v>
      </c>
      <c r="D2887" t="s">
        <v>4819</v>
      </c>
      <c r="E2887" s="5">
        <v>3</v>
      </c>
      <c r="G2887" s="4" t="s">
        <v>6015</v>
      </c>
      <c r="H2887" s="306" t="s">
        <v>1540</v>
      </c>
      <c r="I2887" s="432" t="s">
        <v>3412</v>
      </c>
      <c r="K2887" t="s">
        <v>659</v>
      </c>
      <c r="L2887" t="s">
        <v>669</v>
      </c>
      <c r="M2887"/>
    </row>
    <row r="2888" spans="1:15">
      <c r="A2888" s="5">
        <v>2888</v>
      </c>
      <c r="B2888" t="str">
        <f t="shared" ref="B2888:B2889" si="667">MID(G2888,11,2)</f>
        <v>TO</v>
      </c>
      <c r="C2888" t="str">
        <f t="shared" si="666"/>
        <v>KB</v>
      </c>
      <c r="D2888" t="s">
        <v>4819</v>
      </c>
      <c r="E2888" s="5">
        <v>3</v>
      </c>
      <c r="G2888" s="4" t="s">
        <v>6022</v>
      </c>
      <c r="H2888" s="306" t="s">
        <v>296</v>
      </c>
      <c r="I2888" s="432" t="s">
        <v>2611</v>
      </c>
      <c r="K2888" t="s">
        <v>659</v>
      </c>
      <c r="L2888" t="s">
        <v>3224</v>
      </c>
      <c r="M2888"/>
      <c r="O2888" t="s">
        <v>6947</v>
      </c>
    </row>
    <row r="2889" spans="1:15">
      <c r="A2889" s="5">
        <v>2889</v>
      </c>
      <c r="B2889" t="str">
        <f t="shared" si="667"/>
        <v>TO</v>
      </c>
      <c r="C2889" t="str">
        <f t="shared" si="666"/>
        <v>KB</v>
      </c>
      <c r="D2889" t="s">
        <v>4819</v>
      </c>
      <c r="E2889" s="5">
        <v>3</v>
      </c>
      <c r="G2889" s="4" t="s">
        <v>6016</v>
      </c>
      <c r="H2889" s="306" t="s">
        <v>5520</v>
      </c>
      <c r="I2889" s="432" t="s">
        <v>2810</v>
      </c>
      <c r="K2889" t="s">
        <v>659</v>
      </c>
      <c r="L2889" t="s">
        <v>3224</v>
      </c>
      <c r="M2889"/>
    </row>
    <row r="2890" spans="1:15" ht="36">
      <c r="A2890" s="5">
        <v>2890</v>
      </c>
      <c r="B2890" t="str">
        <f>MID(G2890,11,2)</f>
        <v>TO</v>
      </c>
      <c r="C2890" t="str">
        <f>MID(G2890,14,2)</f>
        <v>KB</v>
      </c>
      <c r="D2890" t="s">
        <v>4819</v>
      </c>
      <c r="E2890" s="5">
        <v>3</v>
      </c>
      <c r="G2890" s="4" t="s">
        <v>6016</v>
      </c>
      <c r="H2890" s="306" t="s">
        <v>1503</v>
      </c>
      <c r="I2890" s="432" t="s">
        <v>5589</v>
      </c>
      <c r="K2890" t="s">
        <v>659</v>
      </c>
      <c r="L2890" t="s">
        <v>3224</v>
      </c>
      <c r="M2890"/>
    </row>
    <row r="2891" spans="1:15">
      <c r="A2891" s="5">
        <v>2891</v>
      </c>
      <c r="B2891" t="str">
        <f>MID(G2891,11,2)</f>
        <v>TO</v>
      </c>
      <c r="C2891" t="str">
        <f>MID(G2891,14,2)</f>
        <v>KB</v>
      </c>
      <c r="D2891" t="s">
        <v>4846</v>
      </c>
      <c r="E2891" s="5">
        <v>2</v>
      </c>
      <c r="G2891" s="4" t="s">
        <v>6020</v>
      </c>
      <c r="H2891" s="306" t="s">
        <v>5522</v>
      </c>
      <c r="I2891" s="432" t="s">
        <v>4774</v>
      </c>
      <c r="K2891" t="s">
        <v>659</v>
      </c>
      <c r="L2891" t="s">
        <v>3224</v>
      </c>
      <c r="M2891"/>
    </row>
    <row r="2892" spans="1:15">
      <c r="A2892" s="5">
        <v>2892</v>
      </c>
      <c r="B2892" t="str">
        <f>MID(G2892,11,2)</f>
        <v>TO</v>
      </c>
      <c r="C2892" t="str">
        <f>MID(G2892,14,2)</f>
        <v>KB</v>
      </c>
      <c r="D2892" t="s">
        <v>4846</v>
      </c>
      <c r="E2892" s="5">
        <v>2</v>
      </c>
      <c r="G2892" s="4" t="s">
        <v>6017</v>
      </c>
      <c r="H2892" s="306" t="s">
        <v>5510</v>
      </c>
      <c r="I2892" s="432" t="s">
        <v>5511</v>
      </c>
      <c r="K2892" t="s">
        <v>659</v>
      </c>
      <c r="L2892" t="s">
        <v>3224</v>
      </c>
      <c r="M2892"/>
    </row>
    <row r="2893" spans="1:15" ht="36">
      <c r="A2893" s="5">
        <v>2893</v>
      </c>
      <c r="B2893" t="str">
        <f t="shared" si="620"/>
        <v>TO</v>
      </c>
      <c r="C2893" t="str">
        <f t="shared" si="621"/>
        <v>KB</v>
      </c>
      <c r="D2893" t="s">
        <v>4846</v>
      </c>
      <c r="E2893" s="5">
        <v>2</v>
      </c>
      <c r="G2893" s="4" t="s">
        <v>6020</v>
      </c>
      <c r="H2893" s="306" t="s">
        <v>5603</v>
      </c>
      <c r="I2893" s="432" t="s">
        <v>5604</v>
      </c>
      <c r="K2893" t="s">
        <v>1434</v>
      </c>
      <c r="L2893" t="s">
        <v>3224</v>
      </c>
      <c r="M2893"/>
    </row>
    <row r="2894" spans="1:15">
      <c r="A2894" s="5">
        <v>2894</v>
      </c>
      <c r="B2894" t="str">
        <f>MID(G2894,11,2)</f>
        <v>TO</v>
      </c>
      <c r="C2894" t="str">
        <f>MID(G2894,14,2)</f>
        <v>KB</v>
      </c>
      <c r="D2894" t="s">
        <v>4846</v>
      </c>
      <c r="E2894" s="5">
        <v>3</v>
      </c>
      <c r="G2894" s="4" t="s">
        <v>6037</v>
      </c>
      <c r="H2894" s="306" t="s">
        <v>6035</v>
      </c>
      <c r="I2894" s="432" t="s">
        <v>5681</v>
      </c>
      <c r="K2894" t="s">
        <v>1434</v>
      </c>
      <c r="L2894" t="s">
        <v>669</v>
      </c>
      <c r="M2894" t="s">
        <v>2333</v>
      </c>
    </row>
    <row r="2895" spans="1:15">
      <c r="A2895" s="5">
        <v>2895</v>
      </c>
      <c r="B2895" t="str">
        <f>MID(G2895,11,2)</f>
        <v>TO</v>
      </c>
      <c r="C2895" t="str">
        <f>MID(G2895,14,2)</f>
        <v>KB</v>
      </c>
      <c r="D2895" t="s">
        <v>4846</v>
      </c>
      <c r="E2895" s="5">
        <v>3</v>
      </c>
      <c r="G2895" s="4" t="s">
        <v>6037</v>
      </c>
      <c r="H2895" s="306" t="s">
        <v>5682</v>
      </c>
      <c r="I2895" s="432" t="s">
        <v>5683</v>
      </c>
      <c r="K2895" t="s">
        <v>1434</v>
      </c>
      <c r="L2895" t="s">
        <v>669</v>
      </c>
      <c r="M2895" t="s">
        <v>2333</v>
      </c>
    </row>
    <row r="2896" spans="1:15">
      <c r="A2896" s="5">
        <v>2896</v>
      </c>
      <c r="B2896" t="str">
        <f t="shared" ref="B2896:B2897" si="668">MID(G2896,11,2)</f>
        <v>TO</v>
      </c>
      <c r="C2896" t="str">
        <f t="shared" ref="C2896:C2897" si="669">MID(G2896,14,2)</f>
        <v>KB</v>
      </c>
      <c r="D2896" t="s">
        <v>4846</v>
      </c>
      <c r="E2896" s="5">
        <v>3</v>
      </c>
      <c r="G2896" s="4" t="s">
        <v>6037</v>
      </c>
      <c r="H2896" s="306" t="s">
        <v>6023</v>
      </c>
      <c r="I2896" s="432" t="s">
        <v>6024</v>
      </c>
      <c r="K2896" t="s">
        <v>1434</v>
      </c>
      <c r="L2896" t="s">
        <v>669</v>
      </c>
      <c r="M2896" t="s">
        <v>2333</v>
      </c>
    </row>
    <row r="2897" spans="1:15">
      <c r="A2897" s="5">
        <v>2897</v>
      </c>
      <c r="B2897" t="str">
        <f t="shared" si="668"/>
        <v>TO</v>
      </c>
      <c r="C2897" t="str">
        <f t="shared" si="669"/>
        <v>KB</v>
      </c>
      <c r="D2897" t="s">
        <v>4846</v>
      </c>
      <c r="E2897" s="5">
        <v>3</v>
      </c>
      <c r="G2897" s="4" t="s">
        <v>6038</v>
      </c>
      <c r="H2897" s="306" t="s">
        <v>6025</v>
      </c>
      <c r="I2897" s="432" t="s">
        <v>6026</v>
      </c>
      <c r="K2897" t="s">
        <v>1434</v>
      </c>
      <c r="L2897" t="s">
        <v>3224</v>
      </c>
      <c r="M2897"/>
    </row>
    <row r="2898" spans="1:15">
      <c r="A2898" s="5">
        <v>2898</v>
      </c>
      <c r="B2898" t="str">
        <f t="shared" ref="B2898" si="670">MID(G2898,11,2)</f>
        <v>TO</v>
      </c>
      <c r="C2898" t="str">
        <f t="shared" ref="C2898" si="671">MID(G2898,14,2)</f>
        <v>KB</v>
      </c>
      <c r="D2898" t="s">
        <v>4846</v>
      </c>
      <c r="E2898" s="5">
        <v>3</v>
      </c>
      <c r="G2898" s="4" t="s">
        <v>6038</v>
      </c>
      <c r="H2898" s="306" t="s">
        <v>6027</v>
      </c>
      <c r="I2898" s="432" t="s">
        <v>6028</v>
      </c>
      <c r="K2898" t="s">
        <v>1434</v>
      </c>
      <c r="L2898" t="s">
        <v>3224</v>
      </c>
      <c r="M2898"/>
    </row>
    <row r="2899" spans="1:15">
      <c r="A2899" s="5">
        <v>2899</v>
      </c>
      <c r="B2899" t="str">
        <f t="shared" ref="B2899" si="672">MID(G2899,11,2)</f>
        <v>TO</v>
      </c>
      <c r="C2899" t="str">
        <f t="shared" ref="C2899" si="673">MID(G2899,14,2)</f>
        <v>KB</v>
      </c>
      <c r="D2899" t="s">
        <v>4846</v>
      </c>
      <c r="E2899" s="5">
        <v>3</v>
      </c>
      <c r="G2899" s="4" t="s">
        <v>6038</v>
      </c>
      <c r="H2899" s="306" t="s">
        <v>1385</v>
      </c>
      <c r="I2899" s="432" t="s">
        <v>6029</v>
      </c>
      <c r="K2899" t="s">
        <v>659</v>
      </c>
      <c r="L2899" t="s">
        <v>3224</v>
      </c>
      <c r="M2899"/>
    </row>
    <row r="2900" spans="1:15">
      <c r="A2900" s="5">
        <v>2900</v>
      </c>
      <c r="B2900" t="str">
        <f>MID(G2900,11,2)</f>
        <v>TO</v>
      </c>
      <c r="C2900" t="str">
        <f>MID(G2900,14,2)</f>
        <v>KB</v>
      </c>
      <c r="D2900" t="s">
        <v>4846</v>
      </c>
      <c r="E2900" s="5">
        <v>3</v>
      </c>
      <c r="G2900" s="4" t="s">
        <v>6933</v>
      </c>
      <c r="H2900" s="4" t="s">
        <v>6920</v>
      </c>
      <c r="I2900" s="432" t="s">
        <v>5256</v>
      </c>
      <c r="K2900" t="s">
        <v>659</v>
      </c>
      <c r="L2900" t="s">
        <v>3224</v>
      </c>
      <c r="M2900"/>
    </row>
    <row r="2901" spans="1:15">
      <c r="A2901" s="5">
        <v>2901</v>
      </c>
      <c r="B2901" t="str">
        <f t="shared" ref="B2901:B2902" si="674">MID(G2901,11,2)</f>
        <v>TO</v>
      </c>
      <c r="C2901" t="str">
        <f t="shared" ref="C2901:C2902" si="675">MID(G2901,14,2)</f>
        <v>KB</v>
      </c>
      <c r="D2901" t="s">
        <v>4846</v>
      </c>
      <c r="E2901" s="5">
        <v>3</v>
      </c>
      <c r="G2901" s="4" t="s">
        <v>6933</v>
      </c>
      <c r="H2901" s="306" t="s">
        <v>2465</v>
      </c>
      <c r="I2901" s="432" t="s">
        <v>2466</v>
      </c>
      <c r="K2901" t="s">
        <v>659</v>
      </c>
      <c r="L2901" t="s">
        <v>3224</v>
      </c>
      <c r="M2901"/>
      <c r="O2901" s="4" t="s">
        <v>6934</v>
      </c>
    </row>
    <row r="2902" spans="1:15">
      <c r="A2902" s="5">
        <v>2902</v>
      </c>
      <c r="B2902" t="str">
        <f t="shared" si="674"/>
        <v>TO</v>
      </c>
      <c r="C2902" t="str">
        <f t="shared" si="675"/>
        <v>KB</v>
      </c>
      <c r="D2902" t="s">
        <v>4846</v>
      </c>
      <c r="E2902" s="5">
        <v>3</v>
      </c>
      <c r="G2902" s="4" t="s">
        <v>6935</v>
      </c>
      <c r="H2902" s="306" t="s">
        <v>6030</v>
      </c>
      <c r="I2902" s="432" t="s">
        <v>6031</v>
      </c>
      <c r="K2902" t="s">
        <v>659</v>
      </c>
      <c r="L2902" t="s">
        <v>3224</v>
      </c>
      <c r="M2902"/>
    </row>
    <row r="2903" spans="1:15">
      <c r="A2903" s="5">
        <v>2903</v>
      </c>
      <c r="B2903" t="str">
        <f>MID(G2903,11,2)</f>
        <v>TO</v>
      </c>
      <c r="C2903" t="str">
        <f>MID(G2903,14,2)</f>
        <v>KB</v>
      </c>
      <c r="D2903" t="s">
        <v>4846</v>
      </c>
      <c r="E2903" s="5">
        <v>3</v>
      </c>
      <c r="G2903" s="4" t="s">
        <v>6940</v>
      </c>
      <c r="H2903" s="306" t="s">
        <v>6032</v>
      </c>
      <c r="I2903" s="432" t="s">
        <v>6033</v>
      </c>
      <c r="K2903" t="s">
        <v>1434</v>
      </c>
      <c r="L2903" t="s">
        <v>3224</v>
      </c>
      <c r="M2903"/>
    </row>
    <row r="2904" spans="1:15">
      <c r="A2904" s="5">
        <v>2904</v>
      </c>
      <c r="B2904" t="str">
        <f t="shared" ref="B2904" si="676">MID(G2904,11,2)</f>
        <v>TO</v>
      </c>
      <c r="C2904" t="str">
        <f t="shared" ref="C2904" si="677">MID(G2904,14,2)</f>
        <v>KB</v>
      </c>
      <c r="D2904" t="s">
        <v>4846</v>
      </c>
      <c r="E2904" s="5">
        <v>3</v>
      </c>
      <c r="G2904" s="4" t="s">
        <v>6940</v>
      </c>
      <c r="H2904" s="306" t="s">
        <v>6034</v>
      </c>
      <c r="I2904" s="432" t="s">
        <v>5645</v>
      </c>
      <c r="K2904" t="s">
        <v>659</v>
      </c>
      <c r="L2904" t="s">
        <v>3224</v>
      </c>
      <c r="M2904"/>
    </row>
    <row r="2905" spans="1:15">
      <c r="A2905" s="5">
        <v>2905</v>
      </c>
      <c r="B2905" t="str">
        <f>MID(G2905,11,2)</f>
        <v>TO</v>
      </c>
      <c r="C2905" t="str">
        <f>MID(G2905,14,2)</f>
        <v>KB</v>
      </c>
      <c r="D2905" t="s">
        <v>4846</v>
      </c>
      <c r="E2905" s="5">
        <v>3</v>
      </c>
      <c r="G2905" s="4" t="s">
        <v>6940</v>
      </c>
      <c r="H2905" s="306" t="s">
        <v>5570</v>
      </c>
      <c r="I2905" s="432" t="s">
        <v>6919</v>
      </c>
      <c r="K2905" t="s">
        <v>659</v>
      </c>
      <c r="L2905" t="s">
        <v>3224</v>
      </c>
      <c r="M2905"/>
    </row>
    <row r="2906" spans="1:15">
      <c r="A2906" s="5">
        <v>2906</v>
      </c>
      <c r="B2906" t="str">
        <f>MID(G2906,11,2)</f>
        <v>TO</v>
      </c>
      <c r="C2906" t="str">
        <f>MID(G2906,14,2)</f>
        <v>KB</v>
      </c>
      <c r="D2906" t="s">
        <v>4846</v>
      </c>
      <c r="E2906" s="5">
        <v>3</v>
      </c>
      <c r="G2906" s="4" t="s">
        <v>6941</v>
      </c>
      <c r="H2906" s="306" t="s">
        <v>5865</v>
      </c>
      <c r="I2906" s="432" t="s">
        <v>6930</v>
      </c>
      <c r="K2906" t="s">
        <v>659</v>
      </c>
      <c r="L2906" t="s">
        <v>3224</v>
      </c>
      <c r="M2906"/>
    </row>
    <row r="2907" spans="1:15">
      <c r="A2907" s="5">
        <v>2907</v>
      </c>
      <c r="B2907" t="str">
        <f>MID(G2907,11,2)</f>
        <v>TO</v>
      </c>
      <c r="C2907" t="str">
        <f>MID(G2907,14,2)</f>
        <v>KB</v>
      </c>
      <c r="D2907" t="s">
        <v>4846</v>
      </c>
      <c r="E2907" s="5">
        <v>3</v>
      </c>
      <c r="G2907" s="4" t="s">
        <v>6941</v>
      </c>
      <c r="H2907" s="306" t="s">
        <v>5866</v>
      </c>
      <c r="I2907" s="432" t="s">
        <v>6931</v>
      </c>
      <c r="K2907" t="s">
        <v>659</v>
      </c>
      <c r="L2907" t="s">
        <v>3224</v>
      </c>
      <c r="M2907"/>
    </row>
    <row r="2908" spans="1:15">
      <c r="A2908" s="5">
        <v>2908</v>
      </c>
      <c r="B2908" t="str">
        <f t="shared" si="620"/>
        <v>TO</v>
      </c>
      <c r="C2908" t="str">
        <f t="shared" si="621"/>
        <v>KB</v>
      </c>
      <c r="D2908" t="s">
        <v>4846</v>
      </c>
      <c r="E2908" s="5">
        <v>3</v>
      </c>
      <c r="G2908" s="4" t="s">
        <v>6941</v>
      </c>
      <c r="H2908" s="4" t="s">
        <v>1574</v>
      </c>
      <c r="I2908" s="432" t="s">
        <v>5251</v>
      </c>
      <c r="K2908" t="s">
        <v>659</v>
      </c>
      <c r="L2908" t="s">
        <v>3224</v>
      </c>
      <c r="M2908"/>
    </row>
    <row r="2909" spans="1:15">
      <c r="A2909" s="5">
        <v>2909</v>
      </c>
      <c r="B2909" t="str">
        <f t="shared" ref="B2909" si="678">MID(G2909,11,2)</f>
        <v>TO</v>
      </c>
      <c r="C2909" t="str">
        <f t="shared" ref="C2909" si="679">MID(G2909,14,2)</f>
        <v>KB</v>
      </c>
      <c r="D2909" t="s">
        <v>4846</v>
      </c>
      <c r="E2909" s="5">
        <v>3</v>
      </c>
      <c r="G2909" s="4" t="s">
        <v>6942</v>
      </c>
      <c r="H2909" s="306" t="s">
        <v>5552</v>
      </c>
      <c r="I2909" s="432" t="s">
        <v>5555</v>
      </c>
      <c r="K2909" t="s">
        <v>1434</v>
      </c>
      <c r="L2909" t="s">
        <v>3224</v>
      </c>
      <c r="M2909"/>
    </row>
    <row r="2910" spans="1:15">
      <c r="A2910" s="5">
        <v>2910</v>
      </c>
      <c r="B2910" t="str">
        <f t="shared" ref="B2910:B2912" si="680">MID(G2910,11,2)</f>
        <v>TO</v>
      </c>
      <c r="C2910" t="str">
        <f t="shared" ref="C2910:C2912" si="681">MID(G2910,14,2)</f>
        <v>KB</v>
      </c>
      <c r="D2910" t="s">
        <v>4846</v>
      </c>
      <c r="E2910" s="5">
        <v>3</v>
      </c>
      <c r="G2910" s="4" t="s">
        <v>6942</v>
      </c>
      <c r="H2910" s="306" t="s">
        <v>5553</v>
      </c>
      <c r="I2910" s="432" t="s">
        <v>5554</v>
      </c>
      <c r="K2910" t="s">
        <v>659</v>
      </c>
      <c r="L2910" t="s">
        <v>3224</v>
      </c>
      <c r="M2910"/>
    </row>
    <row r="2911" spans="1:15">
      <c r="A2911" s="5">
        <v>2911</v>
      </c>
      <c r="B2911" t="str">
        <f t="shared" si="680"/>
        <v>TO</v>
      </c>
      <c r="C2911" t="str">
        <f t="shared" si="681"/>
        <v>KB</v>
      </c>
      <c r="D2911" t="s">
        <v>4846</v>
      </c>
      <c r="E2911" s="5">
        <v>3</v>
      </c>
      <c r="G2911" s="4" t="s">
        <v>6942</v>
      </c>
      <c r="H2911" s="306" t="s">
        <v>5556</v>
      </c>
      <c r="I2911" s="432" t="s">
        <v>5557</v>
      </c>
      <c r="K2911" t="s">
        <v>1434</v>
      </c>
      <c r="L2911" t="s">
        <v>3224</v>
      </c>
      <c r="M2911"/>
    </row>
    <row r="2912" spans="1:15">
      <c r="A2912" s="5">
        <v>2912</v>
      </c>
      <c r="B2912" t="str">
        <f t="shared" si="680"/>
        <v>TO</v>
      </c>
      <c r="C2912" t="str">
        <f t="shared" si="681"/>
        <v>KB</v>
      </c>
      <c r="D2912" t="s">
        <v>4846</v>
      </c>
      <c r="E2912" s="5">
        <v>3</v>
      </c>
      <c r="G2912" s="4" t="s">
        <v>6942</v>
      </c>
      <c r="H2912" s="306" t="s">
        <v>5558</v>
      </c>
      <c r="I2912" s="432" t="s">
        <v>5559</v>
      </c>
      <c r="K2912" t="s">
        <v>1434</v>
      </c>
      <c r="L2912" t="s">
        <v>3224</v>
      </c>
      <c r="M2912"/>
    </row>
    <row r="2913" spans="1:14">
      <c r="A2913" s="5">
        <v>2913</v>
      </c>
      <c r="B2913" t="str">
        <f t="shared" ref="B2913:B2934" si="682">MID(G2913,11,2)</f>
        <v>TO</v>
      </c>
      <c r="C2913" t="str">
        <f t="shared" ref="C2913:C2934" si="683">MID(G2913,14,2)</f>
        <v>KB</v>
      </c>
      <c r="D2913" t="s">
        <v>4846</v>
      </c>
      <c r="E2913" s="5">
        <v>3</v>
      </c>
      <c r="G2913" s="4" t="s">
        <v>6943</v>
      </c>
      <c r="H2913" s="306" t="s">
        <v>5560</v>
      </c>
      <c r="I2913" s="432" t="s">
        <v>5561</v>
      </c>
      <c r="K2913" t="s">
        <v>1434</v>
      </c>
      <c r="L2913" t="s">
        <v>3224</v>
      </c>
      <c r="M2913"/>
    </row>
    <row r="2914" spans="1:14">
      <c r="A2914" s="5">
        <v>2914</v>
      </c>
      <c r="B2914" t="str">
        <f t="shared" si="682"/>
        <v>TO</v>
      </c>
      <c r="C2914" t="str">
        <f t="shared" si="683"/>
        <v>KB</v>
      </c>
      <c r="D2914" t="s">
        <v>4846</v>
      </c>
      <c r="E2914" s="5">
        <v>3</v>
      </c>
      <c r="G2914" s="4" t="s">
        <v>6943</v>
      </c>
      <c r="H2914" s="306" t="s">
        <v>5562</v>
      </c>
      <c r="I2914" s="432" t="s">
        <v>5563</v>
      </c>
      <c r="K2914" t="s">
        <v>659</v>
      </c>
      <c r="L2914" t="s">
        <v>3224</v>
      </c>
      <c r="M2914"/>
    </row>
    <row r="2915" spans="1:14">
      <c r="A2915" s="5">
        <v>2915</v>
      </c>
      <c r="B2915" t="str">
        <f t="shared" ref="B2915" si="684">MID(G2915,11,2)</f>
        <v>TO</v>
      </c>
      <c r="C2915" t="str">
        <f t="shared" ref="C2915" si="685">MID(G2915,14,2)</f>
        <v>KB</v>
      </c>
      <c r="D2915" t="s">
        <v>4846</v>
      </c>
      <c r="E2915" s="5">
        <v>1</v>
      </c>
      <c r="G2915" s="4" t="s">
        <v>6961</v>
      </c>
      <c r="H2915" s="306" t="s">
        <v>4642</v>
      </c>
      <c r="I2915" s="432" t="s">
        <v>6957</v>
      </c>
      <c r="K2915" t="s">
        <v>659</v>
      </c>
      <c r="L2915" t="s">
        <v>669</v>
      </c>
      <c r="M2915"/>
      <c r="N2915" t="s">
        <v>6959</v>
      </c>
    </row>
    <row r="2916" spans="1:14" ht="36">
      <c r="A2916" s="5">
        <v>2916</v>
      </c>
      <c r="B2916" t="str">
        <f>MID(G2916,11,2)</f>
        <v>TO</v>
      </c>
      <c r="C2916" t="str">
        <f>MID(G2916,14,2)</f>
        <v>KB</v>
      </c>
      <c r="D2916" t="s">
        <v>4846</v>
      </c>
      <c r="E2916" s="5">
        <v>1</v>
      </c>
      <c r="F2916" t="s">
        <v>2766</v>
      </c>
      <c r="G2916" s="4" t="s">
        <v>6975</v>
      </c>
      <c r="H2916" s="306" t="s">
        <v>6962</v>
      </c>
      <c r="I2916" s="432" t="s">
        <v>6963</v>
      </c>
      <c r="K2916" t="s">
        <v>659</v>
      </c>
      <c r="L2916" t="s">
        <v>3224</v>
      </c>
      <c r="M2916"/>
    </row>
    <row r="2917" spans="1:14">
      <c r="A2917" s="5">
        <v>2917</v>
      </c>
      <c r="B2917" t="str">
        <f>MID(G2917,11,2)</f>
        <v>TO</v>
      </c>
      <c r="C2917" t="str">
        <f>MID(G2917,14,2)</f>
        <v>KB</v>
      </c>
      <c r="D2917" t="s">
        <v>4819</v>
      </c>
      <c r="E2917" s="5">
        <v>1</v>
      </c>
      <c r="G2917" s="4" t="s">
        <v>6928</v>
      </c>
      <c r="H2917" s="306" t="s">
        <v>6929</v>
      </c>
      <c r="K2917" t="s">
        <v>1434</v>
      </c>
      <c r="M2917"/>
    </row>
    <row r="2918" spans="1:14">
      <c r="A2918" s="5">
        <v>2918</v>
      </c>
      <c r="B2918" t="str">
        <f>MID(G2918,11,2)</f>
        <v>TO</v>
      </c>
      <c r="C2918" t="str">
        <f>MID(G2918,14,2)</f>
        <v>KB</v>
      </c>
      <c r="D2918" t="s">
        <v>4846</v>
      </c>
      <c r="E2918" s="5">
        <v>2</v>
      </c>
      <c r="G2918" s="4" t="s">
        <v>6978</v>
      </c>
      <c r="H2918" s="306" t="s">
        <v>6969</v>
      </c>
      <c r="I2918" s="432" t="s">
        <v>6970</v>
      </c>
      <c r="K2918" t="s">
        <v>1434</v>
      </c>
      <c r="L2918" t="s">
        <v>669</v>
      </c>
      <c r="M2918" t="s">
        <v>2333</v>
      </c>
    </row>
    <row r="2919" spans="1:14">
      <c r="A2919" s="5">
        <v>2919</v>
      </c>
      <c r="B2919" t="str">
        <f>MID(G2919,11,2)</f>
        <v>TO</v>
      </c>
      <c r="C2919" t="str">
        <f>MID(G2919,14,2)</f>
        <v>KB</v>
      </c>
      <c r="D2919" t="s">
        <v>4846</v>
      </c>
      <c r="E2919" s="5">
        <v>2</v>
      </c>
      <c r="G2919" s="4" t="s">
        <v>6977</v>
      </c>
      <c r="H2919" s="306" t="s">
        <v>6966</v>
      </c>
      <c r="I2919" s="432" t="s">
        <v>6967</v>
      </c>
      <c r="K2919" t="s">
        <v>1434</v>
      </c>
      <c r="L2919" t="s">
        <v>669</v>
      </c>
      <c r="M2919" t="s">
        <v>2333</v>
      </c>
    </row>
    <row r="2920" spans="1:14">
      <c r="A2920" s="5">
        <v>2920</v>
      </c>
      <c r="B2920" t="str">
        <f>MID(G2920,11,2)</f>
        <v>TO</v>
      </c>
      <c r="C2920" t="str">
        <f>MID(G2920,14,2)</f>
        <v>KB</v>
      </c>
      <c r="D2920" t="s">
        <v>4846</v>
      </c>
      <c r="E2920" s="5">
        <v>2</v>
      </c>
      <c r="G2920" s="4" t="s">
        <v>6977</v>
      </c>
      <c r="H2920" s="306" t="s">
        <v>6971</v>
      </c>
      <c r="I2920" s="432" t="s">
        <v>6972</v>
      </c>
      <c r="K2920" t="s">
        <v>1434</v>
      </c>
      <c r="L2920" t="s">
        <v>669</v>
      </c>
      <c r="M2920" t="s">
        <v>2333</v>
      </c>
    </row>
    <row r="2921" spans="1:14" ht="18.600000000000001">
      <c r="A2921" s="5">
        <v>2921</v>
      </c>
      <c r="B2921" t="str">
        <f t="shared" si="682"/>
        <v>TO</v>
      </c>
      <c r="C2921" t="str">
        <f t="shared" si="683"/>
        <v>KB</v>
      </c>
      <c r="D2921" t="s">
        <v>4846</v>
      </c>
      <c r="E2921" s="5">
        <v>3</v>
      </c>
      <c r="G2921" s="451" t="s">
        <v>6987</v>
      </c>
      <c r="H2921" s="70" t="s">
        <v>1364</v>
      </c>
      <c r="I2921" s="438" t="s">
        <v>4696</v>
      </c>
      <c r="K2921" t="s">
        <v>659</v>
      </c>
      <c r="L2921" t="s">
        <v>3224</v>
      </c>
      <c r="M2921"/>
    </row>
    <row r="2922" spans="1:14" ht="18.600000000000001">
      <c r="A2922" s="5">
        <v>2922</v>
      </c>
      <c r="B2922" t="str">
        <f t="shared" ref="B2922:B2925" si="686">MID(G2922,11,2)</f>
        <v>TO</v>
      </c>
      <c r="C2922" t="str">
        <f t="shared" ref="C2922:C2925" si="687">MID(G2922,14,2)</f>
        <v>KB</v>
      </c>
      <c r="D2922" t="s">
        <v>4846</v>
      </c>
      <c r="E2922" s="5">
        <v>3</v>
      </c>
      <c r="G2922" s="451" t="s">
        <v>6982</v>
      </c>
      <c r="H2922" s="70" t="s">
        <v>4697</v>
      </c>
      <c r="I2922" s="438" t="s">
        <v>4698</v>
      </c>
      <c r="K2922" t="s">
        <v>1434</v>
      </c>
      <c r="L2922" t="s">
        <v>3224</v>
      </c>
      <c r="M2922"/>
    </row>
    <row r="2923" spans="1:14" ht="18.600000000000001">
      <c r="A2923" s="5">
        <v>2923</v>
      </c>
      <c r="B2923" t="str">
        <f t="shared" si="686"/>
        <v>TO</v>
      </c>
      <c r="C2923" t="str">
        <f t="shared" si="687"/>
        <v>KB</v>
      </c>
      <c r="D2923" t="s">
        <v>4846</v>
      </c>
      <c r="E2923" s="5">
        <v>3</v>
      </c>
      <c r="G2923" s="451" t="s">
        <v>6982</v>
      </c>
      <c r="H2923" s="70" t="s">
        <v>3199</v>
      </c>
      <c r="I2923" s="438" t="s">
        <v>4699</v>
      </c>
      <c r="K2923" t="s">
        <v>659</v>
      </c>
      <c r="L2923" t="s">
        <v>3224</v>
      </c>
      <c r="M2923"/>
    </row>
    <row r="2924" spans="1:14" ht="18.600000000000001">
      <c r="A2924" s="5">
        <v>2924</v>
      </c>
      <c r="B2924" t="str">
        <f t="shared" si="686"/>
        <v>TO</v>
      </c>
      <c r="C2924" t="str">
        <f t="shared" si="687"/>
        <v>KB</v>
      </c>
      <c r="D2924" t="s">
        <v>4846</v>
      </c>
      <c r="E2924" s="5">
        <v>3</v>
      </c>
      <c r="G2924" s="451" t="s">
        <v>6988</v>
      </c>
      <c r="H2924" s="70" t="s">
        <v>4700</v>
      </c>
      <c r="I2924" s="438" t="s">
        <v>4701</v>
      </c>
      <c r="K2924" t="s">
        <v>659</v>
      </c>
      <c r="L2924" t="s">
        <v>669</v>
      </c>
      <c r="M2924" t="s">
        <v>2333</v>
      </c>
    </row>
    <row r="2925" spans="1:14" ht="18.600000000000001">
      <c r="A2925" s="5">
        <v>2925</v>
      </c>
      <c r="B2925" t="str">
        <f t="shared" si="686"/>
        <v>TO</v>
      </c>
      <c r="C2925" t="str">
        <f t="shared" si="687"/>
        <v>KB</v>
      </c>
      <c r="D2925" t="s">
        <v>4846</v>
      </c>
      <c r="E2925" s="5">
        <v>3</v>
      </c>
      <c r="G2925" s="451" t="s">
        <v>6983</v>
      </c>
      <c r="H2925" s="70" t="s">
        <v>7025</v>
      </c>
      <c r="I2925" s="438" t="s">
        <v>4703</v>
      </c>
      <c r="K2925" t="s">
        <v>659</v>
      </c>
      <c r="L2925" t="s">
        <v>669</v>
      </c>
      <c r="M2925" t="s">
        <v>2333</v>
      </c>
    </row>
    <row r="2926" spans="1:14" ht="18.600000000000001">
      <c r="A2926" s="5">
        <v>2926</v>
      </c>
      <c r="B2926" t="str">
        <f t="shared" ref="B2926:B2927" si="688">MID(G2926,11,2)</f>
        <v>TO</v>
      </c>
      <c r="C2926" t="str">
        <f t="shared" ref="C2926:C2927" si="689">MID(G2926,14,2)</f>
        <v>KB</v>
      </c>
      <c r="D2926" t="s">
        <v>4846</v>
      </c>
      <c r="E2926" s="5">
        <v>3</v>
      </c>
      <c r="G2926" s="451" t="s">
        <v>6983</v>
      </c>
      <c r="H2926" s="70" t="s">
        <v>4704</v>
      </c>
      <c r="I2926" s="438" t="s">
        <v>4705</v>
      </c>
      <c r="K2926" t="s">
        <v>1434</v>
      </c>
      <c r="L2926" t="s">
        <v>669</v>
      </c>
      <c r="M2926" t="s">
        <v>2333</v>
      </c>
    </row>
    <row r="2927" spans="1:14" ht="18.600000000000001">
      <c r="A2927" s="5">
        <v>2927</v>
      </c>
      <c r="B2927" t="str">
        <f t="shared" si="688"/>
        <v>TO</v>
      </c>
      <c r="C2927" t="str">
        <f t="shared" si="689"/>
        <v>KB</v>
      </c>
      <c r="D2927" t="s">
        <v>4846</v>
      </c>
      <c r="E2927" s="5">
        <v>3</v>
      </c>
      <c r="G2927" s="451" t="s">
        <v>6986</v>
      </c>
      <c r="H2927" s="70" t="s">
        <v>4706</v>
      </c>
      <c r="I2927" s="438" t="s">
        <v>4707</v>
      </c>
      <c r="K2927" t="s">
        <v>1434</v>
      </c>
      <c r="L2927" t="s">
        <v>3224</v>
      </c>
      <c r="M2927"/>
    </row>
    <row r="2928" spans="1:14" ht="18.600000000000001">
      <c r="A2928" s="5">
        <v>2928</v>
      </c>
      <c r="B2928" t="str">
        <f t="shared" ref="B2928:B2929" si="690">MID(G2928,11,2)</f>
        <v>TO</v>
      </c>
      <c r="C2928" t="str">
        <f t="shared" ref="C2928:C2929" si="691">MID(G2928,14,2)</f>
        <v>KB</v>
      </c>
      <c r="D2928" t="s">
        <v>4846</v>
      </c>
      <c r="E2928" s="5">
        <v>3</v>
      </c>
      <c r="G2928" s="451" t="s">
        <v>6986</v>
      </c>
      <c r="H2928" s="70" t="s">
        <v>4708</v>
      </c>
      <c r="I2928" s="438" t="s">
        <v>4709</v>
      </c>
      <c r="K2928" t="s">
        <v>659</v>
      </c>
      <c r="L2928" t="s">
        <v>3224</v>
      </c>
      <c r="M2928"/>
    </row>
    <row r="2929" spans="1:14" ht="18.600000000000001">
      <c r="A2929" s="5">
        <v>2929</v>
      </c>
      <c r="B2929" t="str">
        <f t="shared" si="690"/>
        <v>TO</v>
      </c>
      <c r="C2929" t="str">
        <f t="shared" si="691"/>
        <v>KB</v>
      </c>
      <c r="D2929" t="s">
        <v>4846</v>
      </c>
      <c r="E2929" s="5">
        <v>3</v>
      </c>
      <c r="G2929" s="451" t="s">
        <v>6984</v>
      </c>
      <c r="H2929" s="70" t="s">
        <v>4710</v>
      </c>
      <c r="I2929" s="438" t="s">
        <v>4711</v>
      </c>
      <c r="K2929" t="s">
        <v>659</v>
      </c>
      <c r="L2929" t="s">
        <v>3224</v>
      </c>
      <c r="M2929"/>
    </row>
    <row r="2930" spans="1:14">
      <c r="A2930" s="5">
        <v>2930</v>
      </c>
      <c r="B2930" t="str">
        <f>MID(G2930,11,2)</f>
        <v>TO</v>
      </c>
      <c r="C2930" t="str">
        <f>MID(G2930,14,2)</f>
        <v>KB</v>
      </c>
      <c r="D2930" t="s">
        <v>4846</v>
      </c>
      <c r="E2930" s="5">
        <v>3</v>
      </c>
      <c r="G2930" s="4" t="s">
        <v>7000</v>
      </c>
      <c r="H2930" s="306" t="s">
        <v>6989</v>
      </c>
      <c r="I2930" s="432" t="s">
        <v>6990</v>
      </c>
      <c r="K2930" t="s">
        <v>659</v>
      </c>
      <c r="L2930" t="s">
        <v>3224</v>
      </c>
      <c r="M2930"/>
    </row>
    <row r="2931" spans="1:14">
      <c r="A2931" s="5">
        <v>2931</v>
      </c>
      <c r="B2931" t="str">
        <f t="shared" ref="B2931:B2933" si="692">MID(G2931,11,2)</f>
        <v>TO</v>
      </c>
      <c r="C2931" t="str">
        <f t="shared" ref="C2931:C2933" si="693">MID(G2931,14,2)</f>
        <v>KB</v>
      </c>
      <c r="D2931" t="s">
        <v>4846</v>
      </c>
      <c r="E2931" s="5">
        <v>3</v>
      </c>
      <c r="G2931" s="4" t="s">
        <v>7000</v>
      </c>
      <c r="H2931" s="306" t="s">
        <v>6991</v>
      </c>
      <c r="I2931" s="432" t="s">
        <v>6992</v>
      </c>
      <c r="K2931" t="s">
        <v>1434</v>
      </c>
      <c r="L2931" t="s">
        <v>3224</v>
      </c>
      <c r="M2931"/>
    </row>
    <row r="2932" spans="1:14">
      <c r="A2932" s="5">
        <v>2932</v>
      </c>
      <c r="B2932" t="str">
        <f t="shared" si="692"/>
        <v>TO</v>
      </c>
      <c r="C2932" t="str">
        <f t="shared" si="693"/>
        <v>KB</v>
      </c>
      <c r="D2932" t="s">
        <v>4846</v>
      </c>
      <c r="E2932" s="5">
        <v>3</v>
      </c>
      <c r="G2932" s="4" t="s">
        <v>7000</v>
      </c>
      <c r="H2932" s="306" t="s">
        <v>6993</v>
      </c>
      <c r="I2932" s="432" t="s">
        <v>6994</v>
      </c>
      <c r="K2932" t="s">
        <v>1434</v>
      </c>
      <c r="L2932" t="s">
        <v>3224</v>
      </c>
      <c r="M2932"/>
    </row>
    <row r="2933" spans="1:14">
      <c r="A2933" s="5">
        <v>2933</v>
      </c>
      <c r="B2933" t="str">
        <f t="shared" si="692"/>
        <v>TO</v>
      </c>
      <c r="C2933" t="str">
        <f t="shared" si="693"/>
        <v>KB</v>
      </c>
      <c r="D2933" t="s">
        <v>4846</v>
      </c>
      <c r="E2933" s="5">
        <v>3</v>
      </c>
      <c r="G2933" s="4" t="s">
        <v>7000</v>
      </c>
      <c r="H2933" s="306" t="s">
        <v>6995</v>
      </c>
      <c r="I2933" s="432" t="s">
        <v>6996</v>
      </c>
      <c r="K2933" t="s">
        <v>1434</v>
      </c>
      <c r="L2933" t="s">
        <v>3224</v>
      </c>
      <c r="M2933"/>
    </row>
    <row r="2934" spans="1:14">
      <c r="A2934" s="5">
        <v>2934</v>
      </c>
      <c r="B2934" t="str">
        <f t="shared" si="682"/>
        <v>TO</v>
      </c>
      <c r="C2934" t="str">
        <f t="shared" si="683"/>
        <v>KB</v>
      </c>
      <c r="D2934" t="s">
        <v>4846</v>
      </c>
      <c r="E2934" s="5">
        <v>3</v>
      </c>
      <c r="G2934" s="4" t="s">
        <v>7005</v>
      </c>
      <c r="H2934" s="306" t="s">
        <v>5566</v>
      </c>
      <c r="I2934" s="432" t="s">
        <v>5567</v>
      </c>
      <c r="K2934" t="s">
        <v>1434</v>
      </c>
      <c r="L2934" t="s">
        <v>3224</v>
      </c>
      <c r="M2934"/>
    </row>
    <row r="2935" spans="1:14">
      <c r="A2935" s="5">
        <v>2935</v>
      </c>
      <c r="B2935" t="str">
        <f t="shared" ref="B2935:B2939" si="694">MID(G2935,11,2)</f>
        <v>TO</v>
      </c>
      <c r="C2935" t="str">
        <f t="shared" ref="C2935:C2939" si="695">MID(G2935,14,2)</f>
        <v>KB</v>
      </c>
      <c r="D2935" t="s">
        <v>4846</v>
      </c>
      <c r="E2935" s="5">
        <v>3</v>
      </c>
      <c r="G2935" s="4" t="s">
        <v>7004</v>
      </c>
      <c r="H2935" s="306" t="s">
        <v>5568</v>
      </c>
      <c r="I2935" s="432" t="s">
        <v>5569</v>
      </c>
      <c r="K2935" t="s">
        <v>659</v>
      </c>
      <c r="L2935" t="s">
        <v>3224</v>
      </c>
      <c r="M2935"/>
    </row>
    <row r="2936" spans="1:14">
      <c r="A2936" s="5">
        <v>2936</v>
      </c>
      <c r="B2936" t="str">
        <f t="shared" si="694"/>
        <v>TO</v>
      </c>
      <c r="C2936" t="str">
        <f t="shared" si="695"/>
        <v>KB</v>
      </c>
      <c r="D2936" t="s">
        <v>4846</v>
      </c>
      <c r="E2936" s="5">
        <v>3</v>
      </c>
      <c r="G2936" s="4" t="s">
        <v>7004</v>
      </c>
      <c r="H2936" s="306" t="s">
        <v>5548</v>
      </c>
      <c r="I2936" s="432" t="s">
        <v>5549</v>
      </c>
      <c r="K2936" t="s">
        <v>1434</v>
      </c>
      <c r="L2936" t="s">
        <v>3224</v>
      </c>
      <c r="M2936"/>
    </row>
    <row r="2937" spans="1:14">
      <c r="A2937" s="5">
        <v>2937</v>
      </c>
      <c r="B2937" t="str">
        <f t="shared" si="694"/>
        <v>TO</v>
      </c>
      <c r="C2937" t="str">
        <f t="shared" si="695"/>
        <v>KB</v>
      </c>
      <c r="D2937" t="s">
        <v>4846</v>
      </c>
      <c r="E2937" s="5">
        <v>3</v>
      </c>
      <c r="G2937" s="4" t="s">
        <v>7004</v>
      </c>
      <c r="H2937" s="306" t="s">
        <v>5550</v>
      </c>
      <c r="I2937" s="432" t="s">
        <v>5551</v>
      </c>
      <c r="K2937" t="s">
        <v>1434</v>
      </c>
      <c r="L2937" t="s">
        <v>3224</v>
      </c>
      <c r="M2937"/>
    </row>
    <row r="2938" spans="1:14" ht="18.600000000000001">
      <c r="A2938" s="5">
        <v>2938</v>
      </c>
      <c r="B2938" t="str">
        <f t="shared" si="694"/>
        <v>TO</v>
      </c>
      <c r="C2938" t="str">
        <f t="shared" si="695"/>
        <v>KB</v>
      </c>
      <c r="D2938" t="s">
        <v>4846</v>
      </c>
      <c r="E2938" s="5">
        <v>3</v>
      </c>
      <c r="G2938" s="4" t="s">
        <v>7004</v>
      </c>
      <c r="H2938" s="70" t="s">
        <v>6979</v>
      </c>
      <c r="I2938" s="438" t="s">
        <v>2229</v>
      </c>
      <c r="K2938" t="s">
        <v>659</v>
      </c>
      <c r="L2938" t="s">
        <v>3224</v>
      </c>
      <c r="M2938"/>
    </row>
    <row r="2939" spans="1:14" ht="18.600000000000001">
      <c r="A2939" s="5">
        <v>2939</v>
      </c>
      <c r="B2939" t="str">
        <f t="shared" si="694"/>
        <v>TO</v>
      </c>
      <c r="C2939" t="str">
        <f t="shared" si="695"/>
        <v>KB</v>
      </c>
      <c r="D2939" t="s">
        <v>4846</v>
      </c>
      <c r="E2939" s="5">
        <v>3</v>
      </c>
      <c r="G2939" s="4" t="s">
        <v>7004</v>
      </c>
      <c r="H2939" s="70" t="s">
        <v>4694</v>
      </c>
      <c r="I2939" s="438" t="s">
        <v>4695</v>
      </c>
      <c r="K2939" t="s">
        <v>659</v>
      </c>
      <c r="L2939" t="s">
        <v>3224</v>
      </c>
      <c r="M2939"/>
    </row>
    <row r="2940" spans="1:14">
      <c r="A2940" s="5">
        <v>2940</v>
      </c>
      <c r="B2940" t="s">
        <v>114</v>
      </c>
      <c r="C2940" t="s">
        <v>7017</v>
      </c>
      <c r="D2940" t="s">
        <v>4846</v>
      </c>
      <c r="E2940" s="5">
        <v>1</v>
      </c>
      <c r="F2940" t="s">
        <v>4464</v>
      </c>
      <c r="G2940" s="4" t="s">
        <v>7011</v>
      </c>
      <c r="H2940" s="306" t="s">
        <v>7011</v>
      </c>
      <c r="I2940" s="432" t="s">
        <v>7013</v>
      </c>
      <c r="K2940" t="s">
        <v>1434</v>
      </c>
      <c r="L2940" t="s">
        <v>3224</v>
      </c>
      <c r="M2940"/>
    </row>
    <row r="2941" spans="1:14">
      <c r="A2941" s="5">
        <v>2941</v>
      </c>
      <c r="B2941" t="str">
        <f>MID(G2941,11,2)</f>
        <v>TO</v>
      </c>
      <c r="C2941" t="str">
        <f>MID(G2941,14,2)</f>
        <v>KB</v>
      </c>
      <c r="D2941" t="s">
        <v>4846</v>
      </c>
      <c r="E2941" s="5">
        <v>1</v>
      </c>
      <c r="F2941" t="s">
        <v>2766</v>
      </c>
      <c r="G2941" s="4" t="s">
        <v>7015</v>
      </c>
      <c r="H2941" s="306" t="s">
        <v>7014</v>
      </c>
      <c r="I2941" s="432" t="s">
        <v>7016</v>
      </c>
      <c r="K2941" t="s">
        <v>659</v>
      </c>
      <c r="L2941" t="s">
        <v>669</v>
      </c>
      <c r="M2941" t="s">
        <v>2333</v>
      </c>
      <c r="N2941" t="s">
        <v>7022</v>
      </c>
    </row>
    <row r="2942" spans="1:14">
      <c r="A2942" s="5">
        <v>2942</v>
      </c>
      <c r="B2942" t="str">
        <f>MID(G2942,11,2)</f>
        <v>TO</v>
      </c>
      <c r="C2942" t="str">
        <f>MID(G2942,14,2)</f>
        <v>KB</v>
      </c>
      <c r="D2942" t="s">
        <v>4846</v>
      </c>
      <c r="E2942" s="5">
        <v>2</v>
      </c>
      <c r="G2942" s="4" t="s">
        <v>7021</v>
      </c>
      <c r="H2942" s="306" t="s">
        <v>7018</v>
      </c>
      <c r="I2942" s="432" t="s">
        <v>7019</v>
      </c>
      <c r="K2942" t="s">
        <v>659</v>
      </c>
      <c r="L2942" t="s">
        <v>3224</v>
      </c>
      <c r="M2942"/>
    </row>
    <row r="2943" spans="1:14">
      <c r="A2943" s="5">
        <v>2943</v>
      </c>
      <c r="B2943" t="str">
        <f>MID(G2943,11,2)</f>
        <v>TO</v>
      </c>
      <c r="C2943" t="str">
        <f>MID(G2943,14,2)</f>
        <v>KB</v>
      </c>
      <c r="D2943" t="s">
        <v>4846</v>
      </c>
      <c r="E2943" s="5">
        <v>2</v>
      </c>
      <c r="G2943" s="4" t="s">
        <v>7021</v>
      </c>
      <c r="H2943" s="306" t="s">
        <v>6684</v>
      </c>
      <c r="I2943" s="432" t="s">
        <v>7020</v>
      </c>
      <c r="K2943" t="s">
        <v>1434</v>
      </c>
      <c r="L2943" t="s">
        <v>3224</v>
      </c>
      <c r="M2943"/>
    </row>
    <row r="2944" spans="1:14">
      <c r="A2944" s="5">
        <v>2944</v>
      </c>
      <c r="B2944" t="str">
        <f>MID(G2944,11,2)</f>
        <v>TO</v>
      </c>
      <c r="C2944" t="str">
        <f>MID(G2944,14,2)</f>
        <v>KB</v>
      </c>
      <c r="D2944" t="s">
        <v>4846</v>
      </c>
      <c r="E2944" s="5">
        <v>3</v>
      </c>
      <c r="G2944" s="4" t="s">
        <v>7030</v>
      </c>
      <c r="H2944" s="306" t="s">
        <v>5766</v>
      </c>
      <c r="I2944" s="432" t="s">
        <v>2319</v>
      </c>
      <c r="K2944" t="s">
        <v>659</v>
      </c>
      <c r="L2944" t="s">
        <v>3224</v>
      </c>
      <c r="M2944"/>
      <c r="N2944" t="s">
        <v>7027</v>
      </c>
    </row>
    <row r="2945" spans="1:14">
      <c r="A2945" s="5">
        <v>2945</v>
      </c>
      <c r="B2945" t="str">
        <f t="shared" ref="B2945:B2955" si="696">MID(G2945,11,2)</f>
        <v>TO</v>
      </c>
      <c r="C2945" t="str">
        <f t="shared" ref="C2945:C2955" si="697">MID(G2945,14,2)</f>
        <v>KB</v>
      </c>
      <c r="D2945" t="s">
        <v>4846</v>
      </c>
      <c r="E2945" s="5">
        <v>3</v>
      </c>
      <c r="G2945" s="4" t="s">
        <v>7030</v>
      </c>
      <c r="H2945" s="306" t="s">
        <v>5717</v>
      </c>
      <c r="I2945" s="432" t="s">
        <v>5718</v>
      </c>
      <c r="K2945" t="s">
        <v>659</v>
      </c>
      <c r="L2945" t="s">
        <v>3224</v>
      </c>
      <c r="N2945" t="s">
        <v>7027</v>
      </c>
    </row>
    <row r="2946" spans="1:14">
      <c r="A2946" s="5">
        <v>2946</v>
      </c>
      <c r="B2946" t="str">
        <f t="shared" si="696"/>
        <v>TO</v>
      </c>
      <c r="C2946" t="str">
        <f t="shared" si="697"/>
        <v>KB</v>
      </c>
      <c r="D2946" t="s">
        <v>4846</v>
      </c>
      <c r="E2946" s="5">
        <v>3</v>
      </c>
      <c r="G2946" s="4" t="s">
        <v>7030</v>
      </c>
      <c r="H2946" s="306" t="s">
        <v>5719</v>
      </c>
      <c r="I2946" s="432" t="s">
        <v>5720</v>
      </c>
      <c r="K2946" t="s">
        <v>659</v>
      </c>
      <c r="L2946" t="s">
        <v>3224</v>
      </c>
      <c r="M2946"/>
      <c r="N2946" t="s">
        <v>7027</v>
      </c>
    </row>
    <row r="2947" spans="1:14">
      <c r="A2947" s="5">
        <v>2947</v>
      </c>
      <c r="B2947" t="str">
        <f t="shared" si="696"/>
        <v>TO</v>
      </c>
      <c r="C2947" t="str">
        <f t="shared" si="697"/>
        <v>KB</v>
      </c>
      <c r="D2947" t="s">
        <v>4846</v>
      </c>
      <c r="E2947" s="5">
        <v>3</v>
      </c>
      <c r="G2947" s="4" t="s">
        <v>7030</v>
      </c>
      <c r="H2947" s="306" t="s">
        <v>5457</v>
      </c>
      <c r="I2947" s="432" t="s">
        <v>5458</v>
      </c>
      <c r="K2947" t="s">
        <v>659</v>
      </c>
      <c r="L2947" t="s">
        <v>3224</v>
      </c>
      <c r="M2947"/>
      <c r="N2947" t="s">
        <v>7027</v>
      </c>
    </row>
    <row r="2948" spans="1:14">
      <c r="A2948" s="5">
        <v>2948</v>
      </c>
      <c r="B2948" t="str">
        <f t="shared" si="696"/>
        <v>TO</v>
      </c>
      <c r="C2948" t="str">
        <f t="shared" si="697"/>
        <v>KB</v>
      </c>
      <c r="D2948" t="s">
        <v>4846</v>
      </c>
      <c r="E2948" s="5">
        <v>3</v>
      </c>
      <c r="G2948" s="4" t="s">
        <v>7030</v>
      </c>
      <c r="H2948" s="306" t="s">
        <v>5686</v>
      </c>
      <c r="I2948" s="432" t="s">
        <v>5687</v>
      </c>
      <c r="K2948" t="s">
        <v>659</v>
      </c>
      <c r="L2948" t="s">
        <v>3224</v>
      </c>
      <c r="M2948"/>
      <c r="N2948" t="s">
        <v>7027</v>
      </c>
    </row>
    <row r="2949" spans="1:14">
      <c r="A2949" s="5">
        <v>2949</v>
      </c>
      <c r="B2949" t="str">
        <f t="shared" si="696"/>
        <v>TO</v>
      </c>
      <c r="C2949" t="str">
        <f t="shared" si="697"/>
        <v>KB</v>
      </c>
      <c r="D2949" t="s">
        <v>4846</v>
      </c>
      <c r="E2949" s="5">
        <v>3</v>
      </c>
      <c r="G2949" s="4" t="s">
        <v>7030</v>
      </c>
      <c r="H2949" s="306" t="s">
        <v>5702</v>
      </c>
      <c r="I2949" s="432" t="s">
        <v>3828</v>
      </c>
      <c r="K2949" t="s">
        <v>659</v>
      </c>
      <c r="L2949" t="s">
        <v>3224</v>
      </c>
      <c r="M2949"/>
      <c r="N2949" t="s">
        <v>7027</v>
      </c>
    </row>
    <row r="2950" spans="1:14">
      <c r="A2950" s="5">
        <v>2950</v>
      </c>
      <c r="B2950" t="str">
        <f t="shared" si="696"/>
        <v>TO</v>
      </c>
      <c r="C2950" t="str">
        <f t="shared" si="697"/>
        <v>KB</v>
      </c>
      <c r="D2950" t="s">
        <v>4846</v>
      </c>
      <c r="E2950" s="5">
        <v>3</v>
      </c>
      <c r="G2950" s="4" t="s">
        <v>7030</v>
      </c>
      <c r="H2950" s="305" t="s">
        <v>1979</v>
      </c>
      <c r="I2950" s="432" t="s">
        <v>3592</v>
      </c>
      <c r="K2950" t="s">
        <v>659</v>
      </c>
      <c r="L2950" t="s">
        <v>3224</v>
      </c>
      <c r="M2950"/>
      <c r="N2950" t="s">
        <v>7027</v>
      </c>
    </row>
    <row r="2951" spans="1:14">
      <c r="A2951" s="5">
        <v>2951</v>
      </c>
      <c r="B2951" t="str">
        <f t="shared" si="696"/>
        <v>TO</v>
      </c>
      <c r="C2951" t="str">
        <f t="shared" si="697"/>
        <v>KB</v>
      </c>
      <c r="D2951" t="s">
        <v>4846</v>
      </c>
      <c r="E2951" s="5">
        <v>3</v>
      </c>
      <c r="G2951" s="4" t="s">
        <v>7030</v>
      </c>
      <c r="H2951" s="306" t="s">
        <v>378</v>
      </c>
      <c r="I2951" s="438" t="s">
        <v>2488</v>
      </c>
      <c r="K2951" t="s">
        <v>659</v>
      </c>
      <c r="L2951" t="s">
        <v>3224</v>
      </c>
      <c r="M2951"/>
      <c r="N2951" t="s">
        <v>7027</v>
      </c>
    </row>
    <row r="2952" spans="1:14">
      <c r="A2952" s="5">
        <v>2952</v>
      </c>
      <c r="B2952" t="str">
        <f t="shared" si="696"/>
        <v>TO</v>
      </c>
      <c r="C2952" t="str">
        <f t="shared" si="697"/>
        <v>KB</v>
      </c>
      <c r="D2952" t="s">
        <v>4846</v>
      </c>
      <c r="E2952" s="5">
        <v>3</v>
      </c>
      <c r="G2952" s="4" t="s">
        <v>7030</v>
      </c>
      <c r="H2952" s="306" t="s">
        <v>2772</v>
      </c>
      <c r="I2952" s="438" t="s">
        <v>1115</v>
      </c>
      <c r="K2952" t="s">
        <v>659</v>
      </c>
      <c r="L2952" t="s">
        <v>3224</v>
      </c>
      <c r="M2952"/>
      <c r="N2952" t="s">
        <v>7027</v>
      </c>
    </row>
    <row r="2953" spans="1:14">
      <c r="A2953" s="5">
        <v>2953</v>
      </c>
      <c r="B2953" t="str">
        <f t="shared" si="696"/>
        <v>TO</v>
      </c>
      <c r="C2953" t="str">
        <f t="shared" si="697"/>
        <v>KB</v>
      </c>
      <c r="D2953" t="s">
        <v>4846</v>
      </c>
      <c r="E2953" s="5">
        <v>3</v>
      </c>
      <c r="G2953" s="4" t="s">
        <v>7030</v>
      </c>
      <c r="H2953" s="306" t="s">
        <v>5777</v>
      </c>
      <c r="I2953" s="432" t="s">
        <v>4103</v>
      </c>
      <c r="K2953" t="s">
        <v>659</v>
      </c>
      <c r="L2953" t="s">
        <v>3224</v>
      </c>
      <c r="M2953"/>
      <c r="N2953" t="s">
        <v>7027</v>
      </c>
    </row>
    <row r="2954" spans="1:14">
      <c r="A2954" s="5">
        <v>2954</v>
      </c>
      <c r="B2954" t="str">
        <f t="shared" si="696"/>
        <v>TO</v>
      </c>
      <c r="C2954" t="str">
        <f t="shared" si="697"/>
        <v>KB</v>
      </c>
      <c r="D2954" t="s">
        <v>4846</v>
      </c>
      <c r="E2954" s="5">
        <v>3</v>
      </c>
      <c r="G2954" s="4" t="s">
        <v>7030</v>
      </c>
      <c r="H2954" s="306" t="s">
        <v>2942</v>
      </c>
      <c r="I2954" s="432" t="s">
        <v>5787</v>
      </c>
      <c r="K2954" t="s">
        <v>659</v>
      </c>
      <c r="L2954" t="s">
        <v>3224</v>
      </c>
      <c r="M2954"/>
      <c r="N2954" t="s">
        <v>7027</v>
      </c>
    </row>
    <row r="2955" spans="1:14">
      <c r="A2955" s="5">
        <v>2955</v>
      </c>
      <c r="B2955" t="str">
        <f t="shared" si="696"/>
        <v>TO</v>
      </c>
      <c r="C2955" t="str">
        <f t="shared" si="697"/>
        <v>KB</v>
      </c>
      <c r="D2955" t="s">
        <v>4846</v>
      </c>
      <c r="E2955" s="5">
        <v>3</v>
      </c>
      <c r="G2955" s="4" t="s">
        <v>7030</v>
      </c>
      <c r="H2955" s="306" t="s">
        <v>2221</v>
      </c>
      <c r="I2955" s="432" t="s">
        <v>2222</v>
      </c>
      <c r="K2955" t="s">
        <v>659</v>
      </c>
      <c r="L2955" t="s">
        <v>3224</v>
      </c>
      <c r="M2955"/>
      <c r="N2955" t="s">
        <v>7027</v>
      </c>
    </row>
    <row r="2956" spans="1:14">
      <c r="A2956" s="5">
        <v>2956</v>
      </c>
      <c r="B2956" t="s">
        <v>114</v>
      </c>
      <c r="C2956" t="s">
        <v>7035</v>
      </c>
      <c r="D2956" t="s">
        <v>4846</v>
      </c>
      <c r="E2956" s="5">
        <v>1</v>
      </c>
      <c r="G2956" s="4" t="s">
        <v>7034</v>
      </c>
      <c r="H2956" s="4" t="s">
        <v>7037</v>
      </c>
      <c r="I2956" s="432" t="s">
        <v>7036</v>
      </c>
      <c r="K2956" t="s">
        <v>659</v>
      </c>
      <c r="L2956" t="s">
        <v>3224</v>
      </c>
      <c r="M2956"/>
    </row>
    <row r="2957" spans="1:14" ht="36">
      <c r="A2957" s="5">
        <v>2957</v>
      </c>
      <c r="B2957" t="str">
        <f t="shared" ref="B2957:B2960" si="698">MID(G2957,11,2)</f>
        <v>TO</v>
      </c>
      <c r="C2957" t="str">
        <f t="shared" ref="C2957:C2960" si="699">MID(G2957,14,2)</f>
        <v>KB</v>
      </c>
      <c r="D2957" t="s">
        <v>4846</v>
      </c>
      <c r="E2957" s="5">
        <v>3</v>
      </c>
      <c r="G2957" s="4" t="s">
        <v>7039</v>
      </c>
      <c r="H2957" s="306" t="s">
        <v>6964</v>
      </c>
      <c r="I2957" s="432" t="s">
        <v>6965</v>
      </c>
      <c r="K2957" t="s">
        <v>1434</v>
      </c>
      <c r="L2957" t="s">
        <v>3224</v>
      </c>
      <c r="M2957"/>
    </row>
    <row r="2958" spans="1:14">
      <c r="A2958" s="5">
        <v>2958</v>
      </c>
      <c r="B2958" t="str">
        <f t="shared" ref="B2958:B2959" si="700">MID(G2958,11,2)</f>
        <v>TO</v>
      </c>
      <c r="C2958" t="str">
        <f t="shared" ref="C2958:C2959" si="701">MID(G2958,14,2)</f>
        <v>KB</v>
      </c>
      <c r="D2958" t="s">
        <v>4846</v>
      </c>
      <c r="E2958" s="5">
        <v>3</v>
      </c>
      <c r="G2958" s="4" t="s">
        <v>7039</v>
      </c>
      <c r="H2958" s="306" t="s">
        <v>6973</v>
      </c>
      <c r="I2958" s="432" t="s">
        <v>6974</v>
      </c>
      <c r="K2958" t="s">
        <v>659</v>
      </c>
      <c r="L2958" t="s">
        <v>3224</v>
      </c>
      <c r="M2958"/>
    </row>
    <row r="2959" spans="1:14">
      <c r="A2959" s="5">
        <v>2959</v>
      </c>
      <c r="B2959" t="str">
        <f t="shared" si="700"/>
        <v>TO</v>
      </c>
      <c r="C2959" t="str">
        <f t="shared" si="701"/>
        <v>KB</v>
      </c>
      <c r="D2959" t="s">
        <v>4846</v>
      </c>
      <c r="E2959" s="5">
        <v>3</v>
      </c>
      <c r="G2959" s="4" t="s">
        <v>7039</v>
      </c>
      <c r="H2959" s="306" t="s">
        <v>6955</v>
      </c>
      <c r="I2959" s="432" t="s">
        <v>6956</v>
      </c>
      <c r="K2959" t="s">
        <v>1434</v>
      </c>
      <c r="L2959" t="s">
        <v>3224</v>
      </c>
      <c r="M2959"/>
    </row>
    <row r="2960" spans="1:14">
      <c r="A2960" s="5">
        <v>2960</v>
      </c>
      <c r="B2960" t="str">
        <f t="shared" si="698"/>
        <v>TO</v>
      </c>
      <c r="C2960" t="str">
        <f t="shared" si="699"/>
        <v>KB</v>
      </c>
      <c r="D2960" t="s">
        <v>4846</v>
      </c>
      <c r="E2960" s="5">
        <v>3</v>
      </c>
      <c r="G2960" s="4" t="s">
        <v>7040</v>
      </c>
      <c r="H2960" s="306" t="s">
        <v>6997</v>
      </c>
      <c r="I2960" s="432" t="s">
        <v>6998</v>
      </c>
      <c r="K2960" t="s">
        <v>659</v>
      </c>
      <c r="L2960" t="s">
        <v>3224</v>
      </c>
      <c r="M2960"/>
    </row>
    <row r="2961" spans="1:14" ht="36">
      <c r="A2961" s="5">
        <v>2961</v>
      </c>
      <c r="B2961" t="str">
        <f t="shared" ref="B2961:B2962" si="702">MID(G2961,11,2)</f>
        <v>TO</v>
      </c>
      <c r="C2961" t="str">
        <f t="shared" ref="C2961:C2962" si="703">MID(G2961,14,2)</f>
        <v>KB</v>
      </c>
      <c r="D2961" t="s">
        <v>4846</v>
      </c>
      <c r="E2961" s="5">
        <v>3</v>
      </c>
      <c r="G2961" s="4" t="s">
        <v>7040</v>
      </c>
      <c r="H2961" s="306" t="s">
        <v>7001</v>
      </c>
      <c r="I2961" s="432" t="s">
        <v>7002</v>
      </c>
      <c r="K2961" t="s">
        <v>659</v>
      </c>
      <c r="L2961" t="s">
        <v>3224</v>
      </c>
      <c r="M2961"/>
    </row>
    <row r="2962" spans="1:14">
      <c r="A2962" s="5">
        <v>2962</v>
      </c>
      <c r="B2962" t="str">
        <f t="shared" si="702"/>
        <v>TO</v>
      </c>
      <c r="C2962" t="str">
        <f t="shared" si="703"/>
        <v>KB</v>
      </c>
      <c r="D2962" t="s">
        <v>4846</v>
      </c>
      <c r="E2962" s="5">
        <v>3</v>
      </c>
      <c r="G2962" s="4" t="s">
        <v>7040</v>
      </c>
      <c r="H2962" s="306" t="s">
        <v>6952</v>
      </c>
      <c r="I2962" s="432" t="s">
        <v>6954</v>
      </c>
      <c r="K2962" t="s">
        <v>659</v>
      </c>
      <c r="L2962" t="s">
        <v>3224</v>
      </c>
      <c r="M2962"/>
    </row>
    <row r="2963" spans="1:14">
      <c r="A2963" s="5">
        <v>2963</v>
      </c>
      <c r="B2963" t="str">
        <f t="shared" ref="B2963" si="704">MID(G2963,11,2)</f>
        <v>TO</v>
      </c>
      <c r="C2963" t="str">
        <f t="shared" ref="C2963" si="705">MID(G2963,14,2)</f>
        <v>KB</v>
      </c>
      <c r="D2963" t="s">
        <v>4846</v>
      </c>
      <c r="E2963" s="5">
        <v>3</v>
      </c>
      <c r="G2963" s="4" t="s">
        <v>7041</v>
      </c>
      <c r="H2963" s="306" t="s">
        <v>6951</v>
      </c>
      <c r="I2963" s="432" t="s">
        <v>6953</v>
      </c>
      <c r="K2963" t="s">
        <v>659</v>
      </c>
      <c r="L2963" t="s">
        <v>3224</v>
      </c>
      <c r="M2963"/>
    </row>
    <row r="2964" spans="1:14">
      <c r="A2964" s="5">
        <v>2964</v>
      </c>
      <c r="B2964" t="str">
        <f t="shared" ref="B2964:B2965" si="706">MID(G2964,11,2)</f>
        <v>TO</v>
      </c>
      <c r="C2964" t="str">
        <f t="shared" ref="C2964:C2965" si="707">MID(G2964,14,2)</f>
        <v>KB</v>
      </c>
      <c r="D2964" t="s">
        <v>4846</v>
      </c>
      <c r="E2964" s="5">
        <v>3</v>
      </c>
      <c r="G2964" s="4" t="s">
        <v>7041</v>
      </c>
      <c r="H2964" s="306" t="s">
        <v>7008</v>
      </c>
      <c r="I2964" s="432" t="s">
        <v>7009</v>
      </c>
      <c r="K2964" t="s">
        <v>659</v>
      </c>
      <c r="L2964" t="s">
        <v>3224</v>
      </c>
      <c r="M2964"/>
    </row>
    <row r="2965" spans="1:14">
      <c r="A2965" s="5">
        <v>2965</v>
      </c>
      <c r="B2965" t="str">
        <f t="shared" si="706"/>
        <v>TO</v>
      </c>
      <c r="C2965" t="str">
        <f t="shared" si="707"/>
        <v>KB</v>
      </c>
      <c r="D2965" t="s">
        <v>4846</v>
      </c>
      <c r="E2965" s="5">
        <v>3</v>
      </c>
      <c r="G2965" s="4" t="s">
        <v>7041</v>
      </c>
      <c r="H2965" s="306" t="s">
        <v>7024</v>
      </c>
      <c r="I2965" s="432" t="s">
        <v>7023</v>
      </c>
      <c r="K2965" t="s">
        <v>659</v>
      </c>
      <c r="L2965" t="s">
        <v>3224</v>
      </c>
      <c r="M2965"/>
      <c r="N2965" s="282"/>
    </row>
    <row r="2966" spans="1:14">
      <c r="A2966" s="5">
        <v>2966</v>
      </c>
      <c r="B2966" t="str">
        <f>MID(G2966,11,2)</f>
        <v>TO</v>
      </c>
      <c r="C2966" t="str">
        <f>MID(G2966,14,2)</f>
        <v>KB</v>
      </c>
      <c r="D2966" t="s">
        <v>4846</v>
      </c>
      <c r="E2966" s="5">
        <v>3</v>
      </c>
      <c r="G2966" s="4" t="s">
        <v>7042</v>
      </c>
      <c r="H2966" s="306" t="s">
        <v>5605</v>
      </c>
      <c r="I2966" s="432" t="s">
        <v>5606</v>
      </c>
      <c r="K2966" t="s">
        <v>1434</v>
      </c>
      <c r="L2966" t="s">
        <v>3224</v>
      </c>
      <c r="M2966"/>
    </row>
    <row r="2967" spans="1:14">
      <c r="A2967" s="5">
        <v>2967</v>
      </c>
      <c r="B2967" t="str">
        <f t="shared" ref="B2967:B2968" si="708">MID(G2967,11,2)</f>
        <v>TO</v>
      </c>
      <c r="C2967" t="str">
        <f t="shared" ref="C2967:C2968" si="709">MID(G2967,14,2)</f>
        <v>KB</v>
      </c>
      <c r="D2967" t="s">
        <v>4846</v>
      </c>
      <c r="E2967" s="5">
        <v>3</v>
      </c>
      <c r="G2967" s="4" t="s">
        <v>7042</v>
      </c>
      <c r="H2967" s="306" t="s">
        <v>5607</v>
      </c>
      <c r="I2967" s="432" t="s">
        <v>5608</v>
      </c>
      <c r="K2967" t="s">
        <v>1434</v>
      </c>
      <c r="L2967" t="s">
        <v>3224</v>
      </c>
      <c r="M2967"/>
    </row>
    <row r="2968" spans="1:14">
      <c r="A2968" s="5">
        <v>2968</v>
      </c>
      <c r="B2968" t="str">
        <f t="shared" si="708"/>
        <v>TO</v>
      </c>
      <c r="C2968" t="str">
        <f t="shared" si="709"/>
        <v>KB</v>
      </c>
      <c r="D2968" t="s">
        <v>4846</v>
      </c>
      <c r="E2968" s="5">
        <v>3</v>
      </c>
      <c r="G2968" s="4" t="s">
        <v>7042</v>
      </c>
      <c r="H2968" s="306" t="s">
        <v>5609</v>
      </c>
      <c r="I2968" s="432" t="s">
        <v>5610</v>
      </c>
      <c r="K2968" t="s">
        <v>1434</v>
      </c>
      <c r="L2968" t="s">
        <v>3224</v>
      </c>
      <c r="M2968"/>
    </row>
    <row r="2969" spans="1:14">
      <c r="A2969" s="5">
        <v>2969</v>
      </c>
      <c r="B2969" t="str">
        <f>MID(G2969,11,2)</f>
        <v>TO</v>
      </c>
      <c r="C2969" t="str">
        <f>MID(G2969,14,2)</f>
        <v>KB</v>
      </c>
      <c r="D2969" t="s">
        <v>4846</v>
      </c>
      <c r="E2969" s="5">
        <v>3</v>
      </c>
      <c r="G2969" s="4" t="s">
        <v>7043</v>
      </c>
      <c r="H2969" s="306" t="s">
        <v>5611</v>
      </c>
      <c r="I2969" s="432" t="s">
        <v>5612</v>
      </c>
      <c r="K2969" t="s">
        <v>1434</v>
      </c>
      <c r="L2969" t="s">
        <v>3224</v>
      </c>
      <c r="M2969"/>
    </row>
    <row r="2970" spans="1:14">
      <c r="A2970" s="5">
        <v>2970</v>
      </c>
      <c r="B2970" t="str">
        <f t="shared" ref="B2970:B2971" si="710">MID(G2970,11,2)</f>
        <v>TO</v>
      </c>
      <c r="C2970" t="str">
        <f t="shared" ref="C2970:C2971" si="711">MID(G2970,14,2)</f>
        <v>KB</v>
      </c>
      <c r="D2970" t="s">
        <v>4846</v>
      </c>
      <c r="E2970" s="5">
        <v>3</v>
      </c>
      <c r="G2970" s="4" t="s">
        <v>7043</v>
      </c>
      <c r="H2970" s="306" t="s">
        <v>5613</v>
      </c>
      <c r="I2970" s="432" t="s">
        <v>5614</v>
      </c>
      <c r="K2970" t="s">
        <v>1434</v>
      </c>
      <c r="L2970" t="s">
        <v>3224</v>
      </c>
      <c r="M2970"/>
    </row>
    <row r="2971" spans="1:14">
      <c r="A2971" s="5">
        <v>2971</v>
      </c>
      <c r="B2971" t="str">
        <f t="shared" si="710"/>
        <v>TO</v>
      </c>
      <c r="C2971" t="str">
        <f t="shared" si="711"/>
        <v>KB</v>
      </c>
      <c r="D2971" t="s">
        <v>4846</v>
      </c>
      <c r="E2971" s="5">
        <v>3</v>
      </c>
      <c r="G2971" s="4" t="s">
        <v>7043</v>
      </c>
      <c r="H2971" s="306" t="s">
        <v>5615</v>
      </c>
      <c r="I2971" s="432" t="s">
        <v>5616</v>
      </c>
      <c r="K2971" t="s">
        <v>1434</v>
      </c>
      <c r="L2971" t="s">
        <v>3224</v>
      </c>
      <c r="M2971"/>
    </row>
    <row r="2972" spans="1:14" ht="21.6">
      <c r="A2972" s="5">
        <v>2972</v>
      </c>
      <c r="B2972" t="str">
        <f t="shared" ref="B2972:B2980" si="712">MID(G2972,11,2)</f>
        <v>TO</v>
      </c>
      <c r="C2972" t="str">
        <f t="shared" ref="C2972:C2980" si="713">MID(G2972,14,2)</f>
        <v>KB</v>
      </c>
      <c r="D2972" t="s">
        <v>4846</v>
      </c>
      <c r="E2972" s="5">
        <v>3</v>
      </c>
      <c r="G2972" s="4" t="s">
        <v>7044</v>
      </c>
      <c r="H2972" s="313" t="s">
        <v>7006</v>
      </c>
      <c r="I2972" s="432" t="s">
        <v>7007</v>
      </c>
      <c r="K2972" t="s">
        <v>1434</v>
      </c>
      <c r="L2972" t="s">
        <v>3224</v>
      </c>
      <c r="M2972"/>
    </row>
    <row r="2973" spans="1:14" ht="21.6">
      <c r="A2973" s="5">
        <v>2973</v>
      </c>
      <c r="B2973" t="str">
        <f t="shared" si="712"/>
        <v>TO</v>
      </c>
      <c r="C2973" t="str">
        <f t="shared" si="713"/>
        <v>KB</v>
      </c>
      <c r="D2973" t="s">
        <v>4846</v>
      </c>
      <c r="E2973" s="5">
        <v>3</v>
      </c>
      <c r="G2973" s="4" t="s">
        <v>7044</v>
      </c>
      <c r="H2973" s="313" t="s">
        <v>2246</v>
      </c>
      <c r="I2973" s="432" t="s">
        <v>2247</v>
      </c>
      <c r="K2973" t="s">
        <v>659</v>
      </c>
      <c r="L2973" t="s">
        <v>3224</v>
      </c>
      <c r="M2973"/>
    </row>
    <row r="2974" spans="1:14">
      <c r="A2974" s="5">
        <v>2974</v>
      </c>
      <c r="B2974" t="str">
        <f t="shared" si="712"/>
        <v>TO</v>
      </c>
      <c r="C2974" t="str">
        <f t="shared" si="713"/>
        <v>KB</v>
      </c>
      <c r="D2974" t="s">
        <v>4846</v>
      </c>
      <c r="E2974" s="5">
        <v>3</v>
      </c>
      <c r="G2974" s="4" t="s">
        <v>7044</v>
      </c>
      <c r="H2974" s="306" t="s">
        <v>5636</v>
      </c>
      <c r="I2974" s="432" t="s">
        <v>6925</v>
      </c>
      <c r="K2974" t="s">
        <v>659</v>
      </c>
      <c r="L2974" t="s">
        <v>3224</v>
      </c>
      <c r="M2974"/>
    </row>
    <row r="2975" spans="1:14">
      <c r="A2975" s="5">
        <v>2975</v>
      </c>
      <c r="B2975" t="str">
        <f t="shared" si="712"/>
        <v>TO</v>
      </c>
      <c r="C2975" t="str">
        <f t="shared" si="713"/>
        <v>KB</v>
      </c>
      <c r="D2975" t="s">
        <v>4846</v>
      </c>
      <c r="E2975" s="5">
        <v>3</v>
      </c>
      <c r="G2975" s="4" t="s">
        <v>7044</v>
      </c>
      <c r="H2975" s="306" t="s">
        <v>6046</v>
      </c>
      <c r="I2975" s="432" t="s">
        <v>6047</v>
      </c>
      <c r="K2975" t="s">
        <v>659</v>
      </c>
      <c r="L2975" t="s">
        <v>3224</v>
      </c>
      <c r="M2975"/>
    </row>
    <row r="2976" spans="1:14">
      <c r="A2976" s="5">
        <v>2976</v>
      </c>
      <c r="B2976" t="str">
        <f t="shared" si="712"/>
        <v>TO</v>
      </c>
      <c r="C2976" t="str">
        <f t="shared" si="713"/>
        <v>KB</v>
      </c>
      <c r="D2976" t="s">
        <v>4846</v>
      </c>
      <c r="E2976" s="5">
        <v>3</v>
      </c>
      <c r="G2976" s="4" t="s">
        <v>7044</v>
      </c>
      <c r="H2976" s="306" t="s">
        <v>6048</v>
      </c>
      <c r="I2976" s="432" t="s">
        <v>6049</v>
      </c>
      <c r="K2976" t="s">
        <v>1434</v>
      </c>
      <c r="L2976" t="s">
        <v>3224</v>
      </c>
      <c r="M2976"/>
    </row>
    <row r="2977" spans="1:13">
      <c r="A2977" s="5">
        <v>2977</v>
      </c>
      <c r="B2977" t="str">
        <f t="shared" si="712"/>
        <v>TO</v>
      </c>
      <c r="C2977" t="str">
        <f t="shared" si="713"/>
        <v>KB</v>
      </c>
      <c r="D2977" t="s">
        <v>4846</v>
      </c>
      <c r="E2977" s="5">
        <v>3</v>
      </c>
      <c r="G2977" s="4" t="s">
        <v>7045</v>
      </c>
      <c r="H2977" s="306" t="s">
        <v>6050</v>
      </c>
      <c r="I2977" s="432" t="s">
        <v>6051</v>
      </c>
      <c r="K2977" t="s">
        <v>659</v>
      </c>
      <c r="L2977" t="s">
        <v>3224</v>
      </c>
      <c r="M2977"/>
    </row>
    <row r="2978" spans="1:13">
      <c r="A2978" s="5">
        <v>2978</v>
      </c>
      <c r="B2978" t="str">
        <f t="shared" si="712"/>
        <v>TO</v>
      </c>
      <c r="C2978" t="str">
        <f t="shared" si="713"/>
        <v>KB</v>
      </c>
      <c r="D2978" t="s">
        <v>4846</v>
      </c>
      <c r="E2978" s="5">
        <v>3</v>
      </c>
      <c r="G2978" s="4" t="s">
        <v>7045</v>
      </c>
      <c r="H2978" s="306" t="s">
        <v>6052</v>
      </c>
      <c r="I2978" s="432" t="s">
        <v>6053</v>
      </c>
      <c r="K2978" t="s">
        <v>659</v>
      </c>
      <c r="L2978" t="s">
        <v>3224</v>
      </c>
      <c r="M2978"/>
    </row>
    <row r="2979" spans="1:13">
      <c r="A2979" s="5">
        <v>2979</v>
      </c>
      <c r="B2979" t="str">
        <f t="shared" si="712"/>
        <v>TO</v>
      </c>
      <c r="C2979" t="str">
        <f t="shared" si="713"/>
        <v>KB</v>
      </c>
      <c r="D2979" t="s">
        <v>4846</v>
      </c>
      <c r="E2979" s="5">
        <v>3</v>
      </c>
      <c r="G2979" s="4" t="s">
        <v>7045</v>
      </c>
      <c r="H2979" s="306" t="s">
        <v>6054</v>
      </c>
      <c r="I2979" s="432" t="s">
        <v>6055</v>
      </c>
      <c r="K2979" t="s">
        <v>659</v>
      </c>
      <c r="L2979" t="s">
        <v>3224</v>
      </c>
      <c r="M2979"/>
    </row>
    <row r="2980" spans="1:13">
      <c r="A2980" s="5">
        <v>2980</v>
      </c>
      <c r="B2980" t="str">
        <f t="shared" si="712"/>
        <v>TO</v>
      </c>
      <c r="C2980" t="str">
        <f t="shared" si="713"/>
        <v>KB</v>
      </c>
      <c r="D2980" t="s">
        <v>4846</v>
      </c>
      <c r="E2980" s="5">
        <v>3</v>
      </c>
      <c r="G2980" s="4" t="s">
        <v>7045</v>
      </c>
      <c r="H2980" s="306" t="s">
        <v>6056</v>
      </c>
      <c r="I2980" s="432" t="s">
        <v>6057</v>
      </c>
      <c r="K2980" t="s">
        <v>659</v>
      </c>
      <c r="L2980" t="s">
        <v>3224</v>
      </c>
      <c r="M2980"/>
    </row>
    <row r="2981" spans="1:13">
      <c r="A2981" s="5">
        <v>2981</v>
      </c>
      <c r="B2981" t="str">
        <f t="shared" ref="B2981:B2986" si="714">MID(G2981,11,2)</f>
        <v>TO</v>
      </c>
      <c r="C2981" t="str">
        <f t="shared" ref="C2981:C2986" si="715">MID(G2981,14,2)</f>
        <v>KB</v>
      </c>
      <c r="D2981" t="s">
        <v>4846</v>
      </c>
      <c r="E2981" s="5">
        <v>3</v>
      </c>
      <c r="G2981" s="4" t="s">
        <v>7047</v>
      </c>
      <c r="H2981" s="306" t="s">
        <v>6058</v>
      </c>
      <c r="I2981" s="432" t="s">
        <v>6059</v>
      </c>
      <c r="K2981" t="s">
        <v>659</v>
      </c>
      <c r="L2981" t="s">
        <v>3224</v>
      </c>
      <c r="M2981"/>
    </row>
    <row r="2982" spans="1:13">
      <c r="A2982" s="5">
        <v>2982</v>
      </c>
      <c r="B2982" t="str">
        <f t="shared" si="714"/>
        <v>TO</v>
      </c>
      <c r="C2982" t="str">
        <f t="shared" si="715"/>
        <v>KB</v>
      </c>
      <c r="D2982" t="s">
        <v>4846</v>
      </c>
      <c r="E2982" s="5">
        <v>3</v>
      </c>
      <c r="G2982" s="4" t="s">
        <v>7046</v>
      </c>
      <c r="H2982" s="4" t="s">
        <v>6060</v>
      </c>
      <c r="I2982" s="432" t="s">
        <v>6061</v>
      </c>
      <c r="K2982" t="s">
        <v>659</v>
      </c>
      <c r="L2982" t="s">
        <v>3224</v>
      </c>
      <c r="M2982"/>
    </row>
    <row r="2983" spans="1:13">
      <c r="A2983" s="5">
        <v>2983</v>
      </c>
      <c r="B2983" t="str">
        <f t="shared" si="714"/>
        <v>TO</v>
      </c>
      <c r="C2983" t="str">
        <f t="shared" si="715"/>
        <v>KB</v>
      </c>
      <c r="D2983" t="s">
        <v>4846</v>
      </c>
      <c r="E2983" s="5">
        <v>3</v>
      </c>
      <c r="G2983" s="4" t="s">
        <v>7046</v>
      </c>
      <c r="H2983" s="4" t="s">
        <v>6062</v>
      </c>
      <c r="I2983" s="432" t="s">
        <v>6063</v>
      </c>
      <c r="K2983" t="s">
        <v>659</v>
      </c>
      <c r="L2983" t="s">
        <v>3224</v>
      </c>
      <c r="M2983"/>
    </row>
    <row r="2984" spans="1:13">
      <c r="A2984" s="5">
        <v>2984</v>
      </c>
      <c r="B2984" t="str">
        <f t="shared" si="714"/>
        <v>TO</v>
      </c>
      <c r="C2984" t="str">
        <f t="shared" si="715"/>
        <v>KB</v>
      </c>
      <c r="D2984" t="s">
        <v>4846</v>
      </c>
      <c r="E2984" s="5">
        <v>3</v>
      </c>
      <c r="G2984" s="4" t="s">
        <v>7046</v>
      </c>
      <c r="H2984" s="4" t="s">
        <v>6064</v>
      </c>
      <c r="I2984" s="432" t="s">
        <v>6065</v>
      </c>
      <c r="K2984" t="s">
        <v>659</v>
      </c>
      <c r="L2984" t="s">
        <v>3224</v>
      </c>
      <c r="M2984"/>
    </row>
    <row r="2985" spans="1:13">
      <c r="A2985" s="5">
        <v>2985</v>
      </c>
      <c r="B2985" t="str">
        <f t="shared" si="714"/>
        <v>TO</v>
      </c>
      <c r="C2985" t="str">
        <f t="shared" si="715"/>
        <v>KB</v>
      </c>
      <c r="D2985" t="s">
        <v>4846</v>
      </c>
      <c r="E2985" s="5">
        <v>3</v>
      </c>
      <c r="G2985" s="4" t="s">
        <v>7046</v>
      </c>
      <c r="H2985" s="306" t="s">
        <v>1699</v>
      </c>
      <c r="I2985" s="432" t="s">
        <v>6066</v>
      </c>
      <c r="K2985" t="s">
        <v>659</v>
      </c>
      <c r="L2985" t="s">
        <v>3224</v>
      </c>
      <c r="M2985"/>
    </row>
    <row r="2986" spans="1:13">
      <c r="A2986" s="5">
        <v>2986</v>
      </c>
      <c r="B2986" t="str">
        <f t="shared" si="714"/>
        <v>TO</v>
      </c>
      <c r="C2986" t="str">
        <f t="shared" si="715"/>
        <v>KB</v>
      </c>
      <c r="D2986" t="s">
        <v>4846</v>
      </c>
      <c r="E2986" s="5">
        <v>3</v>
      </c>
      <c r="G2986" s="4" t="s">
        <v>7046</v>
      </c>
      <c r="H2986" s="306" t="s">
        <v>6067</v>
      </c>
      <c r="I2986" s="432" t="s">
        <v>6068</v>
      </c>
      <c r="K2986" t="s">
        <v>659</v>
      </c>
      <c r="L2986" t="s">
        <v>3224</v>
      </c>
      <c r="M2986"/>
    </row>
    <row r="2987" spans="1:13" ht="36">
      <c r="A2987" s="5">
        <v>2987</v>
      </c>
      <c r="B2987" t="str">
        <f>MID(G2987,11,2)</f>
        <v>TO</v>
      </c>
      <c r="C2987" t="str">
        <f>MID(G2987,14,2)</f>
        <v>KB</v>
      </c>
      <c r="D2987" t="s">
        <v>4846</v>
      </c>
      <c r="E2987" s="5">
        <v>1</v>
      </c>
      <c r="F2987" t="s">
        <v>561</v>
      </c>
      <c r="G2987" s="4" t="s">
        <v>7083</v>
      </c>
      <c r="H2987" s="306" t="s">
        <v>7049</v>
      </c>
      <c r="I2987" s="432" t="s">
        <v>7052</v>
      </c>
      <c r="K2987" t="s">
        <v>1434</v>
      </c>
      <c r="L2987" t="s">
        <v>3224</v>
      </c>
      <c r="M2987"/>
    </row>
    <row r="2988" spans="1:13" ht="36">
      <c r="A2988" s="5">
        <v>2988</v>
      </c>
      <c r="B2988" t="str">
        <f>MID(G2990,11,2)</f>
        <v>TO</v>
      </c>
      <c r="C2988" t="str">
        <f>MID(G2990,14,2)</f>
        <v>KB</v>
      </c>
      <c r="D2988" t="s">
        <v>4846</v>
      </c>
      <c r="E2988" s="5">
        <v>1</v>
      </c>
      <c r="F2988" t="s">
        <v>561</v>
      </c>
      <c r="G2988" s="4" t="s">
        <v>7080</v>
      </c>
      <c r="H2988" s="306" t="s">
        <v>7077</v>
      </c>
      <c r="I2988" s="432" t="s">
        <v>7053</v>
      </c>
      <c r="K2988" t="s">
        <v>1434</v>
      </c>
      <c r="L2988" t="s">
        <v>3224</v>
      </c>
      <c r="M2988"/>
    </row>
    <row r="2989" spans="1:13" ht="36">
      <c r="A2989" s="5">
        <v>2989</v>
      </c>
      <c r="B2989" t="str">
        <f>MID(G2993,11,2)</f>
        <v>TO</v>
      </c>
      <c r="C2989" t="str">
        <f>MID(G2993,14,2)</f>
        <v>KB</v>
      </c>
      <c r="D2989" t="s">
        <v>4846</v>
      </c>
      <c r="E2989" s="5">
        <v>1</v>
      </c>
      <c r="F2989" t="s">
        <v>561</v>
      </c>
      <c r="G2989" s="4" t="s">
        <v>7080</v>
      </c>
      <c r="H2989" s="306" t="s">
        <v>7078</v>
      </c>
      <c r="I2989" s="432" t="s">
        <v>7054</v>
      </c>
      <c r="K2989" t="s">
        <v>1434</v>
      </c>
      <c r="L2989" t="s">
        <v>3224</v>
      </c>
      <c r="M2989"/>
    </row>
    <row r="2990" spans="1:13" ht="36">
      <c r="A2990" s="5">
        <v>2990</v>
      </c>
      <c r="B2990" t="e">
        <f>MID(#REF!,11,2)</f>
        <v>#REF!</v>
      </c>
      <c r="C2990" t="e">
        <f>MID(#REF!,14,2)</f>
        <v>#REF!</v>
      </c>
      <c r="D2990" t="s">
        <v>4846</v>
      </c>
      <c r="E2990" s="5">
        <v>1</v>
      </c>
      <c r="F2990" t="s">
        <v>561</v>
      </c>
      <c r="G2990" s="4" t="s">
        <v>7081</v>
      </c>
      <c r="H2990" s="306" t="s">
        <v>7051</v>
      </c>
      <c r="I2990" s="432" t="s">
        <v>3639</v>
      </c>
      <c r="K2990" t="s">
        <v>659</v>
      </c>
      <c r="L2990" t="s">
        <v>3224</v>
      </c>
      <c r="M2990"/>
    </row>
    <row r="2991" spans="1:13" ht="36">
      <c r="A2991" s="5">
        <v>2991</v>
      </c>
      <c r="B2991" t="e">
        <f>MID(#REF!,11,2)</f>
        <v>#REF!</v>
      </c>
      <c r="C2991" t="e">
        <f>MID(#REF!,14,2)</f>
        <v>#REF!</v>
      </c>
      <c r="D2991" t="s">
        <v>4846</v>
      </c>
      <c r="E2991" s="5">
        <v>1</v>
      </c>
      <c r="F2991" t="s">
        <v>561</v>
      </c>
      <c r="G2991" s="4" t="s">
        <v>7081</v>
      </c>
      <c r="H2991" s="306" t="s">
        <v>7050</v>
      </c>
      <c r="I2991" s="432" t="s">
        <v>5200</v>
      </c>
      <c r="K2991" t="s">
        <v>659</v>
      </c>
      <c r="L2991" t="s">
        <v>3224</v>
      </c>
      <c r="M2991"/>
    </row>
    <row r="2992" spans="1:13" ht="36">
      <c r="A2992" s="5">
        <v>2992</v>
      </c>
      <c r="B2992" t="str">
        <f t="shared" ref="B2992:B2994" si="716">MID(G2992,11,2)</f>
        <v>TO</v>
      </c>
      <c r="C2992" t="str">
        <f t="shared" ref="C2992:C2994" si="717">MID(G2992,14,2)</f>
        <v>KB</v>
      </c>
      <c r="D2992" t="s">
        <v>4846</v>
      </c>
      <c r="E2992" s="5">
        <v>1</v>
      </c>
      <c r="F2992" t="s">
        <v>561</v>
      </c>
      <c r="G2992" s="4" t="s">
        <v>7081</v>
      </c>
      <c r="H2992" s="306" t="s">
        <v>3974</v>
      </c>
      <c r="I2992" s="432" t="s">
        <v>3975</v>
      </c>
      <c r="K2992" t="s">
        <v>659</v>
      </c>
      <c r="L2992" t="s">
        <v>3224</v>
      </c>
      <c r="M2992"/>
    </row>
    <row r="2993" spans="1:13" ht="36">
      <c r="A2993" s="5">
        <v>2993</v>
      </c>
      <c r="B2993" t="e">
        <f>MID(#REF!,11,2)</f>
        <v>#REF!</v>
      </c>
      <c r="C2993" t="e">
        <f>MID(#REF!,14,2)</f>
        <v>#REF!</v>
      </c>
      <c r="D2993" t="s">
        <v>4846</v>
      </c>
      <c r="E2993" s="5">
        <v>1</v>
      </c>
      <c r="F2993" t="s">
        <v>561</v>
      </c>
      <c r="G2993" s="4" t="s">
        <v>7082</v>
      </c>
      <c r="H2993" s="306" t="s">
        <v>3991</v>
      </c>
      <c r="I2993" s="432" t="s">
        <v>3992</v>
      </c>
      <c r="K2993" t="s">
        <v>659</v>
      </c>
      <c r="L2993" t="s">
        <v>3224</v>
      </c>
      <c r="M2993"/>
    </row>
    <row r="2994" spans="1:13" ht="36">
      <c r="A2994" s="5">
        <v>2994</v>
      </c>
      <c r="B2994" t="str">
        <f t="shared" si="716"/>
        <v>TO</v>
      </c>
      <c r="C2994" t="str">
        <f t="shared" si="717"/>
        <v>KB</v>
      </c>
      <c r="D2994" t="s">
        <v>4846</v>
      </c>
      <c r="E2994" s="5">
        <v>1</v>
      </c>
      <c r="F2994" t="s">
        <v>561</v>
      </c>
      <c r="G2994" s="4" t="s">
        <v>7082</v>
      </c>
      <c r="H2994" s="306" t="s">
        <v>3269</v>
      </c>
      <c r="I2994" s="432" t="s">
        <v>3270</v>
      </c>
      <c r="K2994" t="s">
        <v>659</v>
      </c>
      <c r="L2994" t="s">
        <v>3224</v>
      </c>
      <c r="M2994"/>
    </row>
    <row r="2995" spans="1:13" ht="36">
      <c r="A2995" s="5">
        <v>2995</v>
      </c>
      <c r="B2995" t="str">
        <f>MID(G2995,11,2)</f>
        <v>TO</v>
      </c>
      <c r="C2995" t="str">
        <f>MID(G2995,14,2)</f>
        <v>Do</v>
      </c>
      <c r="D2995" t="s">
        <v>4821</v>
      </c>
      <c r="E2995" s="5">
        <v>2</v>
      </c>
      <c r="G2995" s="4" t="s">
        <v>7068</v>
      </c>
      <c r="H2995" s="306" t="s">
        <v>7069</v>
      </c>
      <c r="I2995" s="432" t="s">
        <v>3881</v>
      </c>
      <c r="K2995" t="s">
        <v>2841</v>
      </c>
      <c r="L2995" t="s">
        <v>3224</v>
      </c>
      <c r="M2995"/>
    </row>
    <row r="2996" spans="1:13" ht="36">
      <c r="A2996" s="5">
        <v>2996</v>
      </c>
      <c r="B2996" t="str">
        <f>MID(G2996,11,2)</f>
        <v>TO</v>
      </c>
      <c r="C2996" t="str">
        <f>MID(G2996,14,2)</f>
        <v>KB</v>
      </c>
      <c r="D2996" t="s">
        <v>4821</v>
      </c>
      <c r="E2996" s="5">
        <v>1</v>
      </c>
      <c r="G2996" s="4" t="s">
        <v>7072</v>
      </c>
      <c r="H2996" s="306" t="s">
        <v>7056</v>
      </c>
      <c r="I2996" s="432" t="s">
        <v>7057</v>
      </c>
      <c r="K2996" t="s">
        <v>1434</v>
      </c>
      <c r="L2996" t="s">
        <v>3224</v>
      </c>
      <c r="M2996"/>
    </row>
    <row r="2997" spans="1:13">
      <c r="A2997" s="5">
        <v>2997</v>
      </c>
      <c r="B2997" t="str">
        <f>MID(G2997,11,2)</f>
        <v>TO</v>
      </c>
      <c r="C2997" t="str">
        <f>MID(G2997,14,2)</f>
        <v>KB</v>
      </c>
      <c r="D2997" t="s">
        <v>4821</v>
      </c>
      <c r="E2997" s="5">
        <v>3</v>
      </c>
      <c r="G2997" s="4" t="s">
        <v>7076</v>
      </c>
      <c r="H2997" s="306" t="s">
        <v>7055</v>
      </c>
      <c r="I2997" s="432" t="s">
        <v>4750</v>
      </c>
      <c r="K2997" t="s">
        <v>659</v>
      </c>
      <c r="L2997" t="s">
        <v>3224</v>
      </c>
      <c r="M2997"/>
    </row>
    <row r="2998" spans="1:13" ht="36">
      <c r="A2998" s="5">
        <v>2998</v>
      </c>
      <c r="B2998" t="str">
        <f t="shared" ref="B2998:B3002" si="718">MID(G2998,11,2)</f>
        <v>TO</v>
      </c>
      <c r="C2998" t="str">
        <f t="shared" ref="C2998:C3002" si="719">MID(G2998,14,2)</f>
        <v>KB</v>
      </c>
      <c r="D2998" t="s">
        <v>4821</v>
      </c>
      <c r="E2998" s="5">
        <v>3</v>
      </c>
      <c r="G2998" s="4" t="s">
        <v>7076</v>
      </c>
      <c r="H2998" s="306" t="s">
        <v>7058</v>
      </c>
      <c r="I2998" s="432" t="s">
        <v>7059</v>
      </c>
      <c r="K2998" t="s">
        <v>1434</v>
      </c>
      <c r="L2998" t="s">
        <v>3224</v>
      </c>
      <c r="M2998"/>
    </row>
    <row r="2999" spans="1:13">
      <c r="A2999" s="5">
        <v>2999</v>
      </c>
      <c r="B2999" t="str">
        <f t="shared" si="718"/>
        <v>TO</v>
      </c>
      <c r="C2999" t="str">
        <f t="shared" si="719"/>
        <v>KB</v>
      </c>
      <c r="D2999" t="s">
        <v>4821</v>
      </c>
      <c r="E2999" s="5">
        <v>3</v>
      </c>
      <c r="G2999" s="4" t="s">
        <v>7076</v>
      </c>
      <c r="H2999" s="306" t="s">
        <v>7060</v>
      </c>
      <c r="I2999" s="432" t="s">
        <v>5649</v>
      </c>
      <c r="K2999" t="s">
        <v>659</v>
      </c>
      <c r="L2999" t="s">
        <v>3224</v>
      </c>
      <c r="M2999"/>
    </row>
    <row r="3000" spans="1:13">
      <c r="A3000" s="5">
        <v>3000</v>
      </c>
      <c r="B3000" t="str">
        <f t="shared" si="718"/>
        <v>TO</v>
      </c>
      <c r="C3000" t="str">
        <f t="shared" si="719"/>
        <v>KB</v>
      </c>
      <c r="D3000" t="s">
        <v>4821</v>
      </c>
      <c r="E3000" s="5">
        <v>3</v>
      </c>
      <c r="G3000" s="4" t="s">
        <v>7076</v>
      </c>
      <c r="H3000" s="306" t="s">
        <v>7061</v>
      </c>
      <c r="I3000" s="432" t="s">
        <v>5646</v>
      </c>
      <c r="K3000" t="s">
        <v>659</v>
      </c>
      <c r="L3000" t="s">
        <v>3224</v>
      </c>
      <c r="M3000"/>
    </row>
    <row r="3001" spans="1:13">
      <c r="A3001" s="5">
        <v>3001</v>
      </c>
      <c r="B3001" t="str">
        <f t="shared" si="718"/>
        <v>TO</v>
      </c>
      <c r="C3001" t="str">
        <f t="shared" si="719"/>
        <v>KB</v>
      </c>
      <c r="D3001" t="s">
        <v>4821</v>
      </c>
      <c r="E3001" s="5">
        <v>3</v>
      </c>
      <c r="G3001" s="4" t="s">
        <v>7076</v>
      </c>
      <c r="H3001" s="306" t="s">
        <v>7062</v>
      </c>
      <c r="I3001" s="432" t="s">
        <v>5647</v>
      </c>
      <c r="K3001" t="s">
        <v>659</v>
      </c>
      <c r="L3001" t="s">
        <v>3224</v>
      </c>
      <c r="M3001"/>
    </row>
    <row r="3002" spans="1:13">
      <c r="A3002" s="5">
        <v>3002</v>
      </c>
      <c r="B3002" t="str">
        <f t="shared" si="718"/>
        <v>TO</v>
      </c>
      <c r="C3002" t="str">
        <f t="shared" si="719"/>
        <v>KB</v>
      </c>
      <c r="D3002" t="s">
        <v>4821</v>
      </c>
      <c r="E3002" s="5">
        <v>3</v>
      </c>
      <c r="G3002" s="4" t="s">
        <v>7076</v>
      </c>
      <c r="H3002" s="306" t="s">
        <v>5710</v>
      </c>
      <c r="I3002" s="432" t="s">
        <v>7063</v>
      </c>
      <c r="K3002" t="s">
        <v>659</v>
      </c>
      <c r="L3002" t="s">
        <v>3224</v>
      </c>
      <c r="M3002"/>
    </row>
    <row r="3003" spans="1:13">
      <c r="A3003" s="5">
        <v>3003</v>
      </c>
      <c r="B3003" t="str">
        <f>MID(G3003,11,2)</f>
        <v>TO</v>
      </c>
      <c r="C3003" t="str">
        <f>MID(G3003,14,2)</f>
        <v>KB</v>
      </c>
      <c r="D3003" t="s">
        <v>4821</v>
      </c>
      <c r="E3003" s="5">
        <v>2</v>
      </c>
      <c r="G3003" s="4" t="s">
        <v>7129</v>
      </c>
      <c r="H3003" s="306" t="s">
        <v>7064</v>
      </c>
      <c r="I3003" s="432" t="s">
        <v>7065</v>
      </c>
      <c r="K3003" t="s">
        <v>659</v>
      </c>
      <c r="L3003" t="s">
        <v>3224</v>
      </c>
      <c r="M3003"/>
    </row>
    <row r="3004" spans="1:13">
      <c r="A3004" s="5">
        <v>3004</v>
      </c>
      <c r="B3004" t="str">
        <f>MID(G3004,11,2)</f>
        <v>TO</v>
      </c>
      <c r="C3004" t="str">
        <f>MID(G3004,14,2)</f>
        <v>KB</v>
      </c>
      <c r="D3004" t="s">
        <v>4821</v>
      </c>
      <c r="E3004" s="5">
        <v>2</v>
      </c>
      <c r="G3004" s="4" t="s">
        <v>7087</v>
      </c>
      <c r="H3004" s="306" t="s">
        <v>4153</v>
      </c>
      <c r="I3004" s="432" t="s">
        <v>6968</v>
      </c>
      <c r="K3004" t="s">
        <v>659</v>
      </c>
      <c r="L3004" t="s">
        <v>3224</v>
      </c>
      <c r="M3004"/>
    </row>
    <row r="3005" spans="1:13">
      <c r="A3005" s="5">
        <v>3005</v>
      </c>
      <c r="B3005" t="str">
        <f>MID(G3005,11,2)</f>
        <v>TO</v>
      </c>
      <c r="C3005" t="str">
        <f>MID(G3005,14,2)</f>
        <v>KB</v>
      </c>
      <c r="D3005" t="s">
        <v>4821</v>
      </c>
      <c r="E3005" s="5">
        <v>3</v>
      </c>
      <c r="G3005" s="4" t="s">
        <v>7088</v>
      </c>
      <c r="H3005" s="306" t="s">
        <v>7130</v>
      </c>
      <c r="I3005" s="432" t="s">
        <v>6069</v>
      </c>
      <c r="K3005" t="s">
        <v>659</v>
      </c>
      <c r="L3005" t="s">
        <v>3224</v>
      </c>
      <c r="M3005"/>
    </row>
    <row r="3006" spans="1:13">
      <c r="A3006" s="5">
        <v>3006</v>
      </c>
      <c r="B3006" t="str">
        <f>MID(G3006,11,2)</f>
        <v>TO</v>
      </c>
      <c r="C3006" t="str">
        <f>MID(G3006,14,2)</f>
        <v>KB</v>
      </c>
      <c r="D3006" t="s">
        <v>4821</v>
      </c>
      <c r="E3006" s="5">
        <v>3</v>
      </c>
      <c r="G3006" s="4" t="s">
        <v>7088</v>
      </c>
      <c r="H3006" s="306" t="s">
        <v>7086</v>
      </c>
      <c r="I3006" s="432" t="s">
        <v>6948</v>
      </c>
      <c r="K3006" t="s">
        <v>659</v>
      </c>
      <c r="L3006" t="s">
        <v>3224</v>
      </c>
      <c r="M3006"/>
    </row>
    <row r="3007" spans="1:13">
      <c r="A3007" s="5">
        <v>3007</v>
      </c>
      <c r="B3007" t="str">
        <f t="shared" ref="B3007:B3014" si="720">MID(G3007,11,2)</f>
        <v>TO</v>
      </c>
      <c r="C3007" t="str">
        <f t="shared" ref="C3007:C3014" si="721">MID(G3007,14,2)</f>
        <v>KB</v>
      </c>
      <c r="D3007" t="s">
        <v>4821</v>
      </c>
      <c r="E3007" s="5">
        <v>3</v>
      </c>
      <c r="G3007" s="4" t="s">
        <v>7141</v>
      </c>
      <c r="H3007" s="306" t="s">
        <v>7085</v>
      </c>
      <c r="I3007" s="432" t="s">
        <v>5617</v>
      </c>
      <c r="K3007" t="s">
        <v>1434</v>
      </c>
      <c r="L3007" t="s">
        <v>3224</v>
      </c>
      <c r="M3007"/>
    </row>
    <row r="3008" spans="1:13">
      <c r="A3008" s="5">
        <v>3008</v>
      </c>
      <c r="B3008" t="str">
        <f t="shared" si="720"/>
        <v>TO</v>
      </c>
      <c r="C3008" t="str">
        <f t="shared" si="721"/>
        <v>KB</v>
      </c>
      <c r="D3008" t="s">
        <v>4821</v>
      </c>
      <c r="E3008" s="5">
        <v>3</v>
      </c>
      <c r="G3008" s="4" t="s">
        <v>7089</v>
      </c>
      <c r="H3008" s="306" t="s">
        <v>5618</v>
      </c>
      <c r="I3008" s="432" t="s">
        <v>5619</v>
      </c>
      <c r="K3008" t="s">
        <v>1434</v>
      </c>
      <c r="L3008" t="s">
        <v>3224</v>
      </c>
      <c r="M3008"/>
    </row>
    <row r="3009" spans="1:13">
      <c r="A3009" s="5">
        <v>3009</v>
      </c>
      <c r="B3009" t="str">
        <f t="shared" si="720"/>
        <v>TO</v>
      </c>
      <c r="C3009" t="str">
        <f t="shared" si="721"/>
        <v>KB</v>
      </c>
      <c r="D3009" t="s">
        <v>4821</v>
      </c>
      <c r="E3009" s="5">
        <v>3</v>
      </c>
      <c r="G3009" s="4" t="s">
        <v>7089</v>
      </c>
      <c r="H3009" s="306" t="s">
        <v>6949</v>
      </c>
      <c r="I3009" s="432" t="s">
        <v>6950</v>
      </c>
      <c r="K3009" t="s">
        <v>1434</v>
      </c>
      <c r="L3009" t="s">
        <v>3224</v>
      </c>
      <c r="M3009"/>
    </row>
    <row r="3010" spans="1:13" ht="21.6">
      <c r="A3010" s="5">
        <v>3010</v>
      </c>
      <c r="B3010" t="str">
        <f t="shared" si="720"/>
        <v>TO</v>
      </c>
      <c r="C3010" t="str">
        <f t="shared" si="721"/>
        <v>KB</v>
      </c>
      <c r="D3010" t="s">
        <v>4821</v>
      </c>
      <c r="E3010" s="5">
        <v>3</v>
      </c>
      <c r="G3010" s="4" t="s">
        <v>7089</v>
      </c>
      <c r="H3010" s="313" t="s">
        <v>5961</v>
      </c>
      <c r="I3010" s="432" t="s">
        <v>5962</v>
      </c>
      <c r="K3010" t="s">
        <v>1434</v>
      </c>
      <c r="L3010" t="s">
        <v>3224</v>
      </c>
      <c r="M3010"/>
    </row>
    <row r="3011" spans="1:13" ht="21.6">
      <c r="A3011" s="5">
        <v>3011</v>
      </c>
      <c r="B3011" t="str">
        <f t="shared" si="720"/>
        <v>TO</v>
      </c>
      <c r="C3011" t="str">
        <f t="shared" si="721"/>
        <v>KB</v>
      </c>
      <c r="D3011" t="s">
        <v>4821</v>
      </c>
      <c r="E3011" s="5">
        <v>3</v>
      </c>
      <c r="G3011" s="4" t="s">
        <v>7089</v>
      </c>
      <c r="H3011" s="313" t="s">
        <v>5976</v>
      </c>
      <c r="I3011" s="432" t="s">
        <v>5977</v>
      </c>
      <c r="K3011" t="s">
        <v>1434</v>
      </c>
      <c r="L3011" t="s">
        <v>3224</v>
      </c>
      <c r="M3011"/>
    </row>
    <row r="3012" spans="1:13" ht="43.2">
      <c r="A3012" s="5">
        <v>3012</v>
      </c>
      <c r="B3012" t="str">
        <f t="shared" si="720"/>
        <v>TO</v>
      </c>
      <c r="C3012" t="str">
        <f t="shared" si="721"/>
        <v>KB</v>
      </c>
      <c r="D3012" t="s">
        <v>4821</v>
      </c>
      <c r="E3012" s="5">
        <v>3</v>
      </c>
      <c r="G3012" s="4" t="s">
        <v>7089</v>
      </c>
      <c r="H3012" s="313" t="s">
        <v>992</v>
      </c>
      <c r="I3012" s="432" t="s">
        <v>5928</v>
      </c>
      <c r="K3012" t="s">
        <v>1434</v>
      </c>
      <c r="L3012" t="s">
        <v>3224</v>
      </c>
      <c r="M3012"/>
    </row>
    <row r="3013" spans="1:13" ht="21.6">
      <c r="A3013" s="5">
        <v>3013</v>
      </c>
      <c r="B3013" t="str">
        <f t="shared" si="720"/>
        <v>TO</v>
      </c>
      <c r="C3013" t="str">
        <f t="shared" si="721"/>
        <v>KB</v>
      </c>
      <c r="D3013" t="s">
        <v>4821</v>
      </c>
      <c r="E3013" s="5">
        <v>3</v>
      </c>
      <c r="G3013" s="4" t="s">
        <v>7128</v>
      </c>
      <c r="H3013" s="313" t="s">
        <v>5936</v>
      </c>
      <c r="I3013" s="432" t="s">
        <v>5937</v>
      </c>
      <c r="K3013" t="s">
        <v>1434</v>
      </c>
      <c r="L3013" t="s">
        <v>3224</v>
      </c>
      <c r="M3013"/>
    </row>
    <row r="3014" spans="1:13" ht="21.6">
      <c r="A3014" s="5">
        <v>3014</v>
      </c>
      <c r="B3014" t="str">
        <f t="shared" si="720"/>
        <v>TO</v>
      </c>
      <c r="C3014" t="str">
        <f t="shared" si="721"/>
        <v>KB</v>
      </c>
      <c r="D3014" t="s">
        <v>4821</v>
      </c>
      <c r="E3014" s="5">
        <v>3</v>
      </c>
      <c r="G3014" s="4" t="s">
        <v>7128</v>
      </c>
      <c r="H3014" s="313" t="s">
        <v>5934</v>
      </c>
      <c r="I3014" s="432" t="s">
        <v>7102</v>
      </c>
      <c r="K3014" t="s">
        <v>1434</v>
      </c>
      <c r="L3014" t="s">
        <v>3224</v>
      </c>
      <c r="M3014"/>
    </row>
    <row r="3015" spans="1:13">
      <c r="A3015" s="5">
        <v>3015</v>
      </c>
      <c r="B3015" t="str">
        <f t="shared" ref="B3015:B3021" si="722">MID(G3015,11,2)</f>
        <v>TO</v>
      </c>
      <c r="C3015" t="str">
        <f t="shared" ref="C3015:C3021" si="723">MID(G3015,14,2)</f>
        <v>KB</v>
      </c>
      <c r="D3015" t="s">
        <v>4821</v>
      </c>
      <c r="E3015" s="5">
        <v>3</v>
      </c>
      <c r="G3015" s="4" t="s">
        <v>7128</v>
      </c>
      <c r="H3015" s="5" t="s">
        <v>7092</v>
      </c>
      <c r="I3015" s="432" t="s">
        <v>7103</v>
      </c>
      <c r="K3015" t="s">
        <v>1434</v>
      </c>
      <c r="L3015" t="s">
        <v>3224</v>
      </c>
      <c r="M3015"/>
    </row>
    <row r="3016" spans="1:13">
      <c r="A3016" s="5">
        <v>3016</v>
      </c>
      <c r="B3016" t="str">
        <f t="shared" si="722"/>
        <v>TO</v>
      </c>
      <c r="C3016" t="str">
        <f t="shared" si="723"/>
        <v>KB</v>
      </c>
      <c r="D3016" t="s">
        <v>4821</v>
      </c>
      <c r="E3016" s="5">
        <v>3</v>
      </c>
      <c r="G3016" s="4" t="s">
        <v>7128</v>
      </c>
      <c r="H3016" s="306" t="s">
        <v>7125</v>
      </c>
      <c r="I3016" s="432" t="s">
        <v>7126</v>
      </c>
      <c r="K3016" t="s">
        <v>1434</v>
      </c>
      <c r="L3016" t="s">
        <v>3224</v>
      </c>
      <c r="M3016"/>
    </row>
    <row r="3017" spans="1:13">
      <c r="A3017" s="5">
        <v>3017</v>
      </c>
      <c r="B3017" t="str">
        <f t="shared" si="722"/>
        <v>TO</v>
      </c>
      <c r="C3017" t="str">
        <f t="shared" si="723"/>
        <v>KB</v>
      </c>
      <c r="D3017" t="s">
        <v>4821</v>
      </c>
      <c r="E3017" s="5">
        <v>3</v>
      </c>
      <c r="G3017" s="4" t="s">
        <v>7128</v>
      </c>
      <c r="H3017" s="5" t="s">
        <v>7093</v>
      </c>
      <c r="I3017" s="432" t="s">
        <v>7105</v>
      </c>
      <c r="K3017" t="s">
        <v>1434</v>
      </c>
      <c r="L3017" t="s">
        <v>3224</v>
      </c>
      <c r="M3017"/>
    </row>
    <row r="3018" spans="1:13">
      <c r="A3018" s="5">
        <v>3018</v>
      </c>
      <c r="B3018" t="str">
        <f t="shared" si="722"/>
        <v>TO</v>
      </c>
      <c r="C3018" t="str">
        <f t="shared" si="723"/>
        <v>KB</v>
      </c>
      <c r="D3018" t="s">
        <v>4821</v>
      </c>
      <c r="E3018" s="5">
        <v>3</v>
      </c>
      <c r="G3018" s="4" t="s">
        <v>7128</v>
      </c>
      <c r="H3018" s="5" t="s">
        <v>7097</v>
      </c>
      <c r="I3018" s="432" t="s">
        <v>7116</v>
      </c>
      <c r="K3018" t="s">
        <v>1434</v>
      </c>
      <c r="L3018" t="s">
        <v>3224</v>
      </c>
      <c r="M3018"/>
    </row>
    <row r="3019" spans="1:13">
      <c r="A3019" s="5">
        <v>3019</v>
      </c>
      <c r="B3019" t="str">
        <f t="shared" si="722"/>
        <v>TO</v>
      </c>
      <c r="C3019" t="str">
        <f t="shared" si="723"/>
        <v>KB</v>
      </c>
      <c r="D3019" t="s">
        <v>4821</v>
      </c>
      <c r="E3019" s="5">
        <v>2</v>
      </c>
      <c r="G3019" s="4" t="s">
        <v>7131</v>
      </c>
      <c r="H3019" s="5" t="s">
        <v>2395</v>
      </c>
      <c r="I3019" s="432" t="s">
        <v>7104</v>
      </c>
      <c r="K3019" t="s">
        <v>659</v>
      </c>
      <c r="L3019" t="s">
        <v>3224</v>
      </c>
      <c r="M3019"/>
    </row>
    <row r="3020" spans="1:13">
      <c r="A3020" s="5">
        <v>3020</v>
      </c>
      <c r="B3020" t="str">
        <f t="shared" si="722"/>
        <v>TO</v>
      </c>
      <c r="C3020" t="str">
        <f t="shared" si="723"/>
        <v>KB</v>
      </c>
      <c r="D3020" t="s">
        <v>4821</v>
      </c>
      <c r="E3020" s="5">
        <v>2</v>
      </c>
      <c r="G3020" s="4" t="s">
        <v>7131</v>
      </c>
      <c r="H3020" s="5" t="s">
        <v>7099</v>
      </c>
      <c r="I3020" s="432" t="s">
        <v>7119</v>
      </c>
      <c r="K3020" t="s">
        <v>659</v>
      </c>
      <c r="L3020" t="s">
        <v>3224</v>
      </c>
      <c r="M3020"/>
    </row>
    <row r="3021" spans="1:13" ht="54">
      <c r="A3021" s="5">
        <v>3021</v>
      </c>
      <c r="B3021" t="str">
        <f t="shared" si="722"/>
        <v>TO</v>
      </c>
      <c r="C3021" t="str">
        <f t="shared" si="723"/>
        <v>KB</v>
      </c>
      <c r="D3021" t="s">
        <v>4821</v>
      </c>
      <c r="E3021" s="5">
        <v>2</v>
      </c>
      <c r="G3021" s="4" t="s">
        <v>7090</v>
      </c>
      <c r="H3021" s="306" t="s">
        <v>7133</v>
      </c>
      <c r="I3021" s="432" t="s">
        <v>7132</v>
      </c>
      <c r="K3021" t="s">
        <v>1434</v>
      </c>
      <c r="L3021" t="s">
        <v>3224</v>
      </c>
      <c r="M3021"/>
    </row>
    <row r="3022" spans="1:13">
      <c r="A3022" s="5">
        <v>3022</v>
      </c>
      <c r="B3022" t="str">
        <f t="shared" ref="B3022:B3041" si="724">MID(G3022,11,2)</f>
        <v>TO</v>
      </c>
      <c r="C3022" t="str">
        <f t="shared" ref="C3022:C3041" si="725">MID(G3022,14,2)</f>
        <v>KB</v>
      </c>
      <c r="D3022" t="s">
        <v>4821</v>
      </c>
      <c r="E3022" s="5">
        <v>2</v>
      </c>
      <c r="G3022" s="4" t="s">
        <v>7131</v>
      </c>
      <c r="H3022" s="5" t="s">
        <v>7094</v>
      </c>
      <c r="I3022" s="432" t="s">
        <v>7106</v>
      </c>
      <c r="K3022" t="s">
        <v>1434</v>
      </c>
      <c r="L3022" t="s">
        <v>3224</v>
      </c>
      <c r="M3022"/>
    </row>
    <row r="3023" spans="1:13">
      <c r="A3023" s="5">
        <v>3023</v>
      </c>
      <c r="B3023" t="str">
        <f t="shared" si="724"/>
        <v>TO</v>
      </c>
      <c r="C3023" t="str">
        <f t="shared" si="725"/>
        <v>KB</v>
      </c>
      <c r="D3023" t="s">
        <v>4821</v>
      </c>
      <c r="E3023" s="5">
        <v>2</v>
      </c>
      <c r="G3023" s="4" t="s">
        <v>7131</v>
      </c>
      <c r="H3023" s="5" t="s">
        <v>7096</v>
      </c>
      <c r="I3023" s="432" t="s">
        <v>7108</v>
      </c>
      <c r="K3023" t="s">
        <v>659</v>
      </c>
      <c r="L3023" t="s">
        <v>3224</v>
      </c>
      <c r="M3023"/>
    </row>
    <row r="3024" spans="1:13">
      <c r="A3024" s="5">
        <v>3024</v>
      </c>
      <c r="B3024" t="str">
        <f t="shared" si="724"/>
        <v>TO</v>
      </c>
      <c r="C3024" t="str">
        <f t="shared" si="725"/>
        <v>KB</v>
      </c>
      <c r="D3024" t="s">
        <v>4821</v>
      </c>
      <c r="E3024" s="5">
        <v>3</v>
      </c>
      <c r="G3024" s="4" t="s">
        <v>7091</v>
      </c>
      <c r="H3024" s="5" t="s">
        <v>5633</v>
      </c>
      <c r="I3024" s="432" t="s">
        <v>7109</v>
      </c>
      <c r="K3024" t="s">
        <v>659</v>
      </c>
      <c r="L3024" t="s">
        <v>3224</v>
      </c>
      <c r="M3024"/>
    </row>
    <row r="3025" spans="1:13">
      <c r="A3025" s="5">
        <v>3025</v>
      </c>
      <c r="B3025" t="str">
        <f t="shared" si="724"/>
        <v>TO</v>
      </c>
      <c r="C3025" t="str">
        <f t="shared" si="725"/>
        <v>KB</v>
      </c>
      <c r="D3025" t="s">
        <v>4821</v>
      </c>
      <c r="E3025" s="5">
        <v>3</v>
      </c>
      <c r="G3025" s="4" t="s">
        <v>7091</v>
      </c>
      <c r="H3025" s="5" t="s">
        <v>1578</v>
      </c>
      <c r="I3025" s="432" t="s">
        <v>7110</v>
      </c>
      <c r="K3025" t="s">
        <v>659</v>
      </c>
      <c r="L3025" t="s">
        <v>3224</v>
      </c>
      <c r="M3025"/>
    </row>
    <row r="3026" spans="1:13">
      <c r="A3026" s="5">
        <v>3026</v>
      </c>
      <c r="B3026" t="str">
        <f t="shared" si="724"/>
        <v>TO</v>
      </c>
      <c r="C3026" t="str">
        <f t="shared" si="725"/>
        <v>KB</v>
      </c>
      <c r="D3026" t="s">
        <v>4821</v>
      </c>
      <c r="E3026" s="5">
        <v>3</v>
      </c>
      <c r="G3026" s="4" t="s">
        <v>7091</v>
      </c>
      <c r="H3026" s="5" t="s">
        <v>5629</v>
      </c>
      <c r="I3026" s="432" t="s">
        <v>7111</v>
      </c>
      <c r="K3026" t="s">
        <v>659</v>
      </c>
      <c r="L3026" t="s">
        <v>3224</v>
      </c>
      <c r="M3026"/>
    </row>
    <row r="3027" spans="1:13">
      <c r="A3027" s="5">
        <v>3027</v>
      </c>
      <c r="B3027" t="str">
        <f t="shared" si="724"/>
        <v>TO</v>
      </c>
      <c r="C3027" t="str">
        <f t="shared" si="725"/>
        <v>KB</v>
      </c>
      <c r="D3027" t="s">
        <v>4821</v>
      </c>
      <c r="E3027" s="5">
        <v>3</v>
      </c>
      <c r="G3027" s="4" t="s">
        <v>7091</v>
      </c>
      <c r="H3027" s="5" t="s">
        <v>7137</v>
      </c>
      <c r="I3027" s="432" t="s">
        <v>7112</v>
      </c>
      <c r="K3027" t="s">
        <v>659</v>
      </c>
      <c r="L3027" t="s">
        <v>3224</v>
      </c>
      <c r="M3027"/>
    </row>
    <row r="3028" spans="1:13">
      <c r="A3028" s="5">
        <v>3028</v>
      </c>
      <c r="B3028" t="str">
        <f t="shared" si="724"/>
        <v>TO</v>
      </c>
      <c r="C3028" t="str">
        <f t="shared" si="725"/>
        <v>KB</v>
      </c>
      <c r="D3028" t="s">
        <v>4821</v>
      </c>
      <c r="E3028" s="5">
        <v>3</v>
      </c>
      <c r="G3028" s="4" t="s">
        <v>7091</v>
      </c>
      <c r="H3028" s="5" t="s">
        <v>5628</v>
      </c>
      <c r="I3028" s="432" t="s">
        <v>7113</v>
      </c>
      <c r="K3028" t="s">
        <v>659</v>
      </c>
      <c r="L3028" t="s">
        <v>3224</v>
      </c>
      <c r="M3028"/>
    </row>
    <row r="3029" spans="1:13">
      <c r="A3029" s="5">
        <v>3029</v>
      </c>
      <c r="B3029" t="str">
        <f t="shared" si="724"/>
        <v>TO</v>
      </c>
      <c r="C3029" t="str">
        <f t="shared" si="725"/>
        <v>KB</v>
      </c>
      <c r="D3029" t="s">
        <v>4821</v>
      </c>
      <c r="E3029" s="5">
        <v>3</v>
      </c>
      <c r="G3029" s="4" t="s">
        <v>7091</v>
      </c>
      <c r="H3029" s="5" t="s">
        <v>1576</v>
      </c>
      <c r="I3029" s="432" t="s">
        <v>7114</v>
      </c>
      <c r="K3029" t="s">
        <v>659</v>
      </c>
      <c r="L3029" t="s">
        <v>3224</v>
      </c>
      <c r="M3029"/>
    </row>
    <row r="3030" spans="1:13">
      <c r="A3030" s="5">
        <v>3030</v>
      </c>
      <c r="B3030" t="str">
        <f t="shared" si="724"/>
        <v>TO</v>
      </c>
      <c r="C3030" t="str">
        <f t="shared" si="725"/>
        <v>KB</v>
      </c>
      <c r="D3030" t="s">
        <v>4821</v>
      </c>
      <c r="E3030" s="5">
        <v>3</v>
      </c>
      <c r="G3030" s="4" t="s">
        <v>7091</v>
      </c>
      <c r="H3030" s="5" t="s">
        <v>1306</v>
      </c>
      <c r="I3030" s="432" t="s">
        <v>7115</v>
      </c>
      <c r="K3030" t="s">
        <v>659</v>
      </c>
      <c r="L3030" t="s">
        <v>3224</v>
      </c>
      <c r="M3030"/>
    </row>
    <row r="3031" spans="1:13">
      <c r="A3031" s="5">
        <v>3031</v>
      </c>
      <c r="B3031" t="str">
        <f t="shared" ref="B3031" si="726">MID(G3031,11,2)</f>
        <v>TO</v>
      </c>
      <c r="C3031" t="str">
        <f t="shared" ref="C3031" si="727">MID(G3031,14,2)</f>
        <v>KB</v>
      </c>
      <c r="D3031" t="s">
        <v>4821</v>
      </c>
      <c r="E3031" s="5">
        <v>3</v>
      </c>
      <c r="G3031" s="4" t="s">
        <v>7127</v>
      </c>
      <c r="H3031" s="306" t="s">
        <v>5625</v>
      </c>
      <c r="I3031" s="432" t="s">
        <v>7135</v>
      </c>
      <c r="K3031" t="s">
        <v>659</v>
      </c>
      <c r="L3031" t="s">
        <v>3224</v>
      </c>
    </row>
    <row r="3032" spans="1:13" ht="21.6">
      <c r="A3032" s="5">
        <v>3032</v>
      </c>
      <c r="B3032" t="str">
        <f>MID(G3032,11,2)</f>
        <v>TO</v>
      </c>
      <c r="C3032" t="str">
        <f>MID(G3032,14,2)</f>
        <v>KB</v>
      </c>
      <c r="D3032" t="s">
        <v>4821</v>
      </c>
      <c r="E3032" s="5">
        <v>3</v>
      </c>
      <c r="G3032" s="4" t="s">
        <v>7127</v>
      </c>
      <c r="H3032" s="313" t="s">
        <v>7134</v>
      </c>
      <c r="I3032" s="432" t="s">
        <v>7136</v>
      </c>
      <c r="K3032" t="s">
        <v>659</v>
      </c>
      <c r="L3032" t="s">
        <v>3224</v>
      </c>
      <c r="M3032"/>
    </row>
    <row r="3033" spans="1:13">
      <c r="A3033" s="5">
        <v>3033</v>
      </c>
      <c r="B3033" t="str">
        <f t="shared" si="724"/>
        <v>TO</v>
      </c>
      <c r="C3033" t="str">
        <f t="shared" si="725"/>
        <v>KB</v>
      </c>
      <c r="D3033" t="s">
        <v>4821</v>
      </c>
      <c r="E3033" s="5">
        <v>3</v>
      </c>
      <c r="G3033" s="4" t="s">
        <v>7127</v>
      </c>
      <c r="H3033" s="5" t="s">
        <v>7098</v>
      </c>
      <c r="I3033" s="432" t="s">
        <v>7117</v>
      </c>
      <c r="K3033" t="s">
        <v>1434</v>
      </c>
      <c r="L3033" t="s">
        <v>3224</v>
      </c>
      <c r="M3033"/>
    </row>
    <row r="3034" spans="1:13">
      <c r="A3034" s="5">
        <v>3034</v>
      </c>
      <c r="B3034" t="str">
        <f t="shared" si="724"/>
        <v>TO</v>
      </c>
      <c r="C3034" t="str">
        <f t="shared" si="725"/>
        <v>KB</v>
      </c>
      <c r="D3034" t="s">
        <v>4821</v>
      </c>
      <c r="E3034" s="5">
        <v>3</v>
      </c>
      <c r="G3034" s="4" t="s">
        <v>7127</v>
      </c>
      <c r="H3034" s="5" t="s">
        <v>7100</v>
      </c>
      <c r="I3034" s="432" t="s">
        <v>7120</v>
      </c>
      <c r="K3034" t="s">
        <v>1434</v>
      </c>
      <c r="L3034" t="s">
        <v>3224</v>
      </c>
      <c r="M3034"/>
    </row>
    <row r="3035" spans="1:13">
      <c r="A3035" s="5">
        <v>3035</v>
      </c>
      <c r="B3035" t="str">
        <f t="shared" si="724"/>
        <v>TO</v>
      </c>
      <c r="C3035" t="str">
        <f t="shared" si="725"/>
        <v>KB</v>
      </c>
      <c r="D3035" t="s">
        <v>4821</v>
      </c>
      <c r="E3035" s="5">
        <v>3</v>
      </c>
      <c r="G3035" s="4" t="s">
        <v>7127</v>
      </c>
      <c r="H3035" s="5" t="s">
        <v>3487</v>
      </c>
      <c r="I3035" s="432" t="s">
        <v>7121</v>
      </c>
      <c r="K3035" t="s">
        <v>659</v>
      </c>
      <c r="L3035" t="s">
        <v>3224</v>
      </c>
      <c r="M3035"/>
    </row>
    <row r="3036" spans="1:13">
      <c r="A3036" s="5">
        <v>3036</v>
      </c>
      <c r="B3036" t="str">
        <f>MID(G3036,11,2)</f>
        <v>TO</v>
      </c>
      <c r="C3036" t="str">
        <f>MID(G3036,14,2)</f>
        <v>KB</v>
      </c>
      <c r="D3036" t="s">
        <v>4821</v>
      </c>
      <c r="E3036" s="5">
        <v>3</v>
      </c>
      <c r="G3036" s="4" t="s">
        <v>7127</v>
      </c>
      <c r="H3036" s="5" t="s">
        <v>7095</v>
      </c>
      <c r="I3036" s="432" t="s">
        <v>7107</v>
      </c>
      <c r="K3036" t="s">
        <v>659</v>
      </c>
      <c r="L3036" t="s">
        <v>3224</v>
      </c>
      <c r="M3036"/>
    </row>
    <row r="3037" spans="1:13">
      <c r="A3037" s="5">
        <v>3037</v>
      </c>
      <c r="B3037" t="str">
        <f t="shared" si="724"/>
        <v>TO</v>
      </c>
      <c r="C3037" t="str">
        <f t="shared" si="725"/>
        <v>KB</v>
      </c>
      <c r="D3037" t="s">
        <v>4821</v>
      </c>
      <c r="E3037" s="5">
        <v>3</v>
      </c>
      <c r="G3037" s="4" t="s">
        <v>7127</v>
      </c>
      <c r="H3037" s="5" t="s">
        <v>7101</v>
      </c>
      <c r="I3037" s="432" t="s">
        <v>7122</v>
      </c>
      <c r="K3037" t="s">
        <v>659</v>
      </c>
      <c r="L3037" t="s">
        <v>3224</v>
      </c>
      <c r="M3037"/>
    </row>
    <row r="3038" spans="1:13" ht="36">
      <c r="A3038" s="5">
        <v>3038</v>
      </c>
      <c r="B3038" t="str">
        <f>MID(G3038,11,2)</f>
        <v>TO</v>
      </c>
      <c r="C3038" t="str">
        <f>MID(G3038,14,2)</f>
        <v>KB</v>
      </c>
      <c r="D3038" t="s">
        <v>4821</v>
      </c>
      <c r="E3038" s="5">
        <v>3</v>
      </c>
      <c r="G3038" s="4" t="s">
        <v>7127</v>
      </c>
      <c r="H3038" s="306" t="s">
        <v>6964</v>
      </c>
      <c r="I3038" s="432" t="s">
        <v>6965</v>
      </c>
      <c r="K3038" t="s">
        <v>659</v>
      </c>
      <c r="L3038" t="s">
        <v>3224</v>
      </c>
      <c r="M3038"/>
    </row>
    <row r="3039" spans="1:13">
      <c r="A3039" s="5">
        <v>3039</v>
      </c>
      <c r="B3039" t="str">
        <f>MID(G3039,11,2)</f>
        <v>TO</v>
      </c>
      <c r="C3039" t="str">
        <f>MID(G3039,14,2)</f>
        <v>KB</v>
      </c>
      <c r="D3039" t="s">
        <v>4821</v>
      </c>
      <c r="E3039" s="5">
        <v>3</v>
      </c>
      <c r="G3039" s="4" t="s">
        <v>7127</v>
      </c>
      <c r="H3039" s="5" t="s">
        <v>1247</v>
      </c>
      <c r="I3039" s="432" t="s">
        <v>7118</v>
      </c>
      <c r="K3039" t="s">
        <v>659</v>
      </c>
      <c r="L3039" t="s">
        <v>3224</v>
      </c>
      <c r="M3039"/>
    </row>
    <row r="3040" spans="1:13">
      <c r="A3040" s="5">
        <v>3040</v>
      </c>
      <c r="B3040" t="str">
        <f t="shared" si="724"/>
        <v>TO</v>
      </c>
      <c r="C3040" t="str">
        <f t="shared" si="725"/>
        <v>KB</v>
      </c>
      <c r="D3040" t="s">
        <v>4821</v>
      </c>
      <c r="E3040" s="5">
        <v>3</v>
      </c>
      <c r="G3040" s="4" t="s">
        <v>7127</v>
      </c>
      <c r="H3040" s="5" t="s">
        <v>7138</v>
      </c>
      <c r="I3040" s="432" t="s">
        <v>7123</v>
      </c>
      <c r="K3040" t="s">
        <v>659</v>
      </c>
      <c r="L3040" t="s">
        <v>3224</v>
      </c>
      <c r="M3040"/>
    </row>
    <row r="3041" spans="1:13">
      <c r="A3041" s="5">
        <v>3041</v>
      </c>
      <c r="B3041" t="str">
        <f t="shared" si="724"/>
        <v>TO</v>
      </c>
      <c r="C3041" t="str">
        <f t="shared" si="725"/>
        <v>KB</v>
      </c>
      <c r="D3041" t="s">
        <v>4821</v>
      </c>
      <c r="E3041" s="5">
        <v>3</v>
      </c>
      <c r="G3041" s="4" t="s">
        <v>7127</v>
      </c>
      <c r="H3041" s="5" t="s">
        <v>1322</v>
      </c>
      <c r="I3041" s="432" t="s">
        <v>7124</v>
      </c>
      <c r="K3041" t="s">
        <v>659</v>
      </c>
      <c r="L3041" t="s">
        <v>3224</v>
      </c>
      <c r="M3041"/>
    </row>
    <row r="3042" spans="1:13">
      <c r="A3042" s="5">
        <v>3042</v>
      </c>
      <c r="B3042" t="str">
        <f t="shared" ref="B3042" si="728">MID(G3042,11,2)</f>
        <v>TO</v>
      </c>
      <c r="C3042" t="str">
        <f t="shared" ref="C3042" si="729">MID(G3042,14,2)</f>
        <v>KB</v>
      </c>
      <c r="D3042" t="s">
        <v>4821</v>
      </c>
      <c r="E3042" s="5">
        <v>3</v>
      </c>
      <c r="G3042" s="4" t="s">
        <v>7140</v>
      </c>
      <c r="H3042" s="306" t="s">
        <v>7180</v>
      </c>
      <c r="I3042" s="432" t="s">
        <v>7160</v>
      </c>
      <c r="K3042" t="s">
        <v>1434</v>
      </c>
      <c r="L3042" t="s">
        <v>3224</v>
      </c>
      <c r="M3042"/>
    </row>
    <row r="3043" spans="1:13">
      <c r="A3043" s="5">
        <v>3043</v>
      </c>
      <c r="B3043" t="str">
        <f>MID(G3043,11,2)</f>
        <v>TO</v>
      </c>
      <c r="C3043" t="str">
        <f>MID(G3043,14,2)</f>
        <v>KB</v>
      </c>
      <c r="D3043" t="s">
        <v>4847</v>
      </c>
      <c r="E3043" s="5">
        <v>1</v>
      </c>
      <c r="G3043" s="464" t="s">
        <v>7172</v>
      </c>
      <c r="H3043" s="5" t="s">
        <v>7161</v>
      </c>
      <c r="I3043" s="433" t="s">
        <v>7146</v>
      </c>
      <c r="K3043" t="s">
        <v>1434</v>
      </c>
      <c r="L3043" t="s">
        <v>669</v>
      </c>
      <c r="M3043" t="s">
        <v>3733</v>
      </c>
    </row>
    <row r="3044" spans="1:13" ht="36">
      <c r="A3044" s="5">
        <v>3044</v>
      </c>
      <c r="B3044" t="str">
        <f t="shared" ref="B3044" si="730">MID(G3044,11,2)</f>
        <v>TO</v>
      </c>
      <c r="C3044" t="str">
        <f t="shared" ref="C3044" si="731">MID(G3044,14,2)</f>
        <v>KB</v>
      </c>
      <c r="D3044" t="s">
        <v>4847</v>
      </c>
      <c r="E3044" s="5">
        <v>1</v>
      </c>
      <c r="G3044" s="4" t="s">
        <v>7177</v>
      </c>
      <c r="H3044" s="306" t="s">
        <v>7181</v>
      </c>
      <c r="I3044" s="432" t="s">
        <v>3881</v>
      </c>
      <c r="K3044" t="s">
        <v>1434</v>
      </c>
      <c r="L3044" t="s">
        <v>669</v>
      </c>
      <c r="M3044" t="s">
        <v>3733</v>
      </c>
    </row>
    <row r="3045" spans="1:13" ht="36">
      <c r="A3045" s="5">
        <v>3045</v>
      </c>
      <c r="B3045" t="str">
        <f>MID(G3045,11,2)</f>
        <v>TO</v>
      </c>
      <c r="C3045" t="str">
        <f>MID(G3045,14,2)</f>
        <v>KB</v>
      </c>
      <c r="D3045" t="s">
        <v>4847</v>
      </c>
      <c r="E3045" s="5">
        <v>1</v>
      </c>
      <c r="G3045" s="4" t="s">
        <v>7177</v>
      </c>
      <c r="H3045" s="306" t="s">
        <v>7178</v>
      </c>
      <c r="I3045" s="432" t="s">
        <v>7179</v>
      </c>
      <c r="K3045" t="s">
        <v>659</v>
      </c>
      <c r="L3045" t="s">
        <v>669</v>
      </c>
      <c r="M3045" t="s">
        <v>3733</v>
      </c>
    </row>
    <row r="3046" spans="1:13" s="4" customFormat="1" ht="36">
      <c r="A3046" s="5">
        <v>3046</v>
      </c>
      <c r="B3046" s="4" t="str">
        <f t="shared" ref="B3046:B3047" si="732">MID(G3046,11,2)</f>
        <v>TO</v>
      </c>
      <c r="C3046" s="4" t="str">
        <f t="shared" ref="C3046:C3047" si="733">MID(G3046,14,2)</f>
        <v>KB</v>
      </c>
      <c r="D3046" s="4" t="s">
        <v>4847</v>
      </c>
      <c r="E3046" s="270">
        <v>1</v>
      </c>
      <c r="G3046" s="468" t="s">
        <v>7285</v>
      </c>
      <c r="H3046" s="306" t="s">
        <v>7178</v>
      </c>
      <c r="I3046" s="436" t="s">
        <v>7179</v>
      </c>
      <c r="K3046" s="4" t="s">
        <v>659</v>
      </c>
      <c r="L3046" s="4" t="s">
        <v>669</v>
      </c>
      <c r="M3046" s="4" t="s">
        <v>2333</v>
      </c>
    </row>
    <row r="3047" spans="1:13">
      <c r="A3047" s="5">
        <v>3047</v>
      </c>
      <c r="B3047" t="str">
        <f t="shared" si="732"/>
        <v>TO</v>
      </c>
      <c r="C3047" t="str">
        <f t="shared" si="733"/>
        <v>KB</v>
      </c>
      <c r="D3047" t="s">
        <v>4847</v>
      </c>
      <c r="E3047" s="5">
        <v>2</v>
      </c>
      <c r="G3047" s="464" t="s">
        <v>7169</v>
      </c>
      <c r="H3047" s="5" t="s">
        <v>7145</v>
      </c>
      <c r="I3047" s="433" t="s">
        <v>7144</v>
      </c>
      <c r="K3047" t="s">
        <v>1434</v>
      </c>
      <c r="L3047" t="s">
        <v>3224</v>
      </c>
      <c r="M3047"/>
    </row>
    <row r="3048" spans="1:13">
      <c r="A3048" s="5">
        <v>3048</v>
      </c>
      <c r="B3048" t="str">
        <f t="shared" ref="B3048" si="734">MID(G3048,11,2)</f>
        <v>TO</v>
      </c>
      <c r="C3048" t="str">
        <f t="shared" ref="C3048" si="735">MID(G3048,14,2)</f>
        <v>KB</v>
      </c>
      <c r="D3048" t="s">
        <v>4847</v>
      </c>
      <c r="E3048" s="5">
        <v>2</v>
      </c>
      <c r="G3048" s="464" t="s">
        <v>7167</v>
      </c>
      <c r="H3048" s="5" t="s">
        <v>7142</v>
      </c>
      <c r="I3048" s="432" t="s">
        <v>7143</v>
      </c>
      <c r="K3048" t="s">
        <v>1434</v>
      </c>
      <c r="L3048" t="s">
        <v>3224</v>
      </c>
      <c r="M3048"/>
    </row>
    <row r="3049" spans="1:13">
      <c r="A3049" s="5">
        <v>3049</v>
      </c>
      <c r="B3049" t="str">
        <f>MID(G3052,11,2)</f>
        <v>TO</v>
      </c>
      <c r="C3049" t="str">
        <f>MID(G3052,14,2)</f>
        <v>KB</v>
      </c>
      <c r="D3049" t="s">
        <v>4847</v>
      </c>
      <c r="E3049" s="5">
        <v>2</v>
      </c>
      <c r="G3049" s="464" t="s">
        <v>7167</v>
      </c>
      <c r="H3049" s="5" t="s">
        <v>4325</v>
      </c>
      <c r="I3049" s="433" t="s">
        <v>7147</v>
      </c>
      <c r="K3049" t="s">
        <v>659</v>
      </c>
      <c r="L3049" t="s">
        <v>3224</v>
      </c>
      <c r="M3049"/>
    </row>
    <row r="3050" spans="1:13">
      <c r="A3050" s="5">
        <v>3050</v>
      </c>
      <c r="B3050" t="str">
        <f t="shared" ref="B3050:B3366" si="736">MID(G3050,11,2)</f>
        <v>TO</v>
      </c>
      <c r="C3050" t="str">
        <f t="shared" ref="C3050:C3366" si="737">MID(G3050,14,2)</f>
        <v>KB</v>
      </c>
      <c r="D3050" t="s">
        <v>4847</v>
      </c>
      <c r="E3050" s="5">
        <v>2</v>
      </c>
      <c r="G3050" s="464" t="s">
        <v>7167</v>
      </c>
      <c r="H3050" s="306" t="s">
        <v>7050</v>
      </c>
      <c r="I3050" s="432" t="s">
        <v>7166</v>
      </c>
      <c r="L3050" t="s">
        <v>3224</v>
      </c>
      <c r="M3050"/>
    </row>
    <row r="3051" spans="1:13">
      <c r="A3051" s="5">
        <v>3051</v>
      </c>
      <c r="B3051" t="str">
        <f t="shared" si="736"/>
        <v>TO</v>
      </c>
      <c r="C3051" t="str">
        <f t="shared" si="737"/>
        <v>KB</v>
      </c>
      <c r="D3051" t="s">
        <v>4847</v>
      </c>
      <c r="E3051" s="5">
        <v>2</v>
      </c>
      <c r="G3051" s="464" t="s">
        <v>7169</v>
      </c>
      <c r="H3051" s="306" t="s">
        <v>5730</v>
      </c>
      <c r="I3051" s="432" t="s">
        <v>7152</v>
      </c>
      <c r="K3051" t="s">
        <v>659</v>
      </c>
      <c r="L3051" t="s">
        <v>3224</v>
      </c>
      <c r="M3051"/>
    </row>
    <row r="3052" spans="1:13">
      <c r="A3052" s="5">
        <v>3052</v>
      </c>
      <c r="B3052" t="str">
        <f t="shared" si="736"/>
        <v>TO</v>
      </c>
      <c r="C3052" t="str">
        <f t="shared" si="737"/>
        <v>KB</v>
      </c>
      <c r="D3052" t="s">
        <v>4847</v>
      </c>
      <c r="E3052" s="5">
        <v>2</v>
      </c>
      <c r="G3052" s="464" t="s">
        <v>7170</v>
      </c>
      <c r="H3052" s="5" t="s">
        <v>7149</v>
      </c>
      <c r="I3052" s="433" t="s">
        <v>7148</v>
      </c>
      <c r="K3052" t="s">
        <v>1434</v>
      </c>
      <c r="L3052" t="s">
        <v>3224</v>
      </c>
      <c r="M3052"/>
    </row>
    <row r="3053" spans="1:13">
      <c r="A3053" s="5">
        <v>3053</v>
      </c>
      <c r="B3053" t="str">
        <f t="shared" ref="B3053:B3057" si="738">MID(G3053,11,2)</f>
        <v>TO</v>
      </c>
      <c r="C3053" t="str">
        <f t="shared" ref="C3053:C3057" si="739">MID(G3053,14,2)</f>
        <v>KB</v>
      </c>
      <c r="D3053" t="s">
        <v>4847</v>
      </c>
      <c r="E3053" s="5">
        <v>2</v>
      </c>
      <c r="G3053" s="464" t="s">
        <v>7165</v>
      </c>
      <c r="H3053" s="306" t="s">
        <v>443</v>
      </c>
      <c r="I3053" s="432" t="s">
        <v>2948</v>
      </c>
      <c r="K3053" t="s">
        <v>659</v>
      </c>
      <c r="L3053" t="s">
        <v>3224</v>
      </c>
      <c r="M3053"/>
    </row>
    <row r="3054" spans="1:13">
      <c r="A3054" s="5">
        <v>3054</v>
      </c>
      <c r="B3054" t="str">
        <f t="shared" si="738"/>
        <v>TO</v>
      </c>
      <c r="C3054" t="str">
        <f t="shared" si="739"/>
        <v>KB</v>
      </c>
      <c r="D3054" t="s">
        <v>4847</v>
      </c>
      <c r="E3054" s="5">
        <v>2</v>
      </c>
      <c r="G3054" s="464" t="s">
        <v>7165</v>
      </c>
      <c r="H3054" s="306" t="s">
        <v>7158</v>
      </c>
      <c r="I3054" s="432" t="s">
        <v>7155</v>
      </c>
      <c r="K3054" t="s">
        <v>659</v>
      </c>
      <c r="L3054" t="s">
        <v>3224</v>
      </c>
      <c r="M3054"/>
    </row>
    <row r="3055" spans="1:13">
      <c r="A3055" s="5">
        <v>3055</v>
      </c>
      <c r="B3055" t="str">
        <f t="shared" si="738"/>
        <v>TO</v>
      </c>
      <c r="C3055" t="str">
        <f t="shared" si="739"/>
        <v>KB</v>
      </c>
      <c r="D3055" t="s">
        <v>4847</v>
      </c>
      <c r="E3055" s="5">
        <v>2</v>
      </c>
      <c r="G3055" s="464" t="s">
        <v>7165</v>
      </c>
      <c r="H3055" s="306" t="s">
        <v>7150</v>
      </c>
      <c r="I3055" s="432" t="s">
        <v>6595</v>
      </c>
      <c r="K3055" t="s">
        <v>659</v>
      </c>
      <c r="L3055" t="s">
        <v>3224</v>
      </c>
      <c r="M3055"/>
    </row>
    <row r="3056" spans="1:13">
      <c r="A3056" s="5">
        <v>3056</v>
      </c>
      <c r="B3056" t="str">
        <f t="shared" si="738"/>
        <v>TO</v>
      </c>
      <c r="C3056" t="str">
        <f t="shared" si="739"/>
        <v>KB</v>
      </c>
      <c r="D3056" t="s">
        <v>4847</v>
      </c>
      <c r="E3056" s="5">
        <v>2</v>
      </c>
      <c r="G3056" s="464" t="s">
        <v>7165</v>
      </c>
      <c r="H3056" s="306" t="s">
        <v>4277</v>
      </c>
      <c r="I3056" s="432" t="s">
        <v>4278</v>
      </c>
      <c r="K3056" t="s">
        <v>659</v>
      </c>
      <c r="L3056" t="s">
        <v>3224</v>
      </c>
      <c r="M3056"/>
    </row>
    <row r="3057" spans="1:13">
      <c r="A3057" s="5">
        <v>3057</v>
      </c>
      <c r="B3057" t="str">
        <f t="shared" si="738"/>
        <v>TO</v>
      </c>
      <c r="C3057" t="str">
        <f t="shared" si="739"/>
        <v>KB</v>
      </c>
      <c r="D3057" t="s">
        <v>4847</v>
      </c>
      <c r="E3057" s="5">
        <v>2</v>
      </c>
      <c r="G3057" s="464" t="s">
        <v>7165</v>
      </c>
      <c r="H3057" s="306" t="s">
        <v>7156</v>
      </c>
      <c r="I3057" s="432" t="s">
        <v>7157</v>
      </c>
      <c r="K3057" t="s">
        <v>659</v>
      </c>
      <c r="L3057" t="s">
        <v>3224</v>
      </c>
      <c r="M3057"/>
    </row>
    <row r="3058" spans="1:13">
      <c r="A3058" s="5">
        <v>3058</v>
      </c>
      <c r="B3058" t="str">
        <f t="shared" si="736"/>
        <v>TO</v>
      </c>
      <c r="C3058" t="str">
        <f t="shared" si="737"/>
        <v>KB</v>
      </c>
      <c r="D3058" t="s">
        <v>4847</v>
      </c>
      <c r="E3058" s="5">
        <v>2</v>
      </c>
      <c r="G3058" s="4" t="s">
        <v>7171</v>
      </c>
      <c r="H3058" s="306" t="s">
        <v>3438</v>
      </c>
      <c r="I3058" s="432" t="s">
        <v>3439</v>
      </c>
      <c r="K3058" t="s">
        <v>659</v>
      </c>
      <c r="L3058" t="s">
        <v>3224</v>
      </c>
      <c r="M3058"/>
    </row>
    <row r="3059" spans="1:13">
      <c r="A3059" s="5">
        <v>3059</v>
      </c>
      <c r="B3059" t="str">
        <f t="shared" ref="B3059:B3063" si="740">MID(G3059,11,2)</f>
        <v>TO</v>
      </c>
      <c r="C3059" t="str">
        <f t="shared" ref="C3059:C3063" si="741">MID(G3059,14,2)</f>
        <v>KB</v>
      </c>
      <c r="D3059" t="s">
        <v>4847</v>
      </c>
      <c r="E3059" s="5">
        <v>2</v>
      </c>
      <c r="G3059" s="4" t="s">
        <v>7168</v>
      </c>
      <c r="H3059" s="306" t="s">
        <v>1471</v>
      </c>
      <c r="I3059" s="432" t="s">
        <v>5925</v>
      </c>
      <c r="K3059" t="s">
        <v>659</v>
      </c>
      <c r="L3059" t="s">
        <v>3224</v>
      </c>
      <c r="M3059"/>
    </row>
    <row r="3060" spans="1:13">
      <c r="A3060" s="5">
        <v>3060</v>
      </c>
      <c r="B3060" t="str">
        <f t="shared" si="740"/>
        <v>TO</v>
      </c>
      <c r="C3060" t="str">
        <f t="shared" si="741"/>
        <v>KB</v>
      </c>
      <c r="D3060" t="s">
        <v>4847</v>
      </c>
      <c r="E3060" s="5">
        <v>2</v>
      </c>
      <c r="G3060" s="4" t="s">
        <v>7168</v>
      </c>
      <c r="H3060" s="306" t="s">
        <v>3493</v>
      </c>
      <c r="I3060" s="432" t="s">
        <v>7154</v>
      </c>
      <c r="K3060" t="s">
        <v>659</v>
      </c>
      <c r="L3060" t="s">
        <v>3224</v>
      </c>
      <c r="M3060"/>
    </row>
    <row r="3061" spans="1:13">
      <c r="A3061" s="5">
        <v>3061</v>
      </c>
      <c r="B3061" t="str">
        <f t="shared" si="740"/>
        <v>TO</v>
      </c>
      <c r="C3061" t="str">
        <f t="shared" si="741"/>
        <v>KB</v>
      </c>
      <c r="D3061" t="s">
        <v>4847</v>
      </c>
      <c r="E3061" s="5">
        <v>2</v>
      </c>
      <c r="G3061" s="4" t="s">
        <v>7171</v>
      </c>
      <c r="H3061" s="306" t="s">
        <v>1397</v>
      </c>
      <c r="I3061" s="432" t="s">
        <v>7151</v>
      </c>
      <c r="K3061" t="s">
        <v>659</v>
      </c>
      <c r="L3061" t="s">
        <v>3224</v>
      </c>
      <c r="M3061"/>
    </row>
    <row r="3062" spans="1:13">
      <c r="A3062" s="5">
        <v>3062</v>
      </c>
      <c r="B3062" t="str">
        <f t="shared" si="740"/>
        <v>TO</v>
      </c>
      <c r="C3062" t="str">
        <f t="shared" si="741"/>
        <v>KB</v>
      </c>
      <c r="D3062" t="s">
        <v>4847</v>
      </c>
      <c r="E3062" s="5">
        <v>2</v>
      </c>
      <c r="G3062" s="4" t="s">
        <v>7168</v>
      </c>
      <c r="H3062" s="306" t="s">
        <v>2650</v>
      </c>
      <c r="I3062" s="432" t="s">
        <v>2651</v>
      </c>
      <c r="K3062" t="s">
        <v>659</v>
      </c>
      <c r="L3062" t="s">
        <v>3224</v>
      </c>
      <c r="M3062"/>
    </row>
    <row r="3063" spans="1:13">
      <c r="A3063" s="5">
        <v>3063</v>
      </c>
      <c r="B3063" t="str">
        <f t="shared" si="740"/>
        <v>TO</v>
      </c>
      <c r="C3063" t="str">
        <f t="shared" si="741"/>
        <v>KB</v>
      </c>
      <c r="D3063" t="s">
        <v>4847</v>
      </c>
      <c r="E3063" s="5">
        <v>2</v>
      </c>
      <c r="G3063" s="4" t="s">
        <v>7174</v>
      </c>
      <c r="H3063" s="306" t="s">
        <v>1141</v>
      </c>
      <c r="I3063" s="432" t="s">
        <v>7153</v>
      </c>
      <c r="K3063" t="s">
        <v>659</v>
      </c>
      <c r="L3063" t="s">
        <v>3224</v>
      </c>
      <c r="M3063"/>
    </row>
    <row r="3064" spans="1:13" ht="18.600000000000001">
      <c r="A3064" s="5">
        <v>3064</v>
      </c>
      <c r="B3064" t="str">
        <f>MID(G3064,11,2)</f>
        <v>TO</v>
      </c>
      <c r="C3064" t="str">
        <f>MID(G3064,14,2)</f>
        <v>KB</v>
      </c>
      <c r="D3064" t="s">
        <v>4847</v>
      </c>
      <c r="E3064" s="5">
        <v>3</v>
      </c>
      <c r="G3064" s="4" t="s">
        <v>7299</v>
      </c>
      <c r="H3064" s="70" t="s">
        <v>7362</v>
      </c>
      <c r="I3064" s="279" t="s">
        <v>4729</v>
      </c>
      <c r="K3064" t="s">
        <v>1434</v>
      </c>
      <c r="L3064" t="s">
        <v>2137</v>
      </c>
      <c r="M3064"/>
    </row>
    <row r="3065" spans="1:13" ht="18.600000000000001">
      <c r="A3065" s="5">
        <v>3065</v>
      </c>
      <c r="B3065" t="str">
        <f t="shared" ref="B3065:B3070" si="742">MID(G3065,11,2)</f>
        <v>TO</v>
      </c>
      <c r="C3065" t="str">
        <f t="shared" ref="C3065:C3070" si="743">MID(G3065,14,2)</f>
        <v>KB</v>
      </c>
      <c r="D3065" t="s">
        <v>4847</v>
      </c>
      <c r="E3065" s="5">
        <v>3</v>
      </c>
      <c r="G3065" s="4" t="s">
        <v>7299</v>
      </c>
      <c r="H3065" s="70" t="s">
        <v>4730</v>
      </c>
      <c r="I3065" s="279" t="s">
        <v>4731</v>
      </c>
      <c r="K3065" t="s">
        <v>1434</v>
      </c>
      <c r="L3065" t="s">
        <v>2137</v>
      </c>
      <c r="M3065"/>
    </row>
    <row r="3066" spans="1:13" ht="18.600000000000001">
      <c r="A3066" s="5">
        <v>3066</v>
      </c>
      <c r="B3066" t="str">
        <f t="shared" si="742"/>
        <v>TO</v>
      </c>
      <c r="C3066" t="str">
        <f t="shared" si="743"/>
        <v>KB</v>
      </c>
      <c r="D3066" t="s">
        <v>4847</v>
      </c>
      <c r="E3066" s="5">
        <v>3</v>
      </c>
      <c r="G3066" s="4" t="s">
        <v>7299</v>
      </c>
      <c r="H3066" s="70" t="s">
        <v>1253</v>
      </c>
      <c r="I3066" s="279" t="s">
        <v>4732</v>
      </c>
      <c r="K3066" t="s">
        <v>659</v>
      </c>
      <c r="L3066" t="s">
        <v>2137</v>
      </c>
      <c r="M3066"/>
    </row>
    <row r="3067" spans="1:13" ht="18.600000000000001">
      <c r="A3067" s="5">
        <v>3067</v>
      </c>
      <c r="B3067" t="str">
        <f t="shared" si="742"/>
        <v>TO</v>
      </c>
      <c r="C3067" t="str">
        <f t="shared" si="743"/>
        <v>KB</v>
      </c>
      <c r="D3067" t="s">
        <v>4847</v>
      </c>
      <c r="E3067" s="5">
        <v>3</v>
      </c>
      <c r="G3067" s="4" t="s">
        <v>7299</v>
      </c>
      <c r="H3067" s="70" t="s">
        <v>1257</v>
      </c>
      <c r="I3067" s="279" t="s">
        <v>4734</v>
      </c>
      <c r="K3067" t="s">
        <v>659</v>
      </c>
      <c r="L3067" t="s">
        <v>2137</v>
      </c>
      <c r="M3067"/>
    </row>
    <row r="3068" spans="1:13" ht="18.600000000000001">
      <c r="A3068" s="5">
        <v>3068</v>
      </c>
      <c r="B3068" t="str">
        <f t="shared" si="742"/>
        <v>TO</v>
      </c>
      <c r="C3068" t="str">
        <f t="shared" si="743"/>
        <v>KB</v>
      </c>
      <c r="D3068" t="s">
        <v>4847</v>
      </c>
      <c r="E3068" s="5">
        <v>3</v>
      </c>
      <c r="G3068" s="4" t="s">
        <v>7299</v>
      </c>
      <c r="H3068" s="70" t="s">
        <v>7363</v>
      </c>
      <c r="I3068" s="279" t="s">
        <v>4712</v>
      </c>
      <c r="K3068" t="s">
        <v>1434</v>
      </c>
      <c r="L3068" t="s">
        <v>7364</v>
      </c>
      <c r="M3068"/>
    </row>
    <row r="3069" spans="1:13" ht="18.600000000000001">
      <c r="A3069" s="5">
        <v>3069</v>
      </c>
      <c r="B3069" t="str">
        <f t="shared" si="742"/>
        <v>TO</v>
      </c>
      <c r="C3069" t="str">
        <f t="shared" si="743"/>
        <v>KB</v>
      </c>
      <c r="D3069" t="s">
        <v>4847</v>
      </c>
      <c r="E3069" s="5">
        <v>3</v>
      </c>
      <c r="G3069" s="4" t="s">
        <v>7299</v>
      </c>
      <c r="H3069" s="70" t="s">
        <v>4713</v>
      </c>
      <c r="I3069" s="279" t="s">
        <v>4715</v>
      </c>
      <c r="K3069" t="s">
        <v>1434</v>
      </c>
      <c r="L3069" t="s">
        <v>2137</v>
      </c>
      <c r="M3069"/>
    </row>
    <row r="3070" spans="1:13" ht="18.600000000000001">
      <c r="A3070" s="5">
        <v>3070</v>
      </c>
      <c r="B3070" t="str">
        <f t="shared" si="742"/>
        <v>TO</v>
      </c>
      <c r="C3070" t="str">
        <f t="shared" si="743"/>
        <v>KB</v>
      </c>
      <c r="D3070" t="s">
        <v>4847</v>
      </c>
      <c r="E3070" s="5">
        <v>3</v>
      </c>
      <c r="G3070" s="4" t="s">
        <v>7299</v>
      </c>
      <c r="H3070" s="70" t="s">
        <v>4722</v>
      </c>
      <c r="I3070" s="279" t="s">
        <v>4723</v>
      </c>
      <c r="K3070" t="s">
        <v>1434</v>
      </c>
      <c r="L3070" t="s">
        <v>2137</v>
      </c>
      <c r="M3070"/>
    </row>
    <row r="3071" spans="1:13" ht="36">
      <c r="A3071" s="5">
        <v>3071</v>
      </c>
      <c r="B3071" t="str">
        <f t="shared" ref="B3071" si="744">MID(G3071,11,2)</f>
        <v>TO</v>
      </c>
      <c r="C3071" t="str">
        <f t="shared" ref="C3071" si="745">MID(G3071,14,2)</f>
        <v>KB</v>
      </c>
      <c r="D3071" t="s">
        <v>4847</v>
      </c>
      <c r="E3071" s="5">
        <v>2</v>
      </c>
      <c r="G3071" s="4" t="s">
        <v>7276</v>
      </c>
      <c r="H3071" s="70" t="s">
        <v>7280</v>
      </c>
      <c r="I3071" s="279" t="s">
        <v>7281</v>
      </c>
      <c r="K3071" t="s">
        <v>1434</v>
      </c>
      <c r="L3071" t="s">
        <v>3224</v>
      </c>
      <c r="M3071"/>
    </row>
    <row r="3072" spans="1:13">
      <c r="A3072" s="5">
        <v>3072</v>
      </c>
      <c r="B3072" t="str">
        <f t="shared" ref="B3072:B3081" si="746">MID(G3072,11,2)</f>
        <v>TO</v>
      </c>
      <c r="C3072" t="str">
        <f t="shared" ref="C3072:C3081" si="747">MID(G3072,14,2)</f>
        <v>KB</v>
      </c>
      <c r="D3072" t="s">
        <v>4847</v>
      </c>
      <c r="E3072" s="5">
        <v>2</v>
      </c>
      <c r="G3072" s="4" t="s">
        <v>7276</v>
      </c>
      <c r="H3072" t="s">
        <v>7182</v>
      </c>
      <c r="I3072" s="432" t="s">
        <v>7183</v>
      </c>
      <c r="K3072" t="s">
        <v>1434</v>
      </c>
      <c r="L3072" t="s">
        <v>3224</v>
      </c>
      <c r="M3072"/>
    </row>
    <row r="3073" spans="1:13">
      <c r="A3073" s="5">
        <v>3073</v>
      </c>
      <c r="B3073" t="str">
        <f t="shared" si="746"/>
        <v>TO</v>
      </c>
      <c r="C3073" t="str">
        <f t="shared" si="747"/>
        <v>KB</v>
      </c>
      <c r="D3073" t="s">
        <v>4847</v>
      </c>
      <c r="E3073" s="5">
        <v>2</v>
      </c>
      <c r="G3073" s="4" t="s">
        <v>7276</v>
      </c>
      <c r="H3073" t="s">
        <v>7096</v>
      </c>
      <c r="I3073" s="432" t="s">
        <v>7208</v>
      </c>
      <c r="K3073" t="s">
        <v>659</v>
      </c>
      <c r="L3073" t="s">
        <v>3224</v>
      </c>
      <c r="M3073"/>
    </row>
    <row r="3074" spans="1:13">
      <c r="A3074" s="5">
        <v>3074</v>
      </c>
      <c r="B3074" t="str">
        <f t="shared" si="746"/>
        <v>TO</v>
      </c>
      <c r="C3074" t="str">
        <f t="shared" si="747"/>
        <v>KB</v>
      </c>
      <c r="D3074" t="s">
        <v>4847</v>
      </c>
      <c r="E3074" s="5">
        <v>2</v>
      </c>
      <c r="G3074" s="4" t="s">
        <v>7276</v>
      </c>
      <c r="H3074" t="s">
        <v>7248</v>
      </c>
      <c r="I3074" s="432" t="s">
        <v>7249</v>
      </c>
      <c r="K3074" t="s">
        <v>1434</v>
      </c>
      <c r="L3074" t="s">
        <v>3224</v>
      </c>
      <c r="M3074"/>
    </row>
    <row r="3075" spans="1:13">
      <c r="A3075" s="5">
        <v>3075</v>
      </c>
      <c r="B3075" t="str">
        <f t="shared" si="746"/>
        <v>TO</v>
      </c>
      <c r="C3075" t="str">
        <f t="shared" si="747"/>
        <v>KB</v>
      </c>
      <c r="D3075" t="s">
        <v>4847</v>
      </c>
      <c r="E3075" s="5">
        <v>2</v>
      </c>
      <c r="G3075" s="4" t="s">
        <v>7276</v>
      </c>
      <c r="H3075" t="s">
        <v>7246</v>
      </c>
      <c r="I3075" s="432" t="s">
        <v>3705</v>
      </c>
      <c r="K3075" t="s">
        <v>659</v>
      </c>
      <c r="L3075" t="s">
        <v>3224</v>
      </c>
      <c r="M3075"/>
    </row>
    <row r="3076" spans="1:13">
      <c r="A3076" s="5">
        <v>3076</v>
      </c>
      <c r="B3076" t="str">
        <f t="shared" si="746"/>
        <v>TO</v>
      </c>
      <c r="C3076" t="str">
        <f t="shared" si="747"/>
        <v>KB</v>
      </c>
      <c r="D3076" t="s">
        <v>4847</v>
      </c>
      <c r="E3076" s="5">
        <v>2</v>
      </c>
      <c r="G3076" s="4" t="s">
        <v>7276</v>
      </c>
      <c r="H3076" t="s">
        <v>7278</v>
      </c>
      <c r="I3076" s="279" t="s">
        <v>7187</v>
      </c>
      <c r="K3076" t="s">
        <v>659</v>
      </c>
      <c r="L3076" t="s">
        <v>3224</v>
      </c>
      <c r="M3076"/>
    </row>
    <row r="3077" spans="1:13">
      <c r="A3077" s="5">
        <v>3077</v>
      </c>
      <c r="B3077" t="str">
        <f t="shared" si="746"/>
        <v>TO</v>
      </c>
      <c r="C3077" t="str">
        <f t="shared" si="747"/>
        <v>KB</v>
      </c>
      <c r="D3077" t="s">
        <v>4847</v>
      </c>
      <c r="E3077" s="5">
        <v>2</v>
      </c>
      <c r="G3077" s="4" t="s">
        <v>7276</v>
      </c>
      <c r="H3077" t="s">
        <v>4325</v>
      </c>
      <c r="I3077" s="432" t="s">
        <v>4326</v>
      </c>
      <c r="K3077" t="s">
        <v>659</v>
      </c>
      <c r="L3077" t="s">
        <v>3224</v>
      </c>
      <c r="M3077"/>
    </row>
    <row r="3078" spans="1:13">
      <c r="A3078" s="5">
        <v>3078</v>
      </c>
      <c r="B3078" t="str">
        <f t="shared" si="746"/>
        <v>TO</v>
      </c>
      <c r="C3078" t="str">
        <f t="shared" si="747"/>
        <v>KB</v>
      </c>
      <c r="D3078" t="s">
        <v>4847</v>
      </c>
      <c r="E3078" s="5">
        <v>2</v>
      </c>
      <c r="G3078" s="4" t="s">
        <v>7276</v>
      </c>
      <c r="H3078" t="s">
        <v>7279</v>
      </c>
      <c r="I3078" s="279" t="s">
        <v>7196</v>
      </c>
      <c r="K3078" t="s">
        <v>1434</v>
      </c>
      <c r="L3078" t="s">
        <v>3224</v>
      </c>
      <c r="M3078"/>
    </row>
    <row r="3079" spans="1:13">
      <c r="A3079" s="5">
        <v>3079</v>
      </c>
      <c r="B3079" t="str">
        <f t="shared" si="746"/>
        <v>TO</v>
      </c>
      <c r="C3079" t="str">
        <f t="shared" si="747"/>
        <v>KB</v>
      </c>
      <c r="D3079" t="s">
        <v>4847</v>
      </c>
      <c r="E3079" s="5">
        <v>2</v>
      </c>
      <c r="G3079" s="4" t="s">
        <v>7276</v>
      </c>
      <c r="H3079" t="s">
        <v>2395</v>
      </c>
      <c r="I3079" s="432" t="s">
        <v>2473</v>
      </c>
      <c r="K3079" t="s">
        <v>659</v>
      </c>
      <c r="L3079" t="s">
        <v>3224</v>
      </c>
      <c r="M3079"/>
    </row>
    <row r="3080" spans="1:13">
      <c r="A3080" s="5">
        <v>3080</v>
      </c>
      <c r="B3080" t="str">
        <f t="shared" si="746"/>
        <v>TO</v>
      </c>
      <c r="C3080" t="str">
        <f t="shared" si="747"/>
        <v>KB</v>
      </c>
      <c r="D3080" t="s">
        <v>4847</v>
      </c>
      <c r="E3080" s="5">
        <v>2</v>
      </c>
      <c r="G3080" s="4" t="s">
        <v>7276</v>
      </c>
      <c r="H3080" t="s">
        <v>7142</v>
      </c>
      <c r="I3080" s="432" t="s">
        <v>7191</v>
      </c>
      <c r="K3080" t="s">
        <v>659</v>
      </c>
      <c r="L3080" t="s">
        <v>3224</v>
      </c>
      <c r="M3080"/>
    </row>
    <row r="3081" spans="1:13">
      <c r="A3081" s="5">
        <v>3081</v>
      </c>
      <c r="B3081" t="str">
        <f t="shared" si="746"/>
        <v>TO</v>
      </c>
      <c r="C3081" t="str">
        <f t="shared" si="747"/>
        <v>KB</v>
      </c>
      <c r="D3081" t="s">
        <v>4847</v>
      </c>
      <c r="E3081" s="5">
        <v>2</v>
      </c>
      <c r="G3081" s="4" t="s">
        <v>7276</v>
      </c>
      <c r="H3081" t="s">
        <v>7099</v>
      </c>
      <c r="I3081" s="279" t="s">
        <v>7223</v>
      </c>
      <c r="K3081" t="s">
        <v>659</v>
      </c>
      <c r="L3081" t="s">
        <v>3224</v>
      </c>
      <c r="M3081"/>
    </row>
    <row r="3082" spans="1:13">
      <c r="A3082" s="5">
        <v>3082</v>
      </c>
      <c r="B3082" t="str">
        <f t="shared" ref="B3082:B3102" si="748">MID(G3082,11,2)</f>
        <v>TO</v>
      </c>
      <c r="C3082" t="str">
        <f t="shared" ref="C3082:C3102" si="749">MID(G3082,14,2)</f>
        <v>KB</v>
      </c>
      <c r="D3082" t="s">
        <v>4847</v>
      </c>
      <c r="E3082" s="5">
        <v>2</v>
      </c>
      <c r="G3082" s="4" t="s">
        <v>7277</v>
      </c>
      <c r="H3082" t="s">
        <v>7050</v>
      </c>
      <c r="I3082" s="432" t="s">
        <v>4717</v>
      </c>
      <c r="K3082" t="s">
        <v>659</v>
      </c>
      <c r="L3082" t="s">
        <v>3224</v>
      </c>
      <c r="M3082"/>
    </row>
    <row r="3083" spans="1:13">
      <c r="A3083" s="5">
        <v>3083</v>
      </c>
      <c r="B3083" t="str">
        <f t="shared" ref="B3083:B3090" si="750">MID(G3083,11,2)</f>
        <v>TO</v>
      </c>
      <c r="C3083" t="str">
        <f t="shared" ref="C3083:C3090" si="751">MID(G3083,14,2)</f>
        <v>KB</v>
      </c>
      <c r="D3083" t="s">
        <v>4847</v>
      </c>
      <c r="E3083" s="5">
        <v>2</v>
      </c>
      <c r="G3083" s="4" t="s">
        <v>7277</v>
      </c>
      <c r="H3083" t="s">
        <v>3582</v>
      </c>
      <c r="I3083" s="279" t="s">
        <v>3927</v>
      </c>
      <c r="K3083" t="s">
        <v>659</v>
      </c>
      <c r="L3083" t="s">
        <v>3224</v>
      </c>
      <c r="M3083"/>
    </row>
    <row r="3084" spans="1:13">
      <c r="A3084" s="5">
        <v>3084</v>
      </c>
      <c r="B3084" t="str">
        <f t="shared" si="750"/>
        <v>TO</v>
      </c>
      <c r="C3084" t="str">
        <f t="shared" si="751"/>
        <v>KB</v>
      </c>
      <c r="D3084" t="s">
        <v>4847</v>
      </c>
      <c r="E3084" s="5">
        <v>2</v>
      </c>
      <c r="G3084" s="4" t="s">
        <v>7277</v>
      </c>
      <c r="H3084" t="s">
        <v>1717</v>
      </c>
      <c r="I3084" s="432" t="s">
        <v>7239</v>
      </c>
      <c r="K3084" t="s">
        <v>659</v>
      </c>
      <c r="L3084" t="s">
        <v>3224</v>
      </c>
      <c r="M3084"/>
    </row>
    <row r="3085" spans="1:13">
      <c r="A3085" s="5">
        <v>3085</v>
      </c>
      <c r="B3085" t="str">
        <f t="shared" si="750"/>
        <v>TO</v>
      </c>
      <c r="C3085" t="str">
        <f t="shared" si="751"/>
        <v>KB</v>
      </c>
      <c r="D3085" t="s">
        <v>4847</v>
      </c>
      <c r="E3085" s="5">
        <v>2</v>
      </c>
      <c r="G3085" s="4" t="s">
        <v>7277</v>
      </c>
      <c r="H3085" t="s">
        <v>2286</v>
      </c>
      <c r="I3085" s="279" t="s">
        <v>2287</v>
      </c>
      <c r="K3085" t="s">
        <v>659</v>
      </c>
      <c r="L3085" t="s">
        <v>3224</v>
      </c>
      <c r="M3085"/>
    </row>
    <row r="3086" spans="1:13">
      <c r="A3086" s="5">
        <v>3086</v>
      </c>
      <c r="B3086" t="str">
        <f t="shared" si="750"/>
        <v>TO</v>
      </c>
      <c r="C3086" t="str">
        <f t="shared" si="751"/>
        <v>KB</v>
      </c>
      <c r="D3086" t="s">
        <v>4847</v>
      </c>
      <c r="E3086" s="5">
        <v>2</v>
      </c>
      <c r="G3086" s="4" t="s">
        <v>7277</v>
      </c>
      <c r="H3086" t="s">
        <v>3269</v>
      </c>
      <c r="I3086" s="279" t="s">
        <v>7242</v>
      </c>
      <c r="K3086" t="s">
        <v>659</v>
      </c>
      <c r="L3086" t="s">
        <v>3224</v>
      </c>
      <c r="M3086"/>
    </row>
    <row r="3087" spans="1:13">
      <c r="A3087" s="5">
        <v>3087</v>
      </c>
      <c r="B3087" t="str">
        <f t="shared" si="750"/>
        <v>TO</v>
      </c>
      <c r="C3087" t="str">
        <f t="shared" si="751"/>
        <v>KB</v>
      </c>
      <c r="D3087" t="s">
        <v>4847</v>
      </c>
      <c r="E3087" s="5">
        <v>2</v>
      </c>
      <c r="G3087" s="4" t="s">
        <v>7283</v>
      </c>
      <c r="H3087" t="s">
        <v>7243</v>
      </c>
      <c r="I3087" s="432" t="s">
        <v>7244</v>
      </c>
      <c r="K3087" t="s">
        <v>659</v>
      </c>
      <c r="L3087" t="s">
        <v>3224</v>
      </c>
      <c r="M3087"/>
    </row>
    <row r="3088" spans="1:13">
      <c r="A3088" s="5">
        <v>3088</v>
      </c>
      <c r="B3088" t="str">
        <f t="shared" si="750"/>
        <v>TO</v>
      </c>
      <c r="C3088" t="str">
        <f t="shared" si="751"/>
        <v>KB</v>
      </c>
      <c r="D3088" t="s">
        <v>4847</v>
      </c>
      <c r="E3088" s="5">
        <v>2</v>
      </c>
      <c r="G3088" s="4" t="s">
        <v>7277</v>
      </c>
      <c r="H3088" t="s">
        <v>7049</v>
      </c>
      <c r="I3088" s="432" t="s">
        <v>7245</v>
      </c>
      <c r="K3088" t="s">
        <v>659</v>
      </c>
      <c r="L3088" t="s">
        <v>3224</v>
      </c>
      <c r="M3088"/>
    </row>
    <row r="3089" spans="1:13">
      <c r="A3089" s="5">
        <v>3089</v>
      </c>
      <c r="B3089" t="str">
        <f t="shared" si="750"/>
        <v>TO</v>
      </c>
      <c r="C3089" t="str">
        <f t="shared" si="751"/>
        <v>KB</v>
      </c>
      <c r="D3089" t="s">
        <v>4847</v>
      </c>
      <c r="E3089" s="5">
        <v>2</v>
      </c>
      <c r="G3089" s="4" t="s">
        <v>7277</v>
      </c>
      <c r="H3089" t="s">
        <v>3991</v>
      </c>
      <c r="I3089" s="432" t="s">
        <v>7251</v>
      </c>
      <c r="K3089" t="s">
        <v>659</v>
      </c>
      <c r="L3089" t="s">
        <v>3224</v>
      </c>
      <c r="M3089"/>
    </row>
    <row r="3090" spans="1:13">
      <c r="A3090" s="5">
        <v>3090</v>
      </c>
      <c r="B3090" t="str">
        <f t="shared" si="750"/>
        <v>TO</v>
      </c>
      <c r="C3090" t="str">
        <f t="shared" si="751"/>
        <v>KB</v>
      </c>
      <c r="D3090" t="s">
        <v>4847</v>
      </c>
      <c r="E3090" s="5">
        <v>2</v>
      </c>
      <c r="G3090" s="4" t="s">
        <v>7277</v>
      </c>
      <c r="H3090" t="s">
        <v>7252</v>
      </c>
      <c r="I3090" s="279" t="s">
        <v>7253</v>
      </c>
      <c r="K3090" t="s">
        <v>659</v>
      </c>
      <c r="L3090" t="s">
        <v>3224</v>
      </c>
      <c r="M3090"/>
    </row>
    <row r="3091" spans="1:13">
      <c r="A3091" s="5">
        <v>3091</v>
      </c>
      <c r="B3091" t="str">
        <f t="shared" ref="B3091" si="752">MID(G3091,11,2)</f>
        <v>TO</v>
      </c>
      <c r="C3091" t="str">
        <f t="shared" ref="C3091" si="753">MID(G3091,14,2)</f>
        <v>KB</v>
      </c>
      <c r="D3091" t="s">
        <v>4847</v>
      </c>
      <c r="E3091" s="5">
        <v>2</v>
      </c>
      <c r="G3091" s="4" t="s">
        <v>7277</v>
      </c>
      <c r="H3091" t="s">
        <v>7282</v>
      </c>
      <c r="I3091" s="279"/>
      <c r="K3091" t="s">
        <v>1434</v>
      </c>
      <c r="L3091" t="s">
        <v>3224</v>
      </c>
      <c r="M3091"/>
    </row>
    <row r="3092" spans="1:13">
      <c r="A3092" s="5">
        <v>3092</v>
      </c>
      <c r="B3092" t="str">
        <f>MID(G3092,11,2)</f>
        <v>TO</v>
      </c>
      <c r="C3092" t="str">
        <f>MID(G3092,14,2)</f>
        <v>KB</v>
      </c>
      <c r="D3092" t="s">
        <v>4847</v>
      </c>
      <c r="E3092" s="5">
        <v>2</v>
      </c>
      <c r="G3092" s="4" t="s">
        <v>7290</v>
      </c>
      <c r="H3092" t="s">
        <v>3499</v>
      </c>
      <c r="I3092" s="279" t="s">
        <v>7199</v>
      </c>
      <c r="K3092" t="s">
        <v>1434</v>
      </c>
      <c r="L3092" t="s">
        <v>3224</v>
      </c>
      <c r="M3092"/>
    </row>
    <row r="3093" spans="1:13">
      <c r="A3093" s="5">
        <v>3093</v>
      </c>
      <c r="B3093" t="str">
        <f t="shared" si="748"/>
        <v>TO</v>
      </c>
      <c r="C3093" t="str">
        <f t="shared" si="749"/>
        <v>KB</v>
      </c>
      <c r="D3093" t="s">
        <v>4847</v>
      </c>
      <c r="E3093" s="5">
        <v>2</v>
      </c>
      <c r="G3093" s="4" t="s">
        <v>7287</v>
      </c>
      <c r="H3093" t="s">
        <v>1397</v>
      </c>
      <c r="I3093" s="279" t="s">
        <v>7151</v>
      </c>
      <c r="K3093" t="s">
        <v>659</v>
      </c>
      <c r="L3093" t="s">
        <v>3224</v>
      </c>
      <c r="M3093"/>
    </row>
    <row r="3094" spans="1:13">
      <c r="A3094" s="5">
        <v>3094</v>
      </c>
      <c r="B3094" t="str">
        <f t="shared" si="748"/>
        <v>TO</v>
      </c>
      <c r="C3094" t="str">
        <f t="shared" si="749"/>
        <v>KB</v>
      </c>
      <c r="D3094" t="s">
        <v>4847</v>
      </c>
      <c r="E3094" s="5">
        <v>2</v>
      </c>
      <c r="G3094" s="4" t="s">
        <v>7287</v>
      </c>
      <c r="H3094" t="s">
        <v>7197</v>
      </c>
      <c r="I3094" s="432" t="s">
        <v>7198</v>
      </c>
      <c r="K3094" t="s">
        <v>1434</v>
      </c>
      <c r="L3094" t="s">
        <v>3224</v>
      </c>
      <c r="M3094"/>
    </row>
    <row r="3095" spans="1:13">
      <c r="A3095" s="5">
        <v>3095</v>
      </c>
      <c r="B3095" t="str">
        <f>MID(G3095,11,2)</f>
        <v>TO</v>
      </c>
      <c r="C3095" t="str">
        <f>MID(G3095,14,2)</f>
        <v>KB</v>
      </c>
      <c r="D3095" t="s">
        <v>4847</v>
      </c>
      <c r="E3095" s="5">
        <v>2</v>
      </c>
      <c r="G3095" s="4" t="s">
        <v>7287</v>
      </c>
      <c r="H3095" t="s">
        <v>7150</v>
      </c>
      <c r="I3095" s="432" t="s">
        <v>6595</v>
      </c>
      <c r="K3095" t="s">
        <v>659</v>
      </c>
      <c r="L3095" t="s">
        <v>3224</v>
      </c>
      <c r="M3095"/>
    </row>
    <row r="3096" spans="1:13">
      <c r="A3096" s="5">
        <v>3096</v>
      </c>
      <c r="B3096" t="str">
        <f>MID(G3096,11,2)</f>
        <v>TO</v>
      </c>
      <c r="C3096" t="str">
        <f>MID(G3096,14,2)</f>
        <v>KB</v>
      </c>
      <c r="D3096" t="s">
        <v>4847</v>
      </c>
      <c r="E3096" s="5">
        <v>2</v>
      </c>
      <c r="G3096" s="4" t="s">
        <v>7287</v>
      </c>
      <c r="H3096" t="s">
        <v>7149</v>
      </c>
      <c r="I3096" s="432" t="s">
        <v>7189</v>
      </c>
      <c r="K3096" t="s">
        <v>659</v>
      </c>
      <c r="L3096" t="s">
        <v>3224</v>
      </c>
      <c r="M3096"/>
    </row>
    <row r="3097" spans="1:13">
      <c r="A3097" s="5">
        <v>3097</v>
      </c>
      <c r="B3097" t="str">
        <f>MID(G3097,11,2)</f>
        <v>TO</v>
      </c>
      <c r="C3097" t="str">
        <f>MID(G3097,14,2)</f>
        <v>KB</v>
      </c>
      <c r="D3097" t="s">
        <v>4847</v>
      </c>
      <c r="E3097" s="5">
        <v>2</v>
      </c>
      <c r="G3097" s="4" t="s">
        <v>7290</v>
      </c>
      <c r="H3097" t="s">
        <v>443</v>
      </c>
      <c r="I3097" s="432" t="s">
        <v>2948</v>
      </c>
      <c r="K3097" t="s">
        <v>659</v>
      </c>
      <c r="L3097" t="s">
        <v>3224</v>
      </c>
      <c r="M3097"/>
    </row>
    <row r="3098" spans="1:13">
      <c r="A3098" s="5">
        <v>3098</v>
      </c>
      <c r="B3098" t="str">
        <f t="shared" si="748"/>
        <v>TO</v>
      </c>
      <c r="C3098" t="str">
        <f t="shared" si="749"/>
        <v>KB</v>
      </c>
      <c r="D3098" t="s">
        <v>4847</v>
      </c>
      <c r="E3098" s="5">
        <v>2</v>
      </c>
      <c r="G3098" s="4" t="s">
        <v>7287</v>
      </c>
      <c r="H3098" t="s">
        <v>7092</v>
      </c>
      <c r="I3098" s="279" t="s">
        <v>7201</v>
      </c>
      <c r="K3098" t="s">
        <v>659</v>
      </c>
      <c r="L3098" t="s">
        <v>3224</v>
      </c>
      <c r="M3098"/>
    </row>
    <row r="3099" spans="1:13">
      <c r="A3099" s="5">
        <v>3099</v>
      </c>
      <c r="B3099" t="str">
        <f t="shared" si="748"/>
        <v>TO</v>
      </c>
      <c r="C3099" t="str">
        <f t="shared" si="749"/>
        <v>KB</v>
      </c>
      <c r="D3099" t="s">
        <v>4847</v>
      </c>
      <c r="E3099" s="5">
        <v>2</v>
      </c>
      <c r="G3099" s="4" t="s">
        <v>7287</v>
      </c>
      <c r="H3099" t="s">
        <v>7093</v>
      </c>
      <c r="I3099" s="432" t="s">
        <v>6832</v>
      </c>
      <c r="K3099" t="s">
        <v>659</v>
      </c>
      <c r="L3099" t="s">
        <v>3224</v>
      </c>
      <c r="M3099"/>
    </row>
    <row r="3100" spans="1:13">
      <c r="A3100" s="5">
        <v>3100</v>
      </c>
      <c r="B3100" t="str">
        <f t="shared" si="748"/>
        <v>TO</v>
      </c>
      <c r="C3100" t="str">
        <f t="shared" si="749"/>
        <v>KB</v>
      </c>
      <c r="D3100" t="s">
        <v>4847</v>
      </c>
      <c r="E3100" s="5">
        <v>2</v>
      </c>
      <c r="G3100" s="4" t="s">
        <v>7287</v>
      </c>
      <c r="H3100" t="s">
        <v>7094</v>
      </c>
      <c r="I3100" s="432" t="s">
        <v>7204</v>
      </c>
      <c r="K3100" t="s">
        <v>659</v>
      </c>
      <c r="L3100" t="s">
        <v>3224</v>
      </c>
      <c r="M3100"/>
    </row>
    <row r="3101" spans="1:13">
      <c r="A3101" s="5">
        <v>3101</v>
      </c>
      <c r="B3101" t="str">
        <f t="shared" ref="B3101" si="754">MID(G3101,11,2)</f>
        <v>TO</v>
      </c>
      <c r="C3101" t="str">
        <f t="shared" ref="C3101" si="755">MID(G3101,14,2)</f>
        <v>KB</v>
      </c>
      <c r="D3101" t="s">
        <v>4847</v>
      </c>
      <c r="E3101" s="5">
        <v>2</v>
      </c>
      <c r="G3101" s="4" t="s">
        <v>7287</v>
      </c>
      <c r="H3101" t="s">
        <v>7095</v>
      </c>
      <c r="I3101" s="432" t="s">
        <v>7206</v>
      </c>
      <c r="K3101" t="s">
        <v>659</v>
      </c>
      <c r="L3101" t="s">
        <v>3224</v>
      </c>
      <c r="M3101"/>
    </row>
    <row r="3102" spans="1:13">
      <c r="A3102" s="5">
        <v>3102</v>
      </c>
      <c r="B3102" t="str">
        <f t="shared" si="748"/>
        <v>TO</v>
      </c>
      <c r="C3102" t="str">
        <f t="shared" si="749"/>
        <v>KB</v>
      </c>
      <c r="D3102" t="s">
        <v>4847</v>
      </c>
      <c r="E3102" s="5">
        <v>2</v>
      </c>
      <c r="G3102" s="4" t="s">
        <v>7290</v>
      </c>
      <c r="H3102" t="s">
        <v>7095</v>
      </c>
      <c r="I3102" s="432" t="s">
        <v>7206</v>
      </c>
      <c r="K3102" t="s">
        <v>659</v>
      </c>
      <c r="L3102" t="s">
        <v>3224</v>
      </c>
      <c r="M3102"/>
    </row>
    <row r="3103" spans="1:13">
      <c r="A3103" s="5">
        <v>3103</v>
      </c>
      <c r="B3103" t="str">
        <f t="shared" ref="B3103" si="756">MID(G3103,11,2)</f>
        <v>TO</v>
      </c>
      <c r="C3103" t="str">
        <f t="shared" ref="C3103" si="757">MID(G3103,14,2)</f>
        <v>KB</v>
      </c>
      <c r="D3103" t="s">
        <v>4847</v>
      </c>
      <c r="E3103" s="5">
        <v>2</v>
      </c>
      <c r="G3103" s="4" t="s">
        <v>7291</v>
      </c>
      <c r="H3103" t="s">
        <v>5633</v>
      </c>
      <c r="I3103" s="279" t="s">
        <v>7210</v>
      </c>
      <c r="K3103" t="s">
        <v>659</v>
      </c>
      <c r="L3103" t="s">
        <v>3224</v>
      </c>
      <c r="M3103"/>
    </row>
    <row r="3104" spans="1:13">
      <c r="A3104" s="5">
        <v>3104</v>
      </c>
      <c r="B3104" t="str">
        <f t="shared" ref="B3104:B3112" si="758">MID(G3104,11,2)</f>
        <v>TO</v>
      </c>
      <c r="C3104" t="str">
        <f t="shared" ref="C3104:C3112" si="759">MID(G3104,14,2)</f>
        <v>KB</v>
      </c>
      <c r="D3104" t="s">
        <v>4847</v>
      </c>
      <c r="E3104" s="5">
        <v>2</v>
      </c>
      <c r="G3104" s="4" t="s">
        <v>7291</v>
      </c>
      <c r="H3104" t="s">
        <v>1578</v>
      </c>
      <c r="I3104" s="279" t="s">
        <v>4237</v>
      </c>
      <c r="K3104" t="s">
        <v>659</v>
      </c>
      <c r="L3104" t="s">
        <v>3224</v>
      </c>
      <c r="M3104"/>
    </row>
    <row r="3105" spans="1:13">
      <c r="A3105" s="5">
        <v>3105</v>
      </c>
      <c r="B3105" t="str">
        <f t="shared" si="758"/>
        <v>TO</v>
      </c>
      <c r="C3105" t="str">
        <f t="shared" si="759"/>
        <v>KB</v>
      </c>
      <c r="D3105" t="s">
        <v>4847</v>
      </c>
      <c r="E3105" s="5">
        <v>2</v>
      </c>
      <c r="G3105" s="4" t="s">
        <v>7291</v>
      </c>
      <c r="H3105" t="s">
        <v>5629</v>
      </c>
      <c r="I3105" s="432" t="s">
        <v>7213</v>
      </c>
      <c r="K3105" t="s">
        <v>659</v>
      </c>
      <c r="L3105" t="s">
        <v>3224</v>
      </c>
      <c r="M3105"/>
    </row>
    <row r="3106" spans="1:13">
      <c r="A3106" s="5">
        <v>3106</v>
      </c>
      <c r="B3106" t="str">
        <f t="shared" si="758"/>
        <v>TO</v>
      </c>
      <c r="C3106" t="str">
        <f t="shared" si="759"/>
        <v>KB</v>
      </c>
      <c r="D3106" t="s">
        <v>4847</v>
      </c>
      <c r="E3106" s="5">
        <v>2</v>
      </c>
      <c r="G3106" s="4" t="s">
        <v>7291</v>
      </c>
      <c r="H3106" t="s">
        <v>5631</v>
      </c>
      <c r="I3106" s="279" t="s">
        <v>7215</v>
      </c>
      <c r="K3106" t="s">
        <v>659</v>
      </c>
      <c r="L3106" t="s">
        <v>3224</v>
      </c>
      <c r="M3106"/>
    </row>
    <row r="3107" spans="1:13">
      <c r="A3107" s="5">
        <v>3107</v>
      </c>
      <c r="B3107" t="str">
        <f t="shared" si="758"/>
        <v>TO</v>
      </c>
      <c r="C3107" t="str">
        <f t="shared" si="759"/>
        <v>KB</v>
      </c>
      <c r="D3107" t="s">
        <v>4847</v>
      </c>
      <c r="E3107" s="5">
        <v>2</v>
      </c>
      <c r="G3107" s="4" t="s">
        <v>7291</v>
      </c>
      <c r="H3107" t="s">
        <v>5628</v>
      </c>
      <c r="I3107" s="279" t="s">
        <v>7217</v>
      </c>
      <c r="K3107" t="s">
        <v>659</v>
      </c>
      <c r="L3107" t="s">
        <v>3224</v>
      </c>
      <c r="M3107"/>
    </row>
    <row r="3108" spans="1:13">
      <c r="A3108" s="5">
        <v>3108</v>
      </c>
      <c r="B3108" t="str">
        <f t="shared" si="758"/>
        <v>TO</v>
      </c>
      <c r="C3108" t="str">
        <f t="shared" si="759"/>
        <v>KB</v>
      </c>
      <c r="D3108" t="s">
        <v>4847</v>
      </c>
      <c r="E3108" s="5">
        <v>2</v>
      </c>
      <c r="G3108" s="4" t="s">
        <v>7291</v>
      </c>
      <c r="H3108" t="s">
        <v>1576</v>
      </c>
      <c r="I3108" s="432" t="s">
        <v>4748</v>
      </c>
      <c r="K3108" t="s">
        <v>659</v>
      </c>
      <c r="L3108" t="s">
        <v>3224</v>
      </c>
      <c r="M3108"/>
    </row>
    <row r="3109" spans="1:13">
      <c r="A3109" s="5">
        <v>3109</v>
      </c>
      <c r="B3109" t="str">
        <f t="shared" si="758"/>
        <v>TO</v>
      </c>
      <c r="C3109" t="str">
        <f t="shared" si="759"/>
        <v>KB</v>
      </c>
      <c r="D3109" t="s">
        <v>4847</v>
      </c>
      <c r="E3109" s="5">
        <v>2</v>
      </c>
      <c r="G3109" s="4" t="s">
        <v>7291</v>
      </c>
      <c r="H3109" t="s">
        <v>1306</v>
      </c>
      <c r="I3109" s="432" t="s">
        <v>4750</v>
      </c>
      <c r="K3109" t="s">
        <v>659</v>
      </c>
      <c r="L3109" t="s">
        <v>3224</v>
      </c>
      <c r="M3109"/>
    </row>
    <row r="3110" spans="1:13">
      <c r="A3110" s="5">
        <v>3110</v>
      </c>
      <c r="B3110" t="str">
        <f t="shared" si="758"/>
        <v>TO</v>
      </c>
      <c r="C3110" t="str">
        <f t="shared" si="759"/>
        <v>KB</v>
      </c>
      <c r="D3110" t="s">
        <v>4847</v>
      </c>
      <c r="E3110" s="5">
        <v>2</v>
      </c>
      <c r="G3110" s="4" t="s">
        <v>7291</v>
      </c>
      <c r="H3110" t="s">
        <v>7098</v>
      </c>
      <c r="I3110" s="432" t="s">
        <v>7220</v>
      </c>
      <c r="K3110" t="s">
        <v>659</v>
      </c>
      <c r="L3110" t="s">
        <v>3224</v>
      </c>
      <c r="M3110"/>
    </row>
    <row r="3111" spans="1:13">
      <c r="A3111" s="5">
        <v>3111</v>
      </c>
      <c r="B3111" t="str">
        <f t="shared" si="758"/>
        <v>TO</v>
      </c>
      <c r="C3111" t="str">
        <f t="shared" si="759"/>
        <v>KB</v>
      </c>
      <c r="D3111" t="s">
        <v>4847</v>
      </c>
      <c r="E3111" s="5">
        <v>2</v>
      </c>
      <c r="G3111" s="4" t="s">
        <v>7291</v>
      </c>
      <c r="H3111" t="s">
        <v>5623</v>
      </c>
      <c r="I3111" s="279" t="s">
        <v>7260</v>
      </c>
      <c r="K3111" t="s">
        <v>659</v>
      </c>
      <c r="L3111" t="s">
        <v>3224</v>
      </c>
      <c r="M3111"/>
    </row>
    <row r="3112" spans="1:13">
      <c r="A3112" s="5">
        <v>3112</v>
      </c>
      <c r="B3112" t="str">
        <f t="shared" si="758"/>
        <v>TO</v>
      </c>
      <c r="C3112" t="str">
        <f t="shared" si="759"/>
        <v>KB</v>
      </c>
      <c r="D3112" t="s">
        <v>4847</v>
      </c>
      <c r="E3112" s="5">
        <v>2</v>
      </c>
      <c r="G3112" s="4" t="s">
        <v>7291</v>
      </c>
      <c r="H3112" t="s">
        <v>5622</v>
      </c>
      <c r="I3112" s="432" t="s">
        <v>7262</v>
      </c>
      <c r="K3112" t="s">
        <v>659</v>
      </c>
      <c r="L3112" t="s">
        <v>3224</v>
      </c>
      <c r="M3112"/>
    </row>
    <row r="3113" spans="1:13">
      <c r="A3113" s="5">
        <v>3113</v>
      </c>
      <c r="B3113" t="str">
        <f t="shared" ref="B3113" si="760">MID(G3113,11,2)</f>
        <v>TO</v>
      </c>
      <c r="C3113" t="str">
        <f t="shared" ref="C3113" si="761">MID(G3113,14,2)</f>
        <v>KB</v>
      </c>
      <c r="D3113" t="s">
        <v>4847</v>
      </c>
      <c r="E3113" s="5">
        <v>2</v>
      </c>
      <c r="G3113" s="4" t="s">
        <v>7291</v>
      </c>
      <c r="H3113" t="s">
        <v>7263</v>
      </c>
      <c r="I3113" s="432" t="s">
        <v>7264</v>
      </c>
      <c r="K3113" t="s">
        <v>1434</v>
      </c>
      <c r="L3113" t="s">
        <v>3224</v>
      </c>
      <c r="M3113"/>
    </row>
    <row r="3114" spans="1:13">
      <c r="A3114" s="5">
        <v>3114</v>
      </c>
      <c r="B3114" t="str">
        <f>MID(G3114,11,2)</f>
        <v>TO</v>
      </c>
      <c r="C3114" t="str">
        <f>MID(G3114,14,2)</f>
        <v>KB</v>
      </c>
      <c r="D3114" t="s">
        <v>4847</v>
      </c>
      <c r="E3114" s="5">
        <v>2</v>
      </c>
      <c r="G3114" s="4" t="s">
        <v>7288</v>
      </c>
      <c r="H3114" t="s">
        <v>7221</v>
      </c>
      <c r="I3114" s="432" t="s">
        <v>7222</v>
      </c>
      <c r="K3114" t="s">
        <v>1434</v>
      </c>
      <c r="L3114" t="s">
        <v>7354</v>
      </c>
      <c r="M3114" t="s">
        <v>7340</v>
      </c>
    </row>
    <row r="3115" spans="1:13">
      <c r="A3115" s="5">
        <v>3115</v>
      </c>
      <c r="B3115" t="str">
        <f t="shared" ref="B3115:B3123" si="762">MID(G3115,11,2)</f>
        <v>TO</v>
      </c>
      <c r="C3115" t="str">
        <f t="shared" ref="C3115:C3123" si="763">MID(G3115,14,2)</f>
        <v>KB</v>
      </c>
      <c r="D3115" t="s">
        <v>4847</v>
      </c>
      <c r="E3115" s="5">
        <v>2</v>
      </c>
      <c r="G3115" s="4" t="s">
        <v>7288</v>
      </c>
      <c r="H3115" t="s">
        <v>1247</v>
      </c>
      <c r="I3115" s="279" t="s">
        <v>5947</v>
      </c>
      <c r="K3115" t="s">
        <v>659</v>
      </c>
      <c r="L3115" t="s">
        <v>7354</v>
      </c>
      <c r="M3115" t="s">
        <v>7340</v>
      </c>
    </row>
    <row r="3116" spans="1:13">
      <c r="A3116" s="5">
        <v>3116</v>
      </c>
      <c r="B3116" t="str">
        <f t="shared" si="762"/>
        <v>TO</v>
      </c>
      <c r="C3116" t="str">
        <f t="shared" si="763"/>
        <v>KB</v>
      </c>
      <c r="D3116" t="s">
        <v>4847</v>
      </c>
      <c r="E3116" s="5">
        <v>2</v>
      </c>
      <c r="G3116" s="4" t="s">
        <v>7288</v>
      </c>
      <c r="H3116" t="s">
        <v>7101</v>
      </c>
      <c r="I3116" s="279" t="s">
        <v>7228</v>
      </c>
      <c r="K3116" t="s">
        <v>659</v>
      </c>
      <c r="L3116" t="s">
        <v>7354</v>
      </c>
      <c r="M3116" t="s">
        <v>7340</v>
      </c>
    </row>
    <row r="3117" spans="1:13">
      <c r="A3117" s="5">
        <v>3117</v>
      </c>
      <c r="B3117" t="str">
        <f t="shared" si="762"/>
        <v>TO</v>
      </c>
      <c r="C3117" t="str">
        <f t="shared" si="763"/>
        <v>KB</v>
      </c>
      <c r="D3117" t="s">
        <v>4847</v>
      </c>
      <c r="E3117" s="5">
        <v>2</v>
      </c>
      <c r="G3117" s="4" t="s">
        <v>7288</v>
      </c>
      <c r="H3117" t="s">
        <v>1385</v>
      </c>
      <c r="I3117" s="279" t="s">
        <v>5953</v>
      </c>
      <c r="K3117" t="s">
        <v>659</v>
      </c>
      <c r="L3117" t="s">
        <v>7354</v>
      </c>
      <c r="M3117" t="s">
        <v>7340</v>
      </c>
    </row>
    <row r="3118" spans="1:13">
      <c r="A3118" s="5">
        <v>3118</v>
      </c>
      <c r="B3118" t="str">
        <f t="shared" si="762"/>
        <v>TO</v>
      </c>
      <c r="C3118" t="str">
        <f t="shared" si="763"/>
        <v>KB</v>
      </c>
      <c r="D3118" t="s">
        <v>4847</v>
      </c>
      <c r="E3118" s="5">
        <v>2</v>
      </c>
      <c r="G3118" s="4" t="s">
        <v>7288</v>
      </c>
      <c r="H3118" t="s">
        <v>4783</v>
      </c>
      <c r="I3118" s="432" t="s">
        <v>4784</v>
      </c>
      <c r="K3118" t="s">
        <v>659</v>
      </c>
      <c r="L3118" t="s">
        <v>7354</v>
      </c>
      <c r="M3118" t="s">
        <v>7340</v>
      </c>
    </row>
    <row r="3119" spans="1:13">
      <c r="A3119" s="5">
        <v>3119</v>
      </c>
      <c r="B3119" t="str">
        <f t="shared" si="762"/>
        <v>TO</v>
      </c>
      <c r="C3119" t="str">
        <f t="shared" si="763"/>
        <v>KB</v>
      </c>
      <c r="D3119" t="s">
        <v>4847</v>
      </c>
      <c r="E3119" s="5">
        <v>2</v>
      </c>
      <c r="G3119" s="4" t="s">
        <v>7288</v>
      </c>
      <c r="H3119" t="s">
        <v>1322</v>
      </c>
      <c r="I3119" s="432" t="s">
        <v>6650</v>
      </c>
      <c r="K3119" t="s">
        <v>659</v>
      </c>
      <c r="L3119" t="s">
        <v>7354</v>
      </c>
      <c r="M3119" t="s">
        <v>7340</v>
      </c>
    </row>
    <row r="3120" spans="1:13">
      <c r="A3120" s="5">
        <v>3120</v>
      </c>
      <c r="B3120" t="str">
        <f t="shared" si="762"/>
        <v>TO</v>
      </c>
      <c r="C3120" t="str">
        <f t="shared" si="763"/>
        <v>KB</v>
      </c>
      <c r="D3120" t="s">
        <v>4847</v>
      </c>
      <c r="E3120" s="5">
        <v>2</v>
      </c>
      <c r="G3120" s="4" t="s">
        <v>7288</v>
      </c>
      <c r="H3120" t="s">
        <v>7231</v>
      </c>
      <c r="I3120" s="432" t="s">
        <v>7233</v>
      </c>
      <c r="K3120" t="s">
        <v>659</v>
      </c>
      <c r="L3120" t="s">
        <v>7354</v>
      </c>
      <c r="M3120" t="s">
        <v>7340</v>
      </c>
    </row>
    <row r="3121" spans="1:15">
      <c r="A3121" s="5">
        <v>3121</v>
      </c>
      <c r="B3121" t="str">
        <f t="shared" si="762"/>
        <v>TO</v>
      </c>
      <c r="C3121" t="str">
        <f t="shared" si="763"/>
        <v>KB</v>
      </c>
      <c r="D3121" t="s">
        <v>4847</v>
      </c>
      <c r="E3121" s="5">
        <v>2</v>
      </c>
      <c r="G3121" s="4" t="s">
        <v>7288</v>
      </c>
      <c r="H3121" t="s">
        <v>7265</v>
      </c>
      <c r="I3121" s="432" t="s">
        <v>7267</v>
      </c>
      <c r="K3121" t="s">
        <v>659</v>
      </c>
      <c r="L3121" t="s">
        <v>7354</v>
      </c>
      <c r="M3121" t="s">
        <v>7340</v>
      </c>
    </row>
    <row r="3122" spans="1:15">
      <c r="A3122" s="5">
        <v>3122</v>
      </c>
      <c r="B3122" t="str">
        <f t="shared" si="762"/>
        <v>TO</v>
      </c>
      <c r="C3122" t="str">
        <f t="shared" si="763"/>
        <v>KB</v>
      </c>
      <c r="D3122" t="s">
        <v>4847</v>
      </c>
      <c r="E3122" s="5">
        <v>2</v>
      </c>
      <c r="G3122" s="4" t="s">
        <v>7292</v>
      </c>
      <c r="H3122" t="s">
        <v>7270</v>
      </c>
      <c r="I3122" s="432" t="s">
        <v>7272</v>
      </c>
      <c r="K3122" t="s">
        <v>659</v>
      </c>
      <c r="L3122" t="s">
        <v>7354</v>
      </c>
      <c r="M3122" t="s">
        <v>7340</v>
      </c>
    </row>
    <row r="3123" spans="1:15">
      <c r="A3123" s="5">
        <v>3123</v>
      </c>
      <c r="B3123" t="str">
        <f t="shared" si="762"/>
        <v>TO</v>
      </c>
      <c r="C3123" t="str">
        <f t="shared" si="763"/>
        <v>KB</v>
      </c>
      <c r="D3123" t="s">
        <v>4847</v>
      </c>
      <c r="E3123" s="5">
        <v>2</v>
      </c>
      <c r="G3123" s="4" t="s">
        <v>7288</v>
      </c>
      <c r="H3123" t="s">
        <v>7268</v>
      </c>
      <c r="I3123" s="432" t="s">
        <v>7269</v>
      </c>
      <c r="K3123" t="s">
        <v>1434</v>
      </c>
      <c r="L3123" t="s">
        <v>7354</v>
      </c>
      <c r="M3123" t="s">
        <v>7340</v>
      </c>
    </row>
    <row r="3124" spans="1:15">
      <c r="A3124" s="5">
        <v>3124</v>
      </c>
      <c r="B3124" t="str">
        <f>MID(G3124,11,2)</f>
        <v>TO</v>
      </c>
      <c r="C3124" t="str">
        <f>MID(G3124,14,2)</f>
        <v>KB</v>
      </c>
      <c r="D3124" t="s">
        <v>4847</v>
      </c>
      <c r="E3124" s="5">
        <v>3</v>
      </c>
      <c r="G3124" s="4" t="s">
        <v>7289</v>
      </c>
      <c r="H3124" t="s">
        <v>7097</v>
      </c>
      <c r="I3124" s="432" t="s">
        <v>7219</v>
      </c>
      <c r="K3124" t="s">
        <v>1434</v>
      </c>
      <c r="L3124" t="s">
        <v>7354</v>
      </c>
      <c r="M3124" t="s">
        <v>7340</v>
      </c>
    </row>
    <row r="3125" spans="1:15">
      <c r="A3125" s="5">
        <v>3125</v>
      </c>
      <c r="B3125" t="str">
        <f t="shared" ref="B3125:B3131" si="764">MID(G3125,11,2)</f>
        <v>TO</v>
      </c>
      <c r="C3125" t="str">
        <f t="shared" ref="C3125:C3131" si="765">MID(G3125,14,2)</f>
        <v>KB</v>
      </c>
      <c r="D3125" t="s">
        <v>4847</v>
      </c>
      <c r="E3125" s="5">
        <v>3</v>
      </c>
      <c r="G3125" s="4" t="s">
        <v>7289</v>
      </c>
      <c r="H3125" t="s">
        <v>7184</v>
      </c>
      <c r="I3125" s="279" t="s">
        <v>7185</v>
      </c>
      <c r="K3125" t="s">
        <v>1434</v>
      </c>
      <c r="L3125" t="s">
        <v>7354</v>
      </c>
      <c r="M3125" t="s">
        <v>7340</v>
      </c>
    </row>
    <row r="3126" spans="1:15">
      <c r="A3126" s="5">
        <v>3126</v>
      </c>
      <c r="B3126" t="str">
        <f t="shared" si="764"/>
        <v>TO</v>
      </c>
      <c r="C3126" t="str">
        <f t="shared" si="765"/>
        <v>KB</v>
      </c>
      <c r="D3126" t="s">
        <v>4847</v>
      </c>
      <c r="E3126" s="5">
        <v>3</v>
      </c>
      <c r="G3126" s="4" t="s">
        <v>7289</v>
      </c>
      <c r="H3126" t="s">
        <v>7100</v>
      </c>
      <c r="I3126" s="432" t="s">
        <v>7225</v>
      </c>
      <c r="K3126" t="s">
        <v>659</v>
      </c>
      <c r="L3126" t="s">
        <v>7354</v>
      </c>
      <c r="M3126" t="s">
        <v>7358</v>
      </c>
    </row>
    <row r="3127" spans="1:15">
      <c r="A3127" s="5">
        <v>3127</v>
      </c>
      <c r="B3127" t="str">
        <f t="shared" si="764"/>
        <v>TO</v>
      </c>
      <c r="C3127" t="str">
        <f t="shared" si="765"/>
        <v>KB</v>
      </c>
      <c r="D3127" t="s">
        <v>4847</v>
      </c>
      <c r="E3127" s="5">
        <v>3</v>
      </c>
      <c r="G3127" s="4" t="s">
        <v>7289</v>
      </c>
      <c r="H3127" t="s">
        <v>3487</v>
      </c>
      <c r="I3127" s="279" t="s">
        <v>3488</v>
      </c>
      <c r="K3127" t="s">
        <v>659</v>
      </c>
      <c r="L3127" t="s">
        <v>7354</v>
      </c>
      <c r="M3127" t="s">
        <v>7340</v>
      </c>
    </row>
    <row r="3128" spans="1:15">
      <c r="A3128" s="5">
        <v>3128</v>
      </c>
      <c r="B3128" t="str">
        <f t="shared" si="764"/>
        <v>TO</v>
      </c>
      <c r="C3128" t="str">
        <f t="shared" si="765"/>
        <v>KB</v>
      </c>
      <c r="D3128" t="s">
        <v>4847</v>
      </c>
      <c r="E3128" s="5">
        <v>3</v>
      </c>
      <c r="G3128" s="4" t="s">
        <v>7289</v>
      </c>
      <c r="H3128" t="s">
        <v>7229</v>
      </c>
      <c r="I3128" s="432" t="s">
        <v>7230</v>
      </c>
      <c r="K3128" t="s">
        <v>1434</v>
      </c>
      <c r="L3128" t="s">
        <v>7354</v>
      </c>
      <c r="M3128" t="s">
        <v>7340</v>
      </c>
    </row>
    <row r="3129" spans="1:15">
      <c r="A3129" s="5">
        <v>3129</v>
      </c>
      <c r="B3129" t="str">
        <f t="shared" si="764"/>
        <v>TO</v>
      </c>
      <c r="C3129" t="str">
        <f t="shared" si="765"/>
        <v>KB</v>
      </c>
      <c r="D3129" t="s">
        <v>4847</v>
      </c>
      <c r="E3129" s="5">
        <v>3</v>
      </c>
      <c r="G3129" s="4" t="s">
        <v>7289</v>
      </c>
      <c r="H3129" t="s">
        <v>1285</v>
      </c>
      <c r="I3129" s="432" t="s">
        <v>6732</v>
      </c>
      <c r="K3129" t="s">
        <v>659</v>
      </c>
      <c r="L3129" t="s">
        <v>7354</v>
      </c>
      <c r="M3129" t="s">
        <v>7340</v>
      </c>
    </row>
    <row r="3130" spans="1:15">
      <c r="A3130" s="5">
        <v>3130</v>
      </c>
      <c r="B3130" t="str">
        <f t="shared" si="764"/>
        <v>TO</v>
      </c>
      <c r="C3130" t="str">
        <f t="shared" si="765"/>
        <v>KB</v>
      </c>
      <c r="D3130" t="s">
        <v>4847</v>
      </c>
      <c r="E3130" s="5">
        <v>3</v>
      </c>
      <c r="G3130" s="4" t="s">
        <v>7289</v>
      </c>
      <c r="H3130" t="s">
        <v>2129</v>
      </c>
      <c r="I3130" s="432" t="s">
        <v>7235</v>
      </c>
      <c r="K3130" t="s">
        <v>659</v>
      </c>
      <c r="L3130" t="s">
        <v>7354</v>
      </c>
      <c r="M3130" t="s">
        <v>7340</v>
      </c>
    </row>
    <row r="3131" spans="1:15">
      <c r="A3131" s="5">
        <v>3131</v>
      </c>
      <c r="B3131" t="str">
        <f t="shared" si="764"/>
        <v>TO</v>
      </c>
      <c r="C3131" t="str">
        <f t="shared" si="765"/>
        <v>KB</v>
      </c>
      <c r="D3131" t="s">
        <v>4847</v>
      </c>
      <c r="E3131" s="5">
        <v>3</v>
      </c>
      <c r="G3131" s="4" t="s">
        <v>7289</v>
      </c>
      <c r="H3131" t="s">
        <v>7254</v>
      </c>
      <c r="I3131" s="279" t="s">
        <v>7255</v>
      </c>
      <c r="K3131" t="s">
        <v>1434</v>
      </c>
      <c r="L3131" t="s">
        <v>7354</v>
      </c>
      <c r="M3131" t="s">
        <v>7340</v>
      </c>
    </row>
    <row r="3132" spans="1:15" ht="36">
      <c r="A3132" s="5">
        <v>3132</v>
      </c>
      <c r="B3132" t="str">
        <f>MID(G3132,11,2)</f>
        <v>TO</v>
      </c>
      <c r="C3132" t="str">
        <f>MID(G3132,14,2)</f>
        <v>KB</v>
      </c>
      <c r="D3132" t="s">
        <v>4847</v>
      </c>
      <c r="E3132" s="5">
        <v>1</v>
      </c>
      <c r="G3132" s="4" t="s">
        <v>7301</v>
      </c>
      <c r="H3132" s="306" t="s">
        <v>4751</v>
      </c>
      <c r="I3132" s="432" t="s">
        <v>4752</v>
      </c>
      <c r="K3132" t="s">
        <v>659</v>
      </c>
      <c r="L3132" t="s">
        <v>669</v>
      </c>
      <c r="M3132" t="s">
        <v>7550</v>
      </c>
      <c r="N3132" t="s">
        <v>7356</v>
      </c>
      <c r="O3132" t="s">
        <v>7355</v>
      </c>
    </row>
    <row r="3133" spans="1:15" ht="18.600000000000001">
      <c r="A3133" s="5">
        <v>3133</v>
      </c>
      <c r="B3133" t="str">
        <f t="shared" ref="B3133" si="766">MID(G3133,11,2)</f>
        <v>TO</v>
      </c>
      <c r="C3133" t="str">
        <f t="shared" ref="C3133" si="767">MID(G3133,14,2)</f>
        <v>KB</v>
      </c>
      <c r="D3133" t="s">
        <v>4847</v>
      </c>
      <c r="E3133" s="5">
        <v>3</v>
      </c>
      <c r="G3133" s="4" t="s">
        <v>7317</v>
      </c>
      <c r="H3133" s="70" t="s">
        <v>7297</v>
      </c>
      <c r="I3133" s="279" t="s">
        <v>7316</v>
      </c>
      <c r="K3133" t="s">
        <v>1434</v>
      </c>
      <c r="L3133" t="s">
        <v>669</v>
      </c>
      <c r="M3133" t="s">
        <v>7340</v>
      </c>
    </row>
    <row r="3134" spans="1:15" ht="18.600000000000001">
      <c r="A3134" s="5">
        <v>3134</v>
      </c>
      <c r="B3134" t="str">
        <f t="shared" ref="B3134:B3136" si="768">MID(G3134,11,2)</f>
        <v>TO</v>
      </c>
      <c r="C3134" t="str">
        <f t="shared" ref="C3134:C3136" si="769">MID(G3134,14,2)</f>
        <v>KB</v>
      </c>
      <c r="D3134" t="s">
        <v>4847</v>
      </c>
      <c r="E3134" s="5">
        <v>3</v>
      </c>
      <c r="G3134" s="4" t="s">
        <v>7317</v>
      </c>
      <c r="H3134" s="70" t="s">
        <v>4718</v>
      </c>
      <c r="I3134" s="279" t="s">
        <v>4719</v>
      </c>
      <c r="K3134" t="s">
        <v>1434</v>
      </c>
      <c r="L3134" t="s">
        <v>669</v>
      </c>
      <c r="M3134" t="s">
        <v>7340</v>
      </c>
    </row>
    <row r="3135" spans="1:15" ht="18.600000000000001">
      <c r="A3135" s="5">
        <v>3135</v>
      </c>
      <c r="B3135" t="str">
        <f t="shared" si="768"/>
        <v>TO</v>
      </c>
      <c r="C3135" t="str">
        <f t="shared" si="769"/>
        <v>KB</v>
      </c>
      <c r="D3135" t="s">
        <v>4847</v>
      </c>
      <c r="E3135" s="5">
        <v>3</v>
      </c>
      <c r="G3135" s="4" t="s">
        <v>7317</v>
      </c>
      <c r="H3135" s="70" t="s">
        <v>4720</v>
      </c>
      <c r="I3135" s="279" t="s">
        <v>4721</v>
      </c>
      <c r="K3135" t="s">
        <v>1434</v>
      </c>
      <c r="L3135" t="s">
        <v>669</v>
      </c>
      <c r="M3135" t="s">
        <v>7340</v>
      </c>
    </row>
    <row r="3136" spans="1:15" ht="18.600000000000001">
      <c r="A3136" s="5">
        <v>3136</v>
      </c>
      <c r="B3136" t="str">
        <f t="shared" si="768"/>
        <v>TO</v>
      </c>
      <c r="C3136" t="str">
        <f t="shared" si="769"/>
        <v>KB</v>
      </c>
      <c r="D3136" t="s">
        <v>4847</v>
      </c>
      <c r="E3136" s="5">
        <v>3</v>
      </c>
      <c r="G3136" s="4" t="s">
        <v>7317</v>
      </c>
      <c r="H3136" s="70" t="s">
        <v>4739</v>
      </c>
      <c r="I3136" s="279" t="s">
        <v>7293</v>
      </c>
      <c r="K3136" t="s">
        <v>1434</v>
      </c>
      <c r="L3136" t="s">
        <v>669</v>
      </c>
      <c r="M3136" t="s">
        <v>7340</v>
      </c>
    </row>
    <row r="3137" spans="2:13">
      <c r="B3137" t="str">
        <f t="shared" ref="B3137:B3144" si="770">MID(G3137,11,2)</f>
        <v>TO</v>
      </c>
      <c r="C3137" t="str">
        <f t="shared" ref="C3137:C3144" si="771">MID(G3137,14,2)</f>
        <v>Ap</v>
      </c>
      <c r="D3137" t="s">
        <v>4847</v>
      </c>
      <c r="E3137" s="5">
        <v>1</v>
      </c>
      <c r="G3137" s="4" t="s">
        <v>7309</v>
      </c>
      <c r="H3137" t="s">
        <v>7303</v>
      </c>
      <c r="I3137" s="279"/>
      <c r="K3137" t="s">
        <v>2841</v>
      </c>
      <c r="L3137" t="s">
        <v>7357</v>
      </c>
      <c r="M3137"/>
    </row>
    <row r="3138" spans="2:13">
      <c r="B3138" t="str">
        <f t="shared" ref="B3138:B3139" si="772">MID(G3138,11,2)</f>
        <v>TO</v>
      </c>
      <c r="C3138" t="str">
        <f t="shared" ref="C3138:C3139" si="773">MID(G3138,14,2)</f>
        <v>Ap</v>
      </c>
      <c r="D3138" t="s">
        <v>4847</v>
      </c>
      <c r="E3138" s="5">
        <v>1</v>
      </c>
      <c r="G3138" s="4" t="s">
        <v>7308</v>
      </c>
      <c r="H3138" t="s">
        <v>7304</v>
      </c>
      <c r="I3138" s="279"/>
      <c r="K3138" t="s">
        <v>2841</v>
      </c>
      <c r="L3138" t="s">
        <v>7357</v>
      </c>
      <c r="M3138"/>
    </row>
    <row r="3139" spans="2:13">
      <c r="B3139" t="str">
        <f t="shared" si="772"/>
        <v>TO</v>
      </c>
      <c r="C3139" t="str">
        <f t="shared" si="773"/>
        <v>Ap</v>
      </c>
      <c r="D3139" t="s">
        <v>4847</v>
      </c>
      <c r="E3139" s="5">
        <v>1</v>
      </c>
      <c r="G3139" s="4" t="s">
        <v>7308</v>
      </c>
      <c r="H3139" t="s">
        <v>7305</v>
      </c>
      <c r="I3139" s="279"/>
      <c r="K3139" t="s">
        <v>2841</v>
      </c>
      <c r="L3139" t="s">
        <v>7357</v>
      </c>
      <c r="M3139"/>
    </row>
    <row r="3140" spans="2:13">
      <c r="B3140" t="str">
        <f t="shared" si="770"/>
        <v>TO</v>
      </c>
      <c r="C3140" t="str">
        <f t="shared" si="771"/>
        <v>Ap</v>
      </c>
      <c r="D3140" t="s">
        <v>4847</v>
      </c>
      <c r="E3140" s="5">
        <v>1</v>
      </c>
      <c r="G3140" s="4" t="s">
        <v>7308</v>
      </c>
      <c r="H3140" t="s">
        <v>7361</v>
      </c>
      <c r="I3140" s="279"/>
      <c r="K3140" t="s">
        <v>2841</v>
      </c>
      <c r="L3140" t="s">
        <v>7357</v>
      </c>
      <c r="M3140"/>
    </row>
    <row r="3141" spans="2:13">
      <c r="B3141" t="str">
        <f t="shared" ref="B3141:B3142" si="774">MID(G3141,11,2)</f>
        <v>TO</v>
      </c>
      <c r="C3141" t="str">
        <f t="shared" ref="C3141:C3142" si="775">MID(G3141,14,2)</f>
        <v>Ap</v>
      </c>
      <c r="D3141" t="s">
        <v>4847</v>
      </c>
      <c r="E3141" s="5">
        <v>1</v>
      </c>
      <c r="G3141" s="4" t="s">
        <v>7308</v>
      </c>
      <c r="H3141" t="s">
        <v>7360</v>
      </c>
      <c r="I3141" s="279"/>
      <c r="K3141" t="s">
        <v>2841</v>
      </c>
      <c r="L3141" t="s">
        <v>7357</v>
      </c>
      <c r="M3141"/>
    </row>
    <row r="3142" spans="2:13">
      <c r="B3142" t="str">
        <f t="shared" si="774"/>
        <v>TO</v>
      </c>
      <c r="C3142" t="str">
        <f t="shared" si="775"/>
        <v>Ap</v>
      </c>
      <c r="D3142" t="s">
        <v>4847</v>
      </c>
      <c r="E3142" s="5">
        <v>1</v>
      </c>
      <c r="G3142" s="4" t="s">
        <v>7308</v>
      </c>
      <c r="H3142" t="s">
        <v>7306</v>
      </c>
      <c r="I3142" s="279"/>
      <c r="K3142" t="s">
        <v>2841</v>
      </c>
      <c r="L3142" t="s">
        <v>7357</v>
      </c>
      <c r="M3142"/>
    </row>
    <row r="3143" spans="2:13">
      <c r="B3143" t="str">
        <f t="shared" si="770"/>
        <v/>
      </c>
      <c r="C3143" t="str">
        <f t="shared" si="771"/>
        <v/>
      </c>
      <c r="E3143" s="5"/>
      <c r="H3143"/>
      <c r="I3143" s="279"/>
      <c r="M3143"/>
    </row>
    <row r="3144" spans="2:13">
      <c r="B3144" t="str">
        <f t="shared" si="770"/>
        <v/>
      </c>
      <c r="C3144" t="str">
        <f t="shared" si="771"/>
        <v/>
      </c>
      <c r="E3144" s="5"/>
      <c r="H3144"/>
      <c r="I3144" s="279"/>
      <c r="M3144"/>
    </row>
    <row r="3145" spans="2:13" ht="18.600000000000001">
      <c r="B3145" t="str">
        <f t="shared" ref="B3145:B3173" si="776">MID(G3145,11,2)</f>
        <v/>
      </c>
      <c r="C3145" t="str">
        <f t="shared" ref="C3145:C3173" si="777">MID(G3145,14,2)</f>
        <v/>
      </c>
      <c r="E3145" s="5"/>
      <c r="H3145" s="70"/>
      <c r="I3145" s="279"/>
      <c r="M3145"/>
    </row>
    <row r="3146" spans="2:13" ht="36">
      <c r="B3146" t="str">
        <f t="shared" si="776"/>
        <v>TO</v>
      </c>
      <c r="C3146" t="str">
        <f t="shared" si="777"/>
        <v>Ed</v>
      </c>
      <c r="D3146" t="s">
        <v>4847</v>
      </c>
      <c r="E3146" s="5">
        <v>1</v>
      </c>
      <c r="G3146" s="4" t="s">
        <v>7311</v>
      </c>
      <c r="H3146" s="306" t="s">
        <v>7312</v>
      </c>
      <c r="K3146" t="s">
        <v>2841</v>
      </c>
      <c r="L3146" t="s">
        <v>669</v>
      </c>
      <c r="M3146" t="s">
        <v>1424</v>
      </c>
    </row>
    <row r="3147" spans="2:13" ht="36">
      <c r="B3147" t="str">
        <f t="shared" ref="B3147" si="778">MID(G3147,11,2)</f>
        <v>TO</v>
      </c>
      <c r="C3147" t="str">
        <f t="shared" ref="C3147" si="779">MID(G3147,14,2)</f>
        <v>Ed</v>
      </c>
      <c r="D3147" t="s">
        <v>4847</v>
      </c>
      <c r="E3147" s="5">
        <v>1</v>
      </c>
      <c r="G3147" s="4" t="s">
        <v>7311</v>
      </c>
      <c r="H3147" s="306" t="s">
        <v>7313</v>
      </c>
      <c r="I3147" s="279"/>
      <c r="K3147" t="s">
        <v>2841</v>
      </c>
      <c r="L3147" t="s">
        <v>669</v>
      </c>
      <c r="M3147" t="s">
        <v>1424</v>
      </c>
    </row>
    <row r="3148" spans="2:13" ht="36">
      <c r="B3148" t="str">
        <f t="shared" si="776"/>
        <v>TO</v>
      </c>
      <c r="C3148" t="str">
        <f t="shared" si="777"/>
        <v>Ap</v>
      </c>
      <c r="D3148" t="s">
        <v>7319</v>
      </c>
      <c r="E3148" s="5">
        <v>1</v>
      </c>
      <c r="G3148" s="4" t="s">
        <v>7348</v>
      </c>
      <c r="H3148" s="306" t="s">
        <v>7349</v>
      </c>
      <c r="I3148" s="279"/>
      <c r="K3148" t="s">
        <v>2841</v>
      </c>
      <c r="L3148" t="s">
        <v>669</v>
      </c>
      <c r="M3148" t="s">
        <v>1424</v>
      </c>
    </row>
    <row r="3149" spans="2:13" ht="36">
      <c r="B3149" t="str">
        <f t="shared" ref="B3149:B3152" si="780">MID(G3149,11,2)</f>
        <v>TO</v>
      </c>
      <c r="C3149" t="str">
        <f t="shared" ref="C3149:C3152" si="781">MID(G3149,14,2)</f>
        <v>Ap</v>
      </c>
      <c r="D3149" t="s">
        <v>7319</v>
      </c>
      <c r="E3149" s="5">
        <v>1</v>
      </c>
      <c r="G3149" s="4" t="s">
        <v>7348</v>
      </c>
      <c r="H3149" s="306" t="s">
        <v>7350</v>
      </c>
      <c r="I3149" s="279"/>
      <c r="K3149" t="s">
        <v>2841</v>
      </c>
      <c r="L3149" t="s">
        <v>669</v>
      </c>
      <c r="M3149" t="s">
        <v>1424</v>
      </c>
    </row>
    <row r="3150" spans="2:13" ht="36">
      <c r="B3150" t="str">
        <f t="shared" si="780"/>
        <v>TO</v>
      </c>
      <c r="C3150" t="str">
        <f t="shared" si="781"/>
        <v>Ap</v>
      </c>
      <c r="D3150" t="s">
        <v>7319</v>
      </c>
      <c r="E3150" s="5">
        <v>1</v>
      </c>
      <c r="G3150" s="4" t="s">
        <v>7348</v>
      </c>
      <c r="H3150" s="306" t="s">
        <v>7351</v>
      </c>
      <c r="K3150" t="s">
        <v>2841</v>
      </c>
      <c r="L3150" t="s">
        <v>669</v>
      </c>
      <c r="M3150" t="s">
        <v>1424</v>
      </c>
    </row>
    <row r="3151" spans="2:13" ht="36">
      <c r="B3151" t="str">
        <f t="shared" si="780"/>
        <v>TO</v>
      </c>
      <c r="C3151" t="str">
        <f t="shared" si="781"/>
        <v>Ap</v>
      </c>
      <c r="D3151" t="s">
        <v>7319</v>
      </c>
      <c r="E3151" s="5">
        <v>1</v>
      </c>
      <c r="G3151" s="4" t="s">
        <v>7348</v>
      </c>
      <c r="H3151" s="306" t="s">
        <v>7352</v>
      </c>
      <c r="I3151" s="279"/>
      <c r="K3151" t="s">
        <v>2841</v>
      </c>
      <c r="L3151" t="s">
        <v>669</v>
      </c>
      <c r="M3151" t="s">
        <v>1424</v>
      </c>
    </row>
    <row r="3152" spans="2:13" ht="36">
      <c r="B3152" t="str">
        <f t="shared" si="780"/>
        <v>TO</v>
      </c>
      <c r="C3152" t="str">
        <f t="shared" si="781"/>
        <v>Ap</v>
      </c>
      <c r="D3152" t="s">
        <v>7319</v>
      </c>
      <c r="E3152" s="5">
        <v>1</v>
      </c>
      <c r="G3152" s="4" t="s">
        <v>7348</v>
      </c>
      <c r="H3152" s="306" t="s">
        <v>7353</v>
      </c>
      <c r="K3152" t="s">
        <v>2841</v>
      </c>
      <c r="L3152" t="s">
        <v>669</v>
      </c>
      <c r="M3152" t="s">
        <v>1424</v>
      </c>
    </row>
    <row r="3153" spans="2:14" ht="36">
      <c r="B3153" t="str">
        <f>MID(G3153,11,2)</f>
        <v>TO</v>
      </c>
      <c r="C3153" t="str">
        <f>MID(G3153,14,2)</f>
        <v>Ed</v>
      </c>
      <c r="D3153" t="s">
        <v>7320</v>
      </c>
      <c r="E3153" s="5">
        <v>1</v>
      </c>
      <c r="G3153" s="4" t="s">
        <v>7378</v>
      </c>
      <c r="H3153" s="70" t="s">
        <v>7379</v>
      </c>
      <c r="I3153" s="279"/>
      <c r="K3153" t="s">
        <v>2841</v>
      </c>
      <c r="L3153" t="s">
        <v>669</v>
      </c>
      <c r="M3153" t="s">
        <v>1424</v>
      </c>
    </row>
    <row r="3154" spans="2:14">
      <c r="B3154" t="str">
        <f t="shared" ref="B3154:B3155" si="782">MID(G3154,11,2)</f>
        <v>TO</v>
      </c>
      <c r="C3154" t="str">
        <f t="shared" ref="C3154:C3155" si="783">MID(G3154,14,2)</f>
        <v>KB</v>
      </c>
      <c r="D3154" t="s">
        <v>7320</v>
      </c>
      <c r="E3154" s="5">
        <v>2</v>
      </c>
      <c r="G3154" s="4" t="s">
        <v>7388</v>
      </c>
      <c r="H3154" s="306" t="s">
        <v>7384</v>
      </c>
      <c r="I3154" s="279" t="s">
        <v>7387</v>
      </c>
      <c r="K3154" t="s">
        <v>1434</v>
      </c>
      <c r="L3154" t="s">
        <v>3224</v>
      </c>
      <c r="M3154"/>
    </row>
    <row r="3155" spans="2:14">
      <c r="B3155" t="str">
        <f t="shared" si="782"/>
        <v>TO</v>
      </c>
      <c r="C3155" t="str">
        <f t="shared" si="783"/>
        <v>KB</v>
      </c>
      <c r="D3155" t="s">
        <v>7320</v>
      </c>
      <c r="E3155" s="5">
        <v>2</v>
      </c>
      <c r="G3155" s="4" t="s">
        <v>7391</v>
      </c>
      <c r="H3155" s="306" t="s">
        <v>7389</v>
      </c>
      <c r="I3155" s="279" t="s">
        <v>7390</v>
      </c>
      <c r="K3155" t="s">
        <v>1434</v>
      </c>
      <c r="L3155" t="s">
        <v>3224</v>
      </c>
      <c r="M3155"/>
    </row>
    <row r="3156" spans="2:14">
      <c r="B3156" t="str">
        <f t="shared" ref="B3156:B3168" si="784">MID(G3156,11,2)</f>
        <v>TO</v>
      </c>
      <c r="C3156" t="str">
        <f t="shared" ref="C3156:C3168" si="785">MID(G3156,14,2)</f>
        <v>KB</v>
      </c>
      <c r="D3156" t="s">
        <v>7320</v>
      </c>
      <c r="E3156" s="5">
        <v>2</v>
      </c>
      <c r="G3156" s="4" t="s">
        <v>7393</v>
      </c>
      <c r="H3156" t="s">
        <v>7398</v>
      </c>
      <c r="I3156" s="432" t="s">
        <v>7394</v>
      </c>
      <c r="K3156" t="s">
        <v>1434</v>
      </c>
      <c r="L3156" t="s">
        <v>3224</v>
      </c>
      <c r="M3156"/>
    </row>
    <row r="3157" spans="2:14" ht="36">
      <c r="B3157" t="str">
        <f t="shared" si="784"/>
        <v>TO</v>
      </c>
      <c r="C3157" t="str">
        <f t="shared" si="785"/>
        <v>KB</v>
      </c>
      <c r="D3157" t="s">
        <v>7320</v>
      </c>
      <c r="E3157" s="5">
        <v>1</v>
      </c>
      <c r="G3157" s="4" t="s">
        <v>7403</v>
      </c>
      <c r="H3157" s="306" t="s">
        <v>7398</v>
      </c>
      <c r="I3157" s="432" t="s">
        <v>7394</v>
      </c>
      <c r="K3157" t="s">
        <v>659</v>
      </c>
      <c r="L3157" t="s">
        <v>3224</v>
      </c>
      <c r="M3157"/>
      <c r="N3157" t="s">
        <v>7399</v>
      </c>
    </row>
    <row r="3158" spans="2:14" ht="36">
      <c r="B3158" t="str">
        <f t="shared" ref="B3158" si="786">MID(G3158,11,2)</f>
        <v>TO</v>
      </c>
      <c r="C3158" t="str">
        <f t="shared" ref="C3158" si="787">MID(G3158,14,2)</f>
        <v>KB</v>
      </c>
      <c r="D3158" t="s">
        <v>7320</v>
      </c>
      <c r="E3158" s="5">
        <v>1</v>
      </c>
      <c r="G3158" s="4" t="s">
        <v>7404</v>
      </c>
      <c r="H3158" s="306" t="s">
        <v>7384</v>
      </c>
      <c r="I3158" s="279" t="s">
        <v>7400</v>
      </c>
      <c r="K3158" t="s">
        <v>659</v>
      </c>
      <c r="L3158" t="s">
        <v>3224</v>
      </c>
      <c r="M3158"/>
    </row>
    <row r="3159" spans="2:14" ht="34.200000000000003" customHeight="1">
      <c r="B3159" t="str">
        <f t="shared" si="784"/>
        <v>TO</v>
      </c>
      <c r="C3159" t="str">
        <f t="shared" si="785"/>
        <v>KB</v>
      </c>
      <c r="D3159" t="s">
        <v>7321</v>
      </c>
      <c r="E3159" s="5">
        <v>1</v>
      </c>
      <c r="G3159" s="4" t="s">
        <v>7463</v>
      </c>
      <c r="H3159" s="306" t="s">
        <v>7384</v>
      </c>
      <c r="I3159" s="279" t="s">
        <v>7387</v>
      </c>
      <c r="K3159" t="s">
        <v>659</v>
      </c>
      <c r="L3159" t="s">
        <v>3224</v>
      </c>
      <c r="M3159"/>
    </row>
    <row r="3160" spans="2:14" ht="36">
      <c r="B3160" t="str">
        <f>MID(G3160,11,2)</f>
        <v>TO</v>
      </c>
      <c r="C3160" t="str">
        <f>MID(G3160,14,2)</f>
        <v>Ap</v>
      </c>
      <c r="D3160" t="s">
        <v>7321</v>
      </c>
      <c r="E3160" s="5">
        <v>2</v>
      </c>
      <c r="G3160" s="4" t="s">
        <v>7477</v>
      </c>
      <c r="H3160" s="70" t="s">
        <v>4028</v>
      </c>
      <c r="I3160" s="279"/>
      <c r="M3160"/>
    </row>
    <row r="3161" spans="2:14" ht="36">
      <c r="B3161" t="str">
        <f>MID(G3161,11,2)</f>
        <v>TO</v>
      </c>
      <c r="C3161" t="str">
        <f>MID(G3161,14,2)</f>
        <v>Ap</v>
      </c>
      <c r="D3161" t="s">
        <v>7321</v>
      </c>
      <c r="E3161" s="5">
        <v>2</v>
      </c>
      <c r="G3161" s="4" t="s">
        <v>7477</v>
      </c>
      <c r="H3161" s="70" t="s">
        <v>5822</v>
      </c>
      <c r="I3161" s="279"/>
      <c r="M3161"/>
    </row>
    <row r="3162" spans="2:14" ht="18.600000000000001">
      <c r="B3162" t="str">
        <f t="shared" si="784"/>
        <v>TO</v>
      </c>
      <c r="C3162" t="str">
        <f t="shared" si="785"/>
        <v>KB</v>
      </c>
      <c r="D3162" t="s">
        <v>7321</v>
      </c>
      <c r="E3162" s="5">
        <v>1</v>
      </c>
      <c r="G3162" s="4" t="s">
        <v>7483</v>
      </c>
      <c r="H3162" s="70" t="s">
        <v>7549</v>
      </c>
      <c r="I3162" s="279"/>
      <c r="K3162" t="s">
        <v>659</v>
      </c>
      <c r="L3162" t="s">
        <v>669</v>
      </c>
      <c r="M3162" t="s">
        <v>7340</v>
      </c>
    </row>
    <row r="3163" spans="2:14" ht="18.600000000000001">
      <c r="B3163" t="str">
        <f t="shared" ref="B3163:B3164" si="788">MID(G3163,11,2)</f>
        <v>TO</v>
      </c>
      <c r="C3163" t="str">
        <f t="shared" ref="C3163:C3164" si="789">MID(G3163,14,2)</f>
        <v>KB</v>
      </c>
      <c r="D3163" t="s">
        <v>7321</v>
      </c>
      <c r="E3163" s="5">
        <v>1</v>
      </c>
      <c r="G3163" s="4" t="s">
        <v>7482</v>
      </c>
      <c r="H3163" s="70" t="s">
        <v>7478</v>
      </c>
      <c r="I3163" s="279"/>
      <c r="K3163" t="s">
        <v>659</v>
      </c>
      <c r="L3163" t="s">
        <v>669</v>
      </c>
      <c r="M3163" t="s">
        <v>7340</v>
      </c>
    </row>
    <row r="3164" spans="2:14" ht="18.600000000000001">
      <c r="B3164" t="str">
        <f t="shared" si="788"/>
        <v>TO</v>
      </c>
      <c r="C3164" t="str">
        <f t="shared" si="789"/>
        <v>KB</v>
      </c>
      <c r="D3164" t="s">
        <v>7321</v>
      </c>
      <c r="E3164" s="5">
        <v>1</v>
      </c>
      <c r="G3164" s="4" t="s">
        <v>7482</v>
      </c>
      <c r="H3164" s="70" t="s">
        <v>7479</v>
      </c>
      <c r="I3164" s="279"/>
      <c r="K3164" t="s">
        <v>659</v>
      </c>
      <c r="L3164" t="s">
        <v>669</v>
      </c>
      <c r="M3164" t="s">
        <v>7340</v>
      </c>
    </row>
    <row r="3165" spans="2:14" ht="18.600000000000001">
      <c r="E3165" s="5"/>
      <c r="H3165" s="70"/>
      <c r="I3165" s="279"/>
      <c r="M3165"/>
    </row>
    <row r="3166" spans="2:14" ht="18.600000000000001">
      <c r="B3166" t="str">
        <f t="shared" si="784"/>
        <v/>
      </c>
      <c r="C3166" t="str">
        <f t="shared" si="785"/>
        <v/>
      </c>
      <c r="E3166" s="5"/>
      <c r="H3166" s="70"/>
      <c r="I3166" s="279"/>
      <c r="M3166"/>
    </row>
    <row r="3167" spans="2:14" ht="18.600000000000001">
      <c r="B3167" t="str">
        <f t="shared" si="784"/>
        <v/>
      </c>
      <c r="C3167" t="str">
        <f t="shared" si="785"/>
        <v/>
      </c>
      <c r="E3167" s="5"/>
      <c r="H3167" s="70"/>
      <c r="I3167" s="279"/>
      <c r="M3167"/>
    </row>
    <row r="3168" spans="2:14" ht="18.600000000000001">
      <c r="B3168" t="str">
        <f t="shared" si="784"/>
        <v/>
      </c>
      <c r="C3168" t="str">
        <f t="shared" si="785"/>
        <v/>
      </c>
      <c r="E3168" s="5"/>
      <c r="H3168" s="70"/>
      <c r="I3168" s="279"/>
      <c r="M3168"/>
    </row>
    <row r="3169" spans="2:14">
      <c r="B3169" t="str">
        <f>MID(G3169,11,2)</f>
        <v/>
      </c>
      <c r="C3169" t="str">
        <f>MID(G3169,14,2)</f>
        <v/>
      </c>
      <c r="E3169" s="5"/>
      <c r="I3169" s="279"/>
      <c r="M3169"/>
    </row>
    <row r="3170" spans="2:14">
      <c r="B3170" t="str">
        <f t="shared" ref="B3170" si="790">MID(G3170,11,2)</f>
        <v/>
      </c>
      <c r="C3170" t="str">
        <f t="shared" ref="C3170" si="791">MID(G3170,14,2)</f>
        <v/>
      </c>
      <c r="E3170" s="5"/>
      <c r="M3170"/>
    </row>
    <row r="3171" spans="2:14">
      <c r="B3171" t="str">
        <f>MID(G3171,11,2)</f>
        <v/>
      </c>
      <c r="C3171" t="str">
        <f>MID(G3171,14,2)</f>
        <v/>
      </c>
      <c r="E3171" s="5"/>
      <c r="I3171" s="279"/>
      <c r="M3171"/>
    </row>
    <row r="3172" spans="2:14" ht="18.600000000000001">
      <c r="B3172" t="str">
        <f>MID(G3172,11,2)</f>
        <v/>
      </c>
      <c r="C3172" t="str">
        <f>MID(G3172,14,2)</f>
        <v/>
      </c>
      <c r="E3172" s="5"/>
      <c r="H3172" s="70"/>
      <c r="I3172" s="279"/>
      <c r="M3172"/>
    </row>
    <row r="3173" spans="2:14">
      <c r="B3173" t="str">
        <f t="shared" si="776"/>
        <v/>
      </c>
      <c r="C3173" t="str">
        <f t="shared" si="777"/>
        <v/>
      </c>
      <c r="E3173" s="5"/>
      <c r="M3173"/>
    </row>
    <row r="3174" spans="2:14" ht="18.600000000000001">
      <c r="B3174" t="str">
        <f>MID(G3174,11,2)</f>
        <v>TO</v>
      </c>
      <c r="C3174" t="str">
        <f>MID(G3174,14,2)</f>
        <v>KB</v>
      </c>
      <c r="D3174" t="s">
        <v>7320</v>
      </c>
      <c r="E3174" s="5">
        <v>3</v>
      </c>
      <c r="G3174" s="4" t="s">
        <v>7439</v>
      </c>
      <c r="H3174" s="71" t="s">
        <v>4493</v>
      </c>
      <c r="I3174" s="475" t="s">
        <v>4494</v>
      </c>
      <c r="J3174" s="9" t="s">
        <v>7415</v>
      </c>
      <c r="K3174" t="s">
        <v>659</v>
      </c>
      <c r="L3174" t="s">
        <v>3224</v>
      </c>
      <c r="M3174"/>
      <c r="N3174" t="s">
        <v>7436</v>
      </c>
    </row>
    <row r="3175" spans="2:14" ht="18.600000000000001">
      <c r="B3175" t="str">
        <f>MID(G3175,11,2)</f>
        <v>TO</v>
      </c>
      <c r="C3175" t="str">
        <f>MID(G3175,14,2)</f>
        <v>KB</v>
      </c>
      <c r="D3175" t="s">
        <v>7320</v>
      </c>
      <c r="E3175" s="5">
        <v>3</v>
      </c>
      <c r="G3175" s="4" t="s">
        <v>7439</v>
      </c>
      <c r="H3175" s="71" t="s">
        <v>7449</v>
      </c>
      <c r="I3175" s="475" t="s">
        <v>7450</v>
      </c>
      <c r="J3175" s="9" t="s">
        <v>7415</v>
      </c>
      <c r="K3175" t="s">
        <v>659</v>
      </c>
      <c r="L3175" t="s">
        <v>3224</v>
      </c>
      <c r="M3175"/>
    </row>
    <row r="3176" spans="2:14">
      <c r="B3176" t="str">
        <f t="shared" ref="B3176" si="792">MID(G3176,11,2)</f>
        <v>TO</v>
      </c>
      <c r="C3176" t="str">
        <f t="shared" ref="C3176" si="793">MID(G3176,14,2)</f>
        <v>KB</v>
      </c>
      <c r="D3176" t="s">
        <v>7320</v>
      </c>
      <c r="E3176" s="5">
        <v>3</v>
      </c>
      <c r="G3176" s="4" t="s">
        <v>7441</v>
      </c>
      <c r="H3176" s="306" t="s">
        <v>7396</v>
      </c>
      <c r="I3176" s="432" t="s">
        <v>7395</v>
      </c>
      <c r="J3176" t="s">
        <v>7408</v>
      </c>
      <c r="K3176" t="s">
        <v>1434</v>
      </c>
      <c r="L3176" t="s">
        <v>3224</v>
      </c>
      <c r="M3176"/>
    </row>
    <row r="3177" spans="2:14" ht="18.600000000000001">
      <c r="B3177" t="str">
        <f t="shared" ref="B3177:B3178" si="794">MID(G3177,11,2)</f>
        <v>TO</v>
      </c>
      <c r="C3177" t="str">
        <f t="shared" ref="C3177:C3178" si="795">MID(G3177,14,2)</f>
        <v>KB</v>
      </c>
      <c r="D3177" t="s">
        <v>7320</v>
      </c>
      <c r="E3177" s="5">
        <v>3</v>
      </c>
      <c r="G3177" s="4" t="s">
        <v>7458</v>
      </c>
      <c r="H3177" s="70" t="s">
        <v>4740</v>
      </c>
      <c r="I3177" s="279" t="s">
        <v>7418</v>
      </c>
      <c r="J3177" t="s">
        <v>7408</v>
      </c>
      <c r="K3177" t="s">
        <v>1434</v>
      </c>
      <c r="L3177" t="s">
        <v>3224</v>
      </c>
      <c r="M3177"/>
    </row>
    <row r="3178" spans="2:14" ht="18.600000000000001">
      <c r="B3178" t="str">
        <f t="shared" si="794"/>
        <v>TO</v>
      </c>
      <c r="C3178" t="str">
        <f t="shared" si="795"/>
        <v>KB</v>
      </c>
      <c r="D3178" t="s">
        <v>7320</v>
      </c>
      <c r="E3178" s="5">
        <v>3</v>
      </c>
      <c r="G3178" s="4" t="s">
        <v>7441</v>
      </c>
      <c r="H3178" s="70" t="s">
        <v>4741</v>
      </c>
      <c r="I3178" s="279" t="s">
        <v>4742</v>
      </c>
      <c r="J3178" t="s">
        <v>7408</v>
      </c>
      <c r="K3178" t="s">
        <v>1434</v>
      </c>
      <c r="L3178" t="s">
        <v>3224</v>
      </c>
      <c r="M3178"/>
    </row>
    <row r="3179" spans="2:14" ht="18.600000000000001">
      <c r="B3179" t="str">
        <f>MID(G3179,11,2)</f>
        <v>TO</v>
      </c>
      <c r="C3179" t="str">
        <f>MID(G3179,14,2)</f>
        <v>KB</v>
      </c>
      <c r="D3179" t="s">
        <v>7320</v>
      </c>
      <c r="E3179" s="5">
        <v>3</v>
      </c>
      <c r="G3179" s="4" t="s">
        <v>7442</v>
      </c>
      <c r="H3179" s="70" t="s">
        <v>7447</v>
      </c>
      <c r="I3179" s="279" t="s">
        <v>7448</v>
      </c>
      <c r="J3179" t="s">
        <v>7408</v>
      </c>
      <c r="K3179" t="s">
        <v>1434</v>
      </c>
      <c r="L3179" t="s">
        <v>3224</v>
      </c>
      <c r="M3179"/>
    </row>
    <row r="3180" spans="2:14" ht="18.600000000000001">
      <c r="B3180" t="str">
        <f t="shared" ref="B3180:B3184" si="796">MID(G3180,11,2)</f>
        <v>TO</v>
      </c>
      <c r="C3180" t="str">
        <f t="shared" ref="C3180:C3184" si="797">MID(G3180,14,2)</f>
        <v>KB</v>
      </c>
      <c r="D3180" t="s">
        <v>7320</v>
      </c>
      <c r="E3180" s="5">
        <v>3</v>
      </c>
      <c r="G3180" s="4" t="s">
        <v>7442</v>
      </c>
      <c r="H3180" s="70" t="s">
        <v>7298</v>
      </c>
      <c r="I3180" s="279" t="s">
        <v>7294</v>
      </c>
      <c r="J3180" t="s">
        <v>7408</v>
      </c>
      <c r="K3180" t="s">
        <v>659</v>
      </c>
      <c r="L3180" t="s">
        <v>3224</v>
      </c>
      <c r="M3180"/>
    </row>
    <row r="3181" spans="2:14" ht="18.600000000000001">
      <c r="B3181" t="str">
        <f>MID(G3181,11,2)</f>
        <v>TO</v>
      </c>
      <c r="C3181" t="str">
        <f>MID(G3181,14,2)</f>
        <v>KB</v>
      </c>
      <c r="D3181" t="s">
        <v>7320</v>
      </c>
      <c r="E3181" s="5">
        <v>3</v>
      </c>
      <c r="G3181" s="4" t="s">
        <v>7442</v>
      </c>
      <c r="H3181" s="70" t="s">
        <v>2600</v>
      </c>
      <c r="I3181" s="279" t="s">
        <v>7419</v>
      </c>
      <c r="J3181" t="s">
        <v>7408</v>
      </c>
      <c r="K3181" t="s">
        <v>659</v>
      </c>
      <c r="L3181" t="s">
        <v>3224</v>
      </c>
      <c r="M3181"/>
    </row>
    <row r="3182" spans="2:14" ht="18.600000000000001">
      <c r="B3182" t="str">
        <f>MID(G3182,11,2)</f>
        <v>TO</v>
      </c>
      <c r="C3182" t="str">
        <f>MID(G3182,14,2)</f>
        <v>KB</v>
      </c>
      <c r="D3182" t="s">
        <v>7320</v>
      </c>
      <c r="E3182" s="5">
        <v>3</v>
      </c>
      <c r="G3182" s="4" t="s">
        <v>7451</v>
      </c>
      <c r="H3182" s="70" t="s">
        <v>1483</v>
      </c>
      <c r="I3182" s="279" t="s">
        <v>7422</v>
      </c>
      <c r="J3182" t="s">
        <v>7408</v>
      </c>
      <c r="K3182" t="s">
        <v>659</v>
      </c>
      <c r="L3182" t="s">
        <v>3224</v>
      </c>
      <c r="M3182"/>
    </row>
    <row r="3183" spans="2:14" ht="18.600000000000001">
      <c r="B3183" t="str">
        <f>MID(G3183,11,2)</f>
        <v>TO</v>
      </c>
      <c r="C3183" t="str">
        <f>MID(G3183,14,2)</f>
        <v>KB</v>
      </c>
      <c r="D3183" t="s">
        <v>7320</v>
      </c>
      <c r="E3183" s="5">
        <v>3</v>
      </c>
      <c r="G3183" s="4" t="s">
        <v>7443</v>
      </c>
      <c r="H3183" s="70" t="s">
        <v>4743</v>
      </c>
      <c r="I3183" s="279" t="s">
        <v>4744</v>
      </c>
      <c r="J3183" t="s">
        <v>7408</v>
      </c>
      <c r="K3183" t="s">
        <v>1434</v>
      </c>
      <c r="L3183" t="s">
        <v>3224</v>
      </c>
      <c r="M3183"/>
    </row>
    <row r="3184" spans="2:14" ht="36">
      <c r="B3184" t="str">
        <f t="shared" si="796"/>
        <v>TO</v>
      </c>
      <c r="C3184" t="str">
        <f t="shared" si="797"/>
        <v>KB</v>
      </c>
      <c r="D3184" t="s">
        <v>7320</v>
      </c>
      <c r="E3184" s="5">
        <v>3</v>
      </c>
      <c r="G3184" s="4" t="s">
        <v>7443</v>
      </c>
      <c r="H3184" s="70" t="s">
        <v>4745</v>
      </c>
      <c r="I3184" s="279" t="s">
        <v>4746</v>
      </c>
      <c r="J3184" t="s">
        <v>7408</v>
      </c>
      <c r="K3184" t="s">
        <v>1434</v>
      </c>
      <c r="L3184" t="s">
        <v>3224</v>
      </c>
      <c r="M3184"/>
    </row>
    <row r="3185" spans="2:14" ht="18.600000000000001">
      <c r="B3185" t="str">
        <f>MID(G3185,11,2)</f>
        <v>TO</v>
      </c>
      <c r="C3185" t="str">
        <f>MID(G3185,14,2)</f>
        <v>KB</v>
      </c>
      <c r="D3185" t="s">
        <v>7320</v>
      </c>
      <c r="E3185" s="5">
        <v>3</v>
      </c>
      <c r="G3185" s="4" t="s">
        <v>7452</v>
      </c>
      <c r="H3185" s="70" t="s">
        <v>7405</v>
      </c>
      <c r="I3185" s="279" t="s">
        <v>7453</v>
      </c>
      <c r="J3185" t="s">
        <v>7408</v>
      </c>
      <c r="K3185" t="s">
        <v>659</v>
      </c>
      <c r="L3185" t="s">
        <v>7173</v>
      </c>
      <c r="M3185"/>
    </row>
    <row r="3186" spans="2:14">
      <c r="B3186" t="str">
        <f t="shared" ref="B3186:B3188" si="798">MID(G3186,11,2)</f>
        <v>TO</v>
      </c>
      <c r="C3186" t="str">
        <f t="shared" ref="C3186:C3188" si="799">MID(G3186,14,2)</f>
        <v>KB</v>
      </c>
      <c r="D3186" t="s">
        <v>7320</v>
      </c>
      <c r="E3186" s="5"/>
      <c r="G3186" s="4" t="s">
        <v>7444</v>
      </c>
      <c r="H3186" s="306" t="s">
        <v>1627</v>
      </c>
      <c r="I3186" s="432" t="s">
        <v>7421</v>
      </c>
      <c r="J3186" t="s">
        <v>7408</v>
      </c>
      <c r="K3186" t="s">
        <v>659</v>
      </c>
      <c r="L3186" t="s">
        <v>3224</v>
      </c>
      <c r="M3186"/>
    </row>
    <row r="3187" spans="2:14">
      <c r="B3187" t="str">
        <f t="shared" si="798"/>
        <v>TO</v>
      </c>
      <c r="C3187" t="str">
        <f t="shared" si="799"/>
        <v>KB</v>
      </c>
      <c r="D3187" t="s">
        <v>7320</v>
      </c>
      <c r="E3187" s="5"/>
      <c r="G3187" s="4" t="s">
        <v>7444</v>
      </c>
      <c r="H3187" s="306" t="s">
        <v>3469</v>
      </c>
      <c r="I3187" s="432" t="s">
        <v>7420</v>
      </c>
      <c r="J3187" t="s">
        <v>7408</v>
      </c>
      <c r="K3187" t="s">
        <v>659</v>
      </c>
      <c r="L3187" t="s">
        <v>3224</v>
      </c>
      <c r="M3187"/>
    </row>
    <row r="3188" spans="2:14">
      <c r="B3188" t="str">
        <f t="shared" si="798"/>
        <v>TO</v>
      </c>
      <c r="C3188" t="str">
        <f t="shared" si="799"/>
        <v>KB</v>
      </c>
      <c r="D3188" t="s">
        <v>7320</v>
      </c>
      <c r="E3188" s="5"/>
      <c r="G3188" s="4" t="s">
        <v>7445</v>
      </c>
      <c r="H3188" s="306" t="s">
        <v>1311</v>
      </c>
      <c r="I3188" s="432" t="s">
        <v>7423</v>
      </c>
      <c r="J3188" t="s">
        <v>7408</v>
      </c>
      <c r="K3188" t="s">
        <v>659</v>
      </c>
      <c r="L3188" t="s">
        <v>3224</v>
      </c>
      <c r="M3188" t="s">
        <v>3323</v>
      </c>
    </row>
    <row r="3189" spans="2:14" ht="18.600000000000001">
      <c r="B3189" t="str">
        <f>MID(G3189,11,2)</f>
        <v>TO</v>
      </c>
      <c r="C3189" t="str">
        <f>MID(G3189,14,2)</f>
        <v>KB</v>
      </c>
      <c r="D3189" t="s">
        <v>7320</v>
      </c>
      <c r="E3189" s="5"/>
      <c r="G3189" s="4" t="s">
        <v>7454</v>
      </c>
      <c r="H3189" s="70" t="s">
        <v>1395</v>
      </c>
      <c r="I3189" s="279" t="s">
        <v>7424</v>
      </c>
      <c r="J3189" t="s">
        <v>7408</v>
      </c>
      <c r="K3189" t="s">
        <v>659</v>
      </c>
      <c r="L3189" t="s">
        <v>3224</v>
      </c>
      <c r="M3189" t="s">
        <v>3323</v>
      </c>
    </row>
    <row r="3190" spans="2:14" ht="18.600000000000001">
      <c r="B3190" t="str">
        <f>MID(G3190,11,2)</f>
        <v>TO</v>
      </c>
      <c r="C3190" t="str">
        <f>MID(G3190,14,2)</f>
        <v>KB</v>
      </c>
      <c r="D3190" t="s">
        <v>7320</v>
      </c>
      <c r="E3190" s="5"/>
      <c r="G3190" s="4" t="s">
        <v>7445</v>
      </c>
      <c r="H3190" s="70" t="s">
        <v>7406</v>
      </c>
      <c r="I3190" s="279" t="s">
        <v>7425</v>
      </c>
      <c r="J3190" t="s">
        <v>7408</v>
      </c>
      <c r="K3190" t="s">
        <v>1434</v>
      </c>
      <c r="L3190" t="s">
        <v>3224</v>
      </c>
      <c r="M3190" t="s">
        <v>3323</v>
      </c>
    </row>
    <row r="3191" spans="2:14" ht="18.600000000000001">
      <c r="B3191" t="str">
        <f>MID(G3191,11,2)</f>
        <v>TO</v>
      </c>
      <c r="C3191" t="str">
        <f>MID(G3191,14,2)</f>
        <v>KB</v>
      </c>
      <c r="D3191" t="s">
        <v>7320</v>
      </c>
      <c r="E3191" s="5"/>
      <c r="G3191" s="4" t="s">
        <v>7446</v>
      </c>
      <c r="H3191" s="70" t="s">
        <v>4769</v>
      </c>
      <c r="I3191" s="279" t="s">
        <v>7417</v>
      </c>
      <c r="J3191" t="s">
        <v>7408</v>
      </c>
      <c r="K3191" t="s">
        <v>1434</v>
      </c>
      <c r="L3191" t="s">
        <v>3224</v>
      </c>
      <c r="M3191"/>
    </row>
    <row r="3192" spans="2:14" ht="18.600000000000001">
      <c r="B3192" t="str">
        <f>MID(G3192,11,2)</f>
        <v>TO</v>
      </c>
      <c r="C3192" t="str">
        <f>MID(G3192,14,2)</f>
        <v>KB</v>
      </c>
      <c r="D3192" t="s">
        <v>7320</v>
      </c>
      <c r="E3192" s="5"/>
      <c r="G3192" s="4" t="s">
        <v>7446</v>
      </c>
      <c r="H3192" s="70" t="s">
        <v>4771</v>
      </c>
      <c r="I3192" s="279" t="s">
        <v>4772</v>
      </c>
      <c r="J3192" t="s">
        <v>7408</v>
      </c>
      <c r="K3192" t="s">
        <v>1434</v>
      </c>
      <c r="L3192" t="s">
        <v>3224</v>
      </c>
      <c r="M3192"/>
    </row>
    <row r="3193" spans="2:14" ht="18.600000000000001">
      <c r="B3193" t="str">
        <f t="shared" ref="B3193:B3217" si="800">MID(G3193,11,2)</f>
        <v>TO</v>
      </c>
      <c r="C3193" t="str">
        <f t="shared" ref="C3193:C3217" si="801">MID(G3193,14,2)</f>
        <v>KB</v>
      </c>
      <c r="D3193" t="s">
        <v>7320</v>
      </c>
      <c r="E3193" s="5"/>
      <c r="G3193" s="4" t="s">
        <v>7446</v>
      </c>
      <c r="H3193" s="70" t="s">
        <v>4779</v>
      </c>
      <c r="I3193" s="279" t="s">
        <v>7407</v>
      </c>
      <c r="J3193" t="s">
        <v>7408</v>
      </c>
      <c r="K3193" t="s">
        <v>1434</v>
      </c>
      <c r="L3193" t="s">
        <v>3224</v>
      </c>
      <c r="M3193"/>
    </row>
    <row r="3194" spans="2:14" ht="18.600000000000001">
      <c r="B3194" t="str">
        <f t="shared" si="800"/>
        <v/>
      </c>
      <c r="C3194" t="str">
        <f t="shared" si="801"/>
        <v/>
      </c>
      <c r="E3194" s="5"/>
      <c r="H3194" s="70" t="s">
        <v>4781</v>
      </c>
      <c r="I3194" s="279" t="s">
        <v>4782</v>
      </c>
      <c r="J3194" t="s">
        <v>7408</v>
      </c>
      <c r="K3194" t="s">
        <v>1434</v>
      </c>
      <c r="M3194"/>
    </row>
    <row r="3195" spans="2:14" ht="18.600000000000001">
      <c r="B3195" t="str">
        <f t="shared" ref="B3195" si="802">MID(G3195,11,2)</f>
        <v/>
      </c>
      <c r="C3195" t="str">
        <f t="shared" ref="C3195" si="803">MID(G3195,14,2)</f>
        <v/>
      </c>
      <c r="E3195" s="5"/>
      <c r="H3195" s="70" t="s">
        <v>4724</v>
      </c>
      <c r="I3195" s="279" t="s">
        <v>7455</v>
      </c>
      <c r="J3195" t="s">
        <v>7408</v>
      </c>
      <c r="K3195" t="s">
        <v>1434</v>
      </c>
      <c r="M3195"/>
    </row>
    <row r="3196" spans="2:14">
      <c r="B3196" t="str">
        <f>MID(G3196,11,2)</f>
        <v/>
      </c>
      <c r="C3196" t="str">
        <f>MID(G3196,14,2)</f>
        <v/>
      </c>
      <c r="E3196" s="5"/>
      <c r="H3196" s="306" t="s">
        <v>5510</v>
      </c>
      <c r="I3196" s="432" t="s">
        <v>5511</v>
      </c>
      <c r="J3196" t="s">
        <v>7408</v>
      </c>
      <c r="K3196" t="s">
        <v>659</v>
      </c>
      <c r="L3196" t="s">
        <v>3725</v>
      </c>
      <c r="M3196"/>
    </row>
    <row r="3197" spans="2:14">
      <c r="B3197" t="str">
        <f t="shared" ref="B3197" si="804">MID(G3197,11,2)</f>
        <v/>
      </c>
      <c r="C3197" t="str">
        <f t="shared" ref="C3197" si="805">MID(G3197,14,2)</f>
        <v/>
      </c>
      <c r="E3197" s="5"/>
      <c r="H3197" s="306" t="s">
        <v>7010</v>
      </c>
      <c r="I3197" s="432" t="s">
        <v>7456</v>
      </c>
      <c r="J3197" t="s">
        <v>7408</v>
      </c>
      <c r="K3197" t="s">
        <v>659</v>
      </c>
      <c r="L3197" t="s">
        <v>3725</v>
      </c>
      <c r="M3197"/>
    </row>
    <row r="3198" spans="2:14">
      <c r="B3198" t="str">
        <f t="shared" ref="B3198" si="806">MID(G3198,11,2)</f>
        <v/>
      </c>
      <c r="C3198" t="str">
        <f t="shared" ref="C3198" si="807">MID(G3198,14,2)</f>
        <v/>
      </c>
      <c r="E3198" s="5"/>
      <c r="H3198" s="465" t="s">
        <v>537</v>
      </c>
      <c r="I3198" s="279" t="s">
        <v>3046</v>
      </c>
      <c r="J3198" t="s">
        <v>7408</v>
      </c>
      <c r="K3198" t="s">
        <v>659</v>
      </c>
      <c r="M3198"/>
      <c r="N3198" t="s">
        <v>7436</v>
      </c>
    </row>
    <row r="3199" spans="2:14">
      <c r="B3199" t="str">
        <f>MID(G3199,11,2)</f>
        <v/>
      </c>
      <c r="C3199" t="str">
        <f>MID(G3199,14,2)</f>
        <v/>
      </c>
      <c r="E3199" s="5"/>
      <c r="H3199" s="306" t="s">
        <v>4735</v>
      </c>
      <c r="I3199" s="432" t="s">
        <v>7457</v>
      </c>
      <c r="J3199" t="s">
        <v>7408</v>
      </c>
      <c r="K3199" t="s">
        <v>659</v>
      </c>
      <c r="M3199"/>
      <c r="N3199" t="s">
        <v>7435</v>
      </c>
    </row>
    <row r="3200" spans="2:14">
      <c r="B3200" t="str">
        <f>MID(G3200,11,2)</f>
        <v/>
      </c>
      <c r="C3200" t="str">
        <f>MID(G3200,14,2)</f>
        <v/>
      </c>
      <c r="E3200" s="5"/>
      <c r="H3200" t="s">
        <v>7426</v>
      </c>
      <c r="I3200" s="279" t="s">
        <v>7427</v>
      </c>
      <c r="J3200" t="s">
        <v>7408</v>
      </c>
      <c r="K3200" t="s">
        <v>659</v>
      </c>
      <c r="M3200"/>
    </row>
    <row r="3201" spans="2:13" ht="36">
      <c r="B3201" t="str">
        <f t="shared" ref="B3201" si="808">MID(G3201,11,2)</f>
        <v/>
      </c>
      <c r="C3201" t="str">
        <f t="shared" ref="C3201" si="809">MID(G3201,14,2)</f>
        <v/>
      </c>
      <c r="E3201" s="5"/>
      <c r="H3201" s="70" t="s">
        <v>7428</v>
      </c>
      <c r="I3201" s="279" t="s">
        <v>7430</v>
      </c>
      <c r="J3201" t="s">
        <v>7408</v>
      </c>
      <c r="K3201" t="s">
        <v>659</v>
      </c>
      <c r="M3201"/>
    </row>
    <row r="3202" spans="2:13">
      <c r="B3202" t="str">
        <f>MID(G3202,11,2)</f>
        <v/>
      </c>
      <c r="C3202" t="str">
        <f>MID(G3202,14,2)</f>
        <v/>
      </c>
      <c r="E3202" s="5"/>
      <c r="H3202" t="s">
        <v>7432</v>
      </c>
      <c r="I3202" s="279" t="s">
        <v>7431</v>
      </c>
      <c r="J3202" t="s">
        <v>7408</v>
      </c>
      <c r="K3202" t="s">
        <v>659</v>
      </c>
      <c r="M3202"/>
    </row>
    <row r="3203" spans="2:13" ht="36">
      <c r="B3203" t="str">
        <f>MID(G3203,11,2)</f>
        <v/>
      </c>
      <c r="C3203" t="str">
        <f>MID(G3203,14,2)</f>
        <v/>
      </c>
      <c r="E3203" s="5"/>
      <c r="H3203" s="306" t="s">
        <v>5967</v>
      </c>
      <c r="I3203" s="432" t="s">
        <v>7433</v>
      </c>
      <c r="J3203" t="s">
        <v>7408</v>
      </c>
      <c r="K3203" t="s">
        <v>1434</v>
      </c>
      <c r="M3203"/>
    </row>
    <row r="3204" spans="2:13">
      <c r="B3204" t="str">
        <f>MID(G3204,11,2)</f>
        <v/>
      </c>
      <c r="C3204" t="str">
        <f>MID(G3204,14,2)</f>
        <v/>
      </c>
      <c r="E3204" s="5"/>
      <c r="H3204" s="306" t="s">
        <v>571</v>
      </c>
      <c r="I3204" s="432" t="s">
        <v>7434</v>
      </c>
      <c r="J3204" t="s">
        <v>7408</v>
      </c>
      <c r="K3204" t="s">
        <v>659</v>
      </c>
      <c r="M3204"/>
    </row>
    <row r="3205" spans="2:13" ht="18.600000000000001">
      <c r="E3205" s="5"/>
      <c r="H3205" s="70"/>
      <c r="I3205" s="279"/>
      <c r="M3205"/>
    </row>
    <row r="3206" spans="2:13" ht="18.600000000000001">
      <c r="B3206" t="str">
        <f t="shared" ref="B3206:B3211" si="810">MID(G3206,11,2)</f>
        <v/>
      </c>
      <c r="C3206" t="str">
        <f t="shared" ref="C3206:C3211" si="811">MID(G3206,14,2)</f>
        <v/>
      </c>
      <c r="E3206" s="5"/>
      <c r="H3206" s="70"/>
      <c r="I3206" s="279"/>
      <c r="M3206"/>
    </row>
    <row r="3207" spans="2:13" ht="18.600000000000001">
      <c r="B3207" t="str">
        <f t="shared" ref="B3207" si="812">MID(G3207,11,2)</f>
        <v/>
      </c>
      <c r="C3207" t="str">
        <f t="shared" ref="C3207" si="813">MID(G3207,14,2)</f>
        <v/>
      </c>
      <c r="E3207" s="5"/>
      <c r="H3207" s="70"/>
      <c r="I3207" s="279"/>
      <c r="M3207"/>
    </row>
    <row r="3208" spans="2:13">
      <c r="B3208" t="str">
        <f>MID(G3208,11,2)</f>
        <v/>
      </c>
      <c r="C3208" t="str">
        <f>MID(G3208,14,2)</f>
        <v/>
      </c>
      <c r="E3208" s="5"/>
      <c r="M3208"/>
    </row>
    <row r="3209" spans="2:13" ht="18.600000000000001">
      <c r="B3209" t="str">
        <f t="shared" ref="B3209:B3210" si="814">MID(G3209,11,2)</f>
        <v/>
      </c>
      <c r="C3209" t="str">
        <f t="shared" ref="C3209:C3210" si="815">MID(G3209,14,2)</f>
        <v/>
      </c>
      <c r="E3209" s="5"/>
      <c r="H3209" s="70"/>
      <c r="I3209" s="279"/>
      <c r="M3209"/>
    </row>
    <row r="3210" spans="2:13" ht="18.600000000000001">
      <c r="B3210" t="str">
        <f t="shared" si="814"/>
        <v/>
      </c>
      <c r="C3210" t="str">
        <f t="shared" si="815"/>
        <v/>
      </c>
      <c r="E3210" s="5"/>
      <c r="H3210" s="70"/>
      <c r="I3210" s="279"/>
      <c r="M3210"/>
    </row>
    <row r="3211" spans="2:13" ht="18.600000000000001">
      <c r="B3211" t="str">
        <f t="shared" si="810"/>
        <v/>
      </c>
      <c r="C3211" t="str">
        <f t="shared" si="811"/>
        <v/>
      </c>
      <c r="E3211" s="5"/>
      <c r="H3211" s="70"/>
      <c r="I3211" s="279"/>
      <c r="M3211"/>
    </row>
    <row r="3212" spans="2:13">
      <c r="B3212" t="str">
        <f>MID(G3212,11,2)</f>
        <v/>
      </c>
      <c r="C3212" t="str">
        <f>MID(G3212,14,2)</f>
        <v/>
      </c>
      <c r="E3212" s="5"/>
      <c r="M3212"/>
    </row>
    <row r="3213" spans="2:13" ht="18.600000000000001">
      <c r="B3213" t="str">
        <f t="shared" ref="B3213" si="816">MID(G3213,11,2)</f>
        <v/>
      </c>
      <c r="C3213" t="str">
        <f t="shared" ref="C3213" si="817">MID(G3213,14,2)</f>
        <v/>
      </c>
      <c r="E3213" s="5"/>
      <c r="H3213" s="70"/>
      <c r="I3213" s="279"/>
      <c r="M3213"/>
    </row>
    <row r="3214" spans="2:13" ht="18.600000000000001">
      <c r="B3214" t="str">
        <f t="shared" ref="B3214" si="818">MID(G3214,11,2)</f>
        <v/>
      </c>
      <c r="C3214" t="str">
        <f t="shared" ref="C3214" si="819">MID(G3214,14,2)</f>
        <v/>
      </c>
      <c r="E3214" s="5"/>
      <c r="H3214" s="70"/>
      <c r="I3214" s="279"/>
      <c r="M3214"/>
    </row>
    <row r="3215" spans="2:13" ht="18.600000000000001">
      <c r="B3215" t="str">
        <f>MID(G3215,11,2)</f>
        <v/>
      </c>
      <c r="C3215" t="str">
        <f>MID(G3215,14,2)</f>
        <v/>
      </c>
      <c r="E3215" s="5"/>
      <c r="H3215" s="70" t="s">
        <v>7429</v>
      </c>
      <c r="I3215" s="279"/>
      <c r="M3215"/>
    </row>
    <row r="3216" spans="2:13">
      <c r="B3216" t="str">
        <f>MID(G3216,11,2)</f>
        <v/>
      </c>
      <c r="C3216" t="str">
        <f>MID(G3216,14,2)</f>
        <v/>
      </c>
      <c r="E3216" s="5"/>
      <c r="M3216"/>
    </row>
    <row r="3217" spans="2:13" ht="18.600000000000001">
      <c r="B3217" t="str">
        <f t="shared" si="800"/>
        <v/>
      </c>
      <c r="C3217" t="str">
        <f t="shared" si="801"/>
        <v/>
      </c>
      <c r="E3217" s="5"/>
      <c r="H3217" s="70"/>
      <c r="I3217" s="279"/>
      <c r="M3217"/>
    </row>
    <row r="3218" spans="2:13" ht="18.600000000000001">
      <c r="B3218" t="str">
        <f>MID(G3218,11,2)</f>
        <v>TO</v>
      </c>
      <c r="C3218" t="str">
        <f>MID(G3218,14,2)</f>
        <v>KB</v>
      </c>
      <c r="D3218" t="s">
        <v>7320</v>
      </c>
      <c r="E3218" s="5">
        <v>3</v>
      </c>
      <c r="F3218" t="s">
        <v>7366</v>
      </c>
      <c r="G3218" s="4" t="s">
        <v>7381</v>
      </c>
      <c r="H3218" s="70" t="s">
        <v>7362</v>
      </c>
      <c r="I3218" s="279" t="s">
        <v>4729</v>
      </c>
      <c r="K3218" t="s">
        <v>1434</v>
      </c>
      <c r="L3218" t="s">
        <v>3224</v>
      </c>
      <c r="M3218"/>
    </row>
    <row r="3219" spans="2:13" ht="18.600000000000001">
      <c r="B3219" t="str">
        <f t="shared" ref="B3219:B3224" si="820">MID(G3219,11,2)</f>
        <v>TO</v>
      </c>
      <c r="C3219" t="str">
        <f t="shared" ref="C3219:C3224" si="821">MID(G3219,14,2)</f>
        <v>KB</v>
      </c>
      <c r="D3219" t="s">
        <v>7320</v>
      </c>
      <c r="E3219" s="5">
        <v>3</v>
      </c>
      <c r="F3219" t="s">
        <v>7366</v>
      </c>
      <c r="G3219" s="4" t="s">
        <v>7370</v>
      </c>
      <c r="H3219" s="70" t="s">
        <v>4730</v>
      </c>
      <c r="I3219" s="279" t="s">
        <v>4731</v>
      </c>
      <c r="K3219" t="s">
        <v>1434</v>
      </c>
      <c r="L3219" t="s">
        <v>3224</v>
      </c>
      <c r="M3219"/>
    </row>
    <row r="3220" spans="2:13" ht="18.600000000000001">
      <c r="B3220" t="str">
        <f t="shared" si="820"/>
        <v>TO</v>
      </c>
      <c r="C3220" t="str">
        <f t="shared" si="821"/>
        <v>KB</v>
      </c>
      <c r="D3220" t="s">
        <v>7320</v>
      </c>
      <c r="E3220" s="5">
        <v>3</v>
      </c>
      <c r="F3220" t="s">
        <v>7366</v>
      </c>
      <c r="G3220" s="4" t="s">
        <v>7370</v>
      </c>
      <c r="H3220" s="70" t="s">
        <v>1253</v>
      </c>
      <c r="I3220" s="279" t="s">
        <v>4732</v>
      </c>
      <c r="K3220" t="s">
        <v>659</v>
      </c>
      <c r="L3220" t="s">
        <v>3224</v>
      </c>
      <c r="M3220"/>
    </row>
    <row r="3221" spans="2:13" ht="18.600000000000001">
      <c r="B3221" t="str">
        <f t="shared" si="820"/>
        <v>TO</v>
      </c>
      <c r="C3221" t="str">
        <f t="shared" si="821"/>
        <v>KB</v>
      </c>
      <c r="D3221" t="s">
        <v>7320</v>
      </c>
      <c r="E3221" s="5">
        <v>3</v>
      </c>
      <c r="F3221" t="s">
        <v>7366</v>
      </c>
      <c r="G3221" s="4" t="s">
        <v>7370</v>
      </c>
      <c r="H3221" s="70" t="s">
        <v>1257</v>
      </c>
      <c r="I3221" s="279" t="s">
        <v>4734</v>
      </c>
      <c r="K3221" t="s">
        <v>659</v>
      </c>
      <c r="L3221" t="s">
        <v>3224</v>
      </c>
      <c r="M3221"/>
    </row>
    <row r="3222" spans="2:13" ht="18.600000000000001">
      <c r="B3222" t="str">
        <f t="shared" si="820"/>
        <v>TO</v>
      </c>
      <c r="C3222" t="str">
        <f t="shared" si="821"/>
        <v>KB</v>
      </c>
      <c r="D3222" t="s">
        <v>7320</v>
      </c>
      <c r="E3222" s="5">
        <v>3</v>
      </c>
      <c r="F3222" t="s">
        <v>7366</v>
      </c>
      <c r="G3222" s="4" t="s">
        <v>7370</v>
      </c>
      <c r="H3222" s="70" t="s">
        <v>7363</v>
      </c>
      <c r="I3222" s="279" t="s">
        <v>4712</v>
      </c>
      <c r="K3222" t="s">
        <v>1434</v>
      </c>
      <c r="L3222" t="s">
        <v>3224</v>
      </c>
      <c r="M3222"/>
    </row>
    <row r="3223" spans="2:13" ht="18.600000000000001">
      <c r="B3223" t="str">
        <f t="shared" si="820"/>
        <v>TO</v>
      </c>
      <c r="C3223" t="str">
        <f t="shared" si="821"/>
        <v>KB</v>
      </c>
      <c r="D3223" t="s">
        <v>7320</v>
      </c>
      <c r="E3223" s="5">
        <v>3</v>
      </c>
      <c r="F3223" t="s">
        <v>7366</v>
      </c>
      <c r="G3223" s="4" t="s">
        <v>7373</v>
      </c>
      <c r="H3223" s="70" t="s">
        <v>4713</v>
      </c>
      <c r="I3223" s="279" t="s">
        <v>4715</v>
      </c>
      <c r="K3223" t="s">
        <v>1434</v>
      </c>
      <c r="L3223" t="s">
        <v>3224</v>
      </c>
      <c r="M3223"/>
    </row>
    <row r="3224" spans="2:13" ht="18.600000000000001">
      <c r="B3224" t="str">
        <f t="shared" si="820"/>
        <v>TO</v>
      </c>
      <c r="C3224" t="str">
        <f t="shared" si="821"/>
        <v>KB</v>
      </c>
      <c r="D3224" t="s">
        <v>7320</v>
      </c>
      <c r="E3224" s="5">
        <v>3</v>
      </c>
      <c r="F3224" t="s">
        <v>7366</v>
      </c>
      <c r="G3224" s="4" t="s">
        <v>7373</v>
      </c>
      <c r="H3224" s="70" t="s">
        <v>4722</v>
      </c>
      <c r="I3224" s="279" t="s">
        <v>4723</v>
      </c>
      <c r="K3224" t="s">
        <v>1434</v>
      </c>
      <c r="L3224" t="s">
        <v>3224</v>
      </c>
      <c r="M3224"/>
    </row>
    <row r="3225" spans="2:13" ht="18.600000000000001">
      <c r="B3225" t="str">
        <f t="shared" si="736"/>
        <v>TO</v>
      </c>
      <c r="C3225" t="str">
        <f t="shared" si="737"/>
        <v>KB</v>
      </c>
      <c r="D3225" t="s">
        <v>7320</v>
      </c>
      <c r="E3225" s="5">
        <v>3</v>
      </c>
      <c r="F3225" t="s">
        <v>7366</v>
      </c>
      <c r="G3225" s="4" t="s">
        <v>7371</v>
      </c>
      <c r="H3225" s="70" t="s">
        <v>3714</v>
      </c>
      <c r="I3225" s="279" t="s">
        <v>2147</v>
      </c>
      <c r="K3225" t="s">
        <v>659</v>
      </c>
      <c r="L3225" t="s">
        <v>3224</v>
      </c>
      <c r="M3225"/>
    </row>
    <row r="3226" spans="2:13" ht="18.600000000000001">
      <c r="B3226" t="str">
        <f t="shared" ref="B3226:B3230" si="822">MID(G3226,11,2)</f>
        <v>TO</v>
      </c>
      <c r="C3226" t="str">
        <f t="shared" ref="C3226:C3230" si="823">MID(G3226,14,2)</f>
        <v>KB</v>
      </c>
      <c r="D3226" t="s">
        <v>7320</v>
      </c>
      <c r="E3226" s="5">
        <v>3</v>
      </c>
      <c r="F3226" t="s">
        <v>7366</v>
      </c>
      <c r="G3226" s="4" t="s">
        <v>7371</v>
      </c>
      <c r="H3226" s="70" t="s">
        <v>5320</v>
      </c>
      <c r="I3226" s="279" t="s">
        <v>3535</v>
      </c>
      <c r="K3226" t="s">
        <v>659</v>
      </c>
      <c r="L3226" t="s">
        <v>3224</v>
      </c>
      <c r="M3226"/>
    </row>
    <row r="3227" spans="2:13" ht="36">
      <c r="B3227" t="str">
        <f t="shared" si="822"/>
        <v>TO</v>
      </c>
      <c r="C3227" t="str">
        <f t="shared" si="823"/>
        <v>KB</v>
      </c>
      <c r="D3227" t="s">
        <v>7320</v>
      </c>
      <c r="E3227" s="5">
        <v>3</v>
      </c>
      <c r="F3227" t="s">
        <v>7366</v>
      </c>
      <c r="G3227" s="4" t="s">
        <v>7371</v>
      </c>
      <c r="H3227" s="306" t="s">
        <v>7295</v>
      </c>
      <c r="I3227" s="432" t="s">
        <v>7296</v>
      </c>
      <c r="K3227" t="s">
        <v>1434</v>
      </c>
      <c r="L3227" t="s">
        <v>3224</v>
      </c>
      <c r="M3227"/>
    </row>
    <row r="3228" spans="2:13" ht="36">
      <c r="B3228" t="str">
        <f t="shared" si="822"/>
        <v>TO</v>
      </c>
      <c r="C3228" t="str">
        <f t="shared" si="823"/>
        <v>KB</v>
      </c>
      <c r="D3228" t="s">
        <v>7320</v>
      </c>
      <c r="E3228" s="5">
        <v>3</v>
      </c>
      <c r="F3228" t="s">
        <v>7366</v>
      </c>
      <c r="G3228" s="4" t="s">
        <v>7371</v>
      </c>
      <c r="H3228" s="70" t="s">
        <v>4727</v>
      </c>
      <c r="I3228" s="279" t="s">
        <v>4728</v>
      </c>
      <c r="K3228" t="s">
        <v>659</v>
      </c>
      <c r="L3228" t="s">
        <v>3224</v>
      </c>
      <c r="M3228"/>
    </row>
    <row r="3229" spans="2:13" ht="18.600000000000001">
      <c r="B3229" t="str">
        <f t="shared" si="822"/>
        <v>TO</v>
      </c>
      <c r="C3229" t="str">
        <f t="shared" si="823"/>
        <v>KB</v>
      </c>
      <c r="D3229" t="s">
        <v>7320</v>
      </c>
      <c r="E3229" s="5">
        <v>3</v>
      </c>
      <c r="F3229" t="s">
        <v>7366</v>
      </c>
      <c r="G3229" s="4" t="s">
        <v>7371</v>
      </c>
      <c r="H3229" s="70" t="s">
        <v>7374</v>
      </c>
      <c r="I3229" s="279" t="s">
        <v>2894</v>
      </c>
      <c r="K3229" t="s">
        <v>659</v>
      </c>
      <c r="L3229" t="s">
        <v>3224</v>
      </c>
      <c r="M3229"/>
    </row>
    <row r="3230" spans="2:13">
      <c r="B3230" t="str">
        <f t="shared" si="822"/>
        <v>TO</v>
      </c>
      <c r="C3230" t="str">
        <f t="shared" si="823"/>
        <v>KB</v>
      </c>
      <c r="D3230" t="s">
        <v>7320</v>
      </c>
      <c r="E3230" s="5">
        <v>3</v>
      </c>
      <c r="F3230" t="s">
        <v>7366</v>
      </c>
      <c r="G3230" s="4" t="s">
        <v>7371</v>
      </c>
      <c r="H3230" s="306" t="s">
        <v>4590</v>
      </c>
      <c r="I3230" s="432" t="s">
        <v>4591</v>
      </c>
      <c r="K3230" t="s">
        <v>659</v>
      </c>
      <c r="L3230" t="s">
        <v>3224</v>
      </c>
      <c r="M3230"/>
    </row>
    <row r="3231" spans="2:13">
      <c r="B3231" t="str">
        <f t="shared" ref="B3231:B3335" si="824">MID(G3231,11,2)</f>
        <v>TO</v>
      </c>
      <c r="C3231" t="str">
        <f t="shared" ref="C3231:C3335" si="825">MID(G3231,14,2)</f>
        <v>KB</v>
      </c>
      <c r="D3231" t="s">
        <v>7320</v>
      </c>
      <c r="E3231" s="5">
        <v>3</v>
      </c>
      <c r="F3231" t="s">
        <v>7366</v>
      </c>
      <c r="G3231" s="4" t="s">
        <v>7375</v>
      </c>
      <c r="H3231" s="306" t="s">
        <v>110</v>
      </c>
      <c r="I3231" s="432" t="s">
        <v>2280</v>
      </c>
      <c r="K3231" t="s">
        <v>659</v>
      </c>
      <c r="L3231" t="s">
        <v>3224</v>
      </c>
      <c r="M3231"/>
    </row>
    <row r="3232" spans="2:13">
      <c r="B3232" t="str">
        <f t="shared" ref="B3232:B3235" si="826">MID(G3232,11,2)</f>
        <v>TO</v>
      </c>
      <c r="C3232" t="str">
        <f t="shared" ref="C3232:C3235" si="827">MID(G3232,14,2)</f>
        <v>KB</v>
      </c>
      <c r="D3232" t="s">
        <v>7320</v>
      </c>
      <c r="E3232" s="5">
        <v>3</v>
      </c>
      <c r="F3232" t="s">
        <v>7366</v>
      </c>
      <c r="G3232" s="4" t="s">
        <v>7372</v>
      </c>
      <c r="H3232" s="306" t="s">
        <v>4480</v>
      </c>
      <c r="I3232" s="432" t="s">
        <v>4481</v>
      </c>
      <c r="K3232" t="s">
        <v>659</v>
      </c>
      <c r="L3232" t="s">
        <v>3224</v>
      </c>
      <c r="M3232"/>
    </row>
    <row r="3233" spans="2:14" ht="18.600000000000001">
      <c r="B3233" t="str">
        <f t="shared" si="826"/>
        <v>TO</v>
      </c>
      <c r="C3233" t="str">
        <f t="shared" si="827"/>
        <v>KB</v>
      </c>
      <c r="D3233" t="s">
        <v>7320</v>
      </c>
      <c r="E3233" s="5">
        <v>3</v>
      </c>
      <c r="F3233" t="s">
        <v>7366</v>
      </c>
      <c r="G3233" s="4" t="s">
        <v>7372</v>
      </c>
      <c r="H3233" s="70" t="s">
        <v>4737</v>
      </c>
      <c r="I3233" s="279" t="s">
        <v>4738</v>
      </c>
      <c r="K3233" t="s">
        <v>1434</v>
      </c>
      <c r="L3233" t="s">
        <v>3224</v>
      </c>
      <c r="M3233"/>
    </row>
    <row r="3234" spans="2:14" ht="18.600000000000001">
      <c r="B3234" t="str">
        <f t="shared" si="826"/>
        <v>TO</v>
      </c>
      <c r="C3234" t="str">
        <f t="shared" si="827"/>
        <v>KB</v>
      </c>
      <c r="D3234" t="s">
        <v>7320</v>
      </c>
      <c r="E3234" s="5">
        <v>3</v>
      </c>
      <c r="F3234" t="s">
        <v>7366</v>
      </c>
      <c r="G3234" s="4" t="s">
        <v>7372</v>
      </c>
      <c r="H3234" s="70" t="s">
        <v>4767</v>
      </c>
      <c r="I3234" s="279" t="s">
        <v>2940</v>
      </c>
      <c r="K3234" t="s">
        <v>659</v>
      </c>
      <c r="L3234" t="s">
        <v>3224</v>
      </c>
      <c r="M3234"/>
    </row>
    <row r="3235" spans="2:14" ht="18.600000000000001">
      <c r="B3235" t="str">
        <f t="shared" si="826"/>
        <v>TO</v>
      </c>
      <c r="C3235" t="str">
        <f t="shared" si="827"/>
        <v>KB</v>
      </c>
      <c r="D3235" t="s">
        <v>7320</v>
      </c>
      <c r="E3235" s="5">
        <v>3</v>
      </c>
      <c r="F3235" t="s">
        <v>7366</v>
      </c>
      <c r="G3235" s="4" t="s">
        <v>7372</v>
      </c>
      <c r="H3235" s="70" t="s">
        <v>4775</v>
      </c>
      <c r="I3235" s="279" t="s">
        <v>4777</v>
      </c>
      <c r="K3235" t="s">
        <v>1434</v>
      </c>
      <c r="L3235" t="s">
        <v>3224</v>
      </c>
      <c r="M3235"/>
    </row>
    <row r="3236" spans="2:14" ht="18.600000000000001">
      <c r="B3236" t="str">
        <f t="shared" ref="B3236" si="828">MID(G3236,11,2)</f>
        <v>TO</v>
      </c>
      <c r="C3236" t="str">
        <f t="shared" ref="C3236" si="829">MID(G3236,14,2)</f>
        <v>KB</v>
      </c>
      <c r="D3236" t="s">
        <v>7320</v>
      </c>
      <c r="E3236" s="5">
        <v>3</v>
      </c>
      <c r="F3236" t="s">
        <v>7366</v>
      </c>
      <c r="G3236" s="4" t="s">
        <v>7372</v>
      </c>
      <c r="H3236" s="70" t="s">
        <v>7363</v>
      </c>
      <c r="I3236" s="279" t="s">
        <v>4712</v>
      </c>
      <c r="K3236" t="s">
        <v>1434</v>
      </c>
      <c r="L3236" t="s">
        <v>3224</v>
      </c>
      <c r="M3236"/>
    </row>
    <row r="3237" spans="2:14" ht="18.600000000000001">
      <c r="B3237" t="str">
        <f t="shared" si="824"/>
        <v/>
      </c>
      <c r="C3237" t="str">
        <f t="shared" si="825"/>
        <v/>
      </c>
      <c r="E3237" s="5"/>
      <c r="H3237" s="70"/>
      <c r="I3237" s="279"/>
      <c r="M3237"/>
    </row>
    <row r="3238" spans="2:14">
      <c r="B3238" t="str">
        <f t="shared" ref="B3238:B3247" si="830">MID(G3238,11,2)</f>
        <v/>
      </c>
      <c r="C3238" t="str">
        <f t="shared" ref="C3238:C3247" si="831">MID(G3238,14,2)</f>
        <v/>
      </c>
      <c r="E3238" s="5"/>
      <c r="H3238"/>
      <c r="M3238"/>
    </row>
    <row r="3239" spans="2:14">
      <c r="B3239" t="str">
        <f t="shared" si="830"/>
        <v>TO</v>
      </c>
      <c r="C3239" t="str">
        <f t="shared" si="831"/>
        <v>KB</v>
      </c>
      <c r="D3239" t="s">
        <v>7319</v>
      </c>
      <c r="E3239" s="5">
        <v>1</v>
      </c>
      <c r="F3239" t="s">
        <v>2766</v>
      </c>
      <c r="G3239" s="4" t="s">
        <v>7344</v>
      </c>
      <c r="H3239" t="s">
        <v>7345</v>
      </c>
      <c r="I3239" s="279" t="s">
        <v>7339</v>
      </c>
      <c r="K3239" t="s">
        <v>659</v>
      </c>
      <c r="L3239" t="s">
        <v>669</v>
      </c>
      <c r="M3239" t="s">
        <v>3733</v>
      </c>
      <c r="N3239" t="s">
        <v>2073</v>
      </c>
    </row>
    <row r="3240" spans="2:14">
      <c r="B3240" t="str">
        <f t="shared" si="830"/>
        <v>TO</v>
      </c>
      <c r="C3240" t="str">
        <f t="shared" si="831"/>
        <v>Ap</v>
      </c>
      <c r="D3240" t="s">
        <v>7319</v>
      </c>
      <c r="E3240" s="5">
        <v>1</v>
      </c>
      <c r="G3240" s="4" t="s">
        <v>7346</v>
      </c>
      <c r="H3240" t="s">
        <v>7343</v>
      </c>
      <c r="I3240" s="279"/>
      <c r="K3240" t="s">
        <v>2841</v>
      </c>
      <c r="L3240" t="s">
        <v>7357</v>
      </c>
      <c r="M3240"/>
    </row>
    <row r="3241" spans="2:14">
      <c r="B3241" t="str">
        <f t="shared" si="830"/>
        <v>TO</v>
      </c>
      <c r="C3241" t="str">
        <f t="shared" si="831"/>
        <v>KB</v>
      </c>
      <c r="D3241" t="s">
        <v>7319</v>
      </c>
      <c r="E3241" s="5">
        <v>1</v>
      </c>
      <c r="G3241" s="4" t="s">
        <v>7383</v>
      </c>
      <c r="H3241" t="s">
        <v>7324</v>
      </c>
      <c r="I3241" s="279" t="s">
        <v>7325</v>
      </c>
      <c r="K3241" t="s">
        <v>1434</v>
      </c>
      <c r="L3241" t="s">
        <v>2137</v>
      </c>
      <c r="M3241"/>
      <c r="N3241" t="s">
        <v>2073</v>
      </c>
    </row>
    <row r="3242" spans="2:14">
      <c r="B3242" t="str">
        <f t="shared" si="830"/>
        <v>TO</v>
      </c>
      <c r="C3242" t="str">
        <f t="shared" si="831"/>
        <v>KB</v>
      </c>
      <c r="D3242" t="s">
        <v>7319</v>
      </c>
      <c r="E3242" s="5">
        <v>1</v>
      </c>
      <c r="G3242" s="4" t="s">
        <v>7383</v>
      </c>
      <c r="H3242" t="s">
        <v>7326</v>
      </c>
      <c r="I3242" s="432" t="s">
        <v>7327</v>
      </c>
      <c r="K3242" t="s">
        <v>1434</v>
      </c>
      <c r="M3242"/>
    </row>
    <row r="3243" spans="2:14">
      <c r="B3243" t="str">
        <f t="shared" si="830"/>
        <v>TO</v>
      </c>
      <c r="C3243" t="str">
        <f t="shared" si="831"/>
        <v>KB</v>
      </c>
      <c r="D3243" t="s">
        <v>7319</v>
      </c>
      <c r="E3243" s="5">
        <v>1</v>
      </c>
      <c r="G3243" s="4" t="s">
        <v>7383</v>
      </c>
      <c r="H3243" t="s">
        <v>7328</v>
      </c>
      <c r="I3243" s="432" t="s">
        <v>7329</v>
      </c>
      <c r="K3243" t="s">
        <v>1434</v>
      </c>
      <c r="M3243"/>
    </row>
    <row r="3244" spans="2:14">
      <c r="B3244" t="str">
        <f t="shared" si="830"/>
        <v>TO</v>
      </c>
      <c r="C3244" t="str">
        <f t="shared" si="831"/>
        <v>KB</v>
      </c>
      <c r="D3244" t="s">
        <v>7319</v>
      </c>
      <c r="E3244" s="5">
        <v>1</v>
      </c>
      <c r="G3244" s="4" t="s">
        <v>7383</v>
      </c>
      <c r="H3244" t="s">
        <v>7330</v>
      </c>
      <c r="I3244" s="432" t="s">
        <v>7331</v>
      </c>
      <c r="K3244" t="s">
        <v>659</v>
      </c>
      <c r="L3244" t="s">
        <v>7173</v>
      </c>
      <c r="M3244"/>
      <c r="N3244" t="s">
        <v>7332</v>
      </c>
    </row>
    <row r="3245" spans="2:14">
      <c r="B3245" t="str">
        <f t="shared" si="830"/>
        <v>TO</v>
      </c>
      <c r="C3245" t="str">
        <f t="shared" si="831"/>
        <v>KB</v>
      </c>
      <c r="D3245" t="s">
        <v>7319</v>
      </c>
      <c r="E3245" s="5">
        <v>1</v>
      </c>
      <c r="G3245" s="4" t="s">
        <v>7383</v>
      </c>
      <c r="H3245" t="s">
        <v>7333</v>
      </c>
      <c r="I3245" s="432" t="s">
        <v>7334</v>
      </c>
      <c r="K3245" t="s">
        <v>659</v>
      </c>
      <c r="M3245"/>
    </row>
    <row r="3246" spans="2:14">
      <c r="B3246" t="str">
        <f t="shared" si="830"/>
        <v>TO</v>
      </c>
      <c r="C3246" t="str">
        <f t="shared" si="831"/>
        <v>KB</v>
      </c>
      <c r="D3246" t="s">
        <v>7319</v>
      </c>
      <c r="E3246" s="5">
        <v>1</v>
      </c>
      <c r="G3246" s="4" t="s">
        <v>7383</v>
      </c>
      <c r="H3246" t="s">
        <v>7335</v>
      </c>
      <c r="I3246" s="432" t="s">
        <v>7336</v>
      </c>
      <c r="K3246" t="s">
        <v>659</v>
      </c>
      <c r="M3246"/>
    </row>
    <row r="3247" spans="2:14">
      <c r="B3247" t="str">
        <f t="shared" si="830"/>
        <v>TO</v>
      </c>
      <c r="C3247" t="str">
        <f t="shared" si="831"/>
        <v>KB</v>
      </c>
      <c r="D3247" t="s">
        <v>7319</v>
      </c>
      <c r="E3247" s="5">
        <v>1</v>
      </c>
      <c r="G3247" s="4" t="s">
        <v>7383</v>
      </c>
      <c r="H3247" t="s">
        <v>7337</v>
      </c>
      <c r="I3247" s="432" t="s">
        <v>7338</v>
      </c>
      <c r="K3247" t="s">
        <v>659</v>
      </c>
    </row>
    <row r="3248" spans="2:14" ht="18.600000000000001">
      <c r="B3248" t="str">
        <f t="shared" si="824"/>
        <v/>
      </c>
      <c r="C3248" t="str">
        <f t="shared" si="825"/>
        <v/>
      </c>
      <c r="E3248" s="5"/>
      <c r="H3248" s="70"/>
      <c r="I3248" s="279"/>
      <c r="M3248"/>
    </row>
    <row r="3249" spans="2:13" ht="18.600000000000001">
      <c r="B3249" t="str">
        <f>MID(G3249,11,2)</f>
        <v>TO</v>
      </c>
      <c r="C3249" t="str">
        <f>MID(G3249,14,2)</f>
        <v>KB</v>
      </c>
      <c r="E3249" s="5">
        <v>2</v>
      </c>
      <c r="G3249" s="473" t="s">
        <v>7359</v>
      </c>
      <c r="H3249" s="70" t="s">
        <v>7315</v>
      </c>
      <c r="I3249" s="279" t="s">
        <v>2147</v>
      </c>
      <c r="K3249" t="s">
        <v>659</v>
      </c>
      <c r="M3249"/>
    </row>
    <row r="3250" spans="2:13" ht="18.600000000000001">
      <c r="B3250" t="str">
        <f t="shared" ref="B3250:B3259" si="832">MID(G3250,11,2)</f>
        <v>TO</v>
      </c>
      <c r="C3250" t="str">
        <f t="shared" ref="C3250:C3259" si="833">MID(G3250,14,2)</f>
        <v>KB</v>
      </c>
      <c r="E3250" s="5">
        <v>2</v>
      </c>
      <c r="G3250" s="474" t="s">
        <v>7359</v>
      </c>
      <c r="H3250" s="70" t="s">
        <v>5320</v>
      </c>
      <c r="I3250" s="279" t="s">
        <v>3535</v>
      </c>
      <c r="K3250" t="s">
        <v>659</v>
      </c>
      <c r="M3250"/>
    </row>
    <row r="3251" spans="2:13" ht="36">
      <c r="B3251" t="str">
        <f t="shared" si="832"/>
        <v>TO</v>
      </c>
      <c r="C3251" t="str">
        <f t="shared" si="833"/>
        <v>KB</v>
      </c>
      <c r="E3251" s="5">
        <v>2</v>
      </c>
      <c r="G3251" s="474" t="s">
        <v>7359</v>
      </c>
      <c r="H3251" s="306" t="s">
        <v>7295</v>
      </c>
      <c r="I3251" s="432" t="s">
        <v>7296</v>
      </c>
      <c r="K3251" t="s">
        <v>1434</v>
      </c>
      <c r="M3251"/>
    </row>
    <row r="3252" spans="2:13" ht="36">
      <c r="B3252" t="str">
        <f t="shared" si="832"/>
        <v>TO</v>
      </c>
      <c r="C3252" t="str">
        <f t="shared" si="833"/>
        <v>KB</v>
      </c>
      <c r="E3252" s="5">
        <v>2</v>
      </c>
      <c r="G3252" s="474" t="s">
        <v>7359</v>
      </c>
      <c r="H3252" s="70" t="s">
        <v>4727</v>
      </c>
      <c r="I3252" s="279" t="s">
        <v>4728</v>
      </c>
      <c r="K3252" t="s">
        <v>659</v>
      </c>
      <c r="M3252"/>
    </row>
    <row r="3253" spans="2:13" ht="18.600000000000001">
      <c r="B3253" t="str">
        <f t="shared" si="832"/>
        <v>TO</v>
      </c>
      <c r="C3253" t="str">
        <f t="shared" si="833"/>
        <v>KB</v>
      </c>
      <c r="E3253" s="5">
        <v>2</v>
      </c>
      <c r="G3253" s="474" t="s">
        <v>7359</v>
      </c>
      <c r="H3253" s="70" t="s">
        <v>645</v>
      </c>
      <c r="I3253" s="279" t="s">
        <v>2894</v>
      </c>
      <c r="K3253" t="s">
        <v>659</v>
      </c>
      <c r="M3253"/>
    </row>
    <row r="3254" spans="2:13">
      <c r="B3254" t="str">
        <f t="shared" si="832"/>
        <v>TO</v>
      </c>
      <c r="C3254" t="str">
        <f t="shared" si="833"/>
        <v>KB</v>
      </c>
      <c r="E3254" s="5">
        <v>2</v>
      </c>
      <c r="G3254" s="474" t="s">
        <v>7359</v>
      </c>
      <c r="H3254" s="306" t="s">
        <v>4590</v>
      </c>
      <c r="I3254" s="432" t="s">
        <v>4591</v>
      </c>
      <c r="K3254" t="s">
        <v>659</v>
      </c>
      <c r="M3254"/>
    </row>
    <row r="3255" spans="2:13">
      <c r="B3255" t="str">
        <f t="shared" si="832"/>
        <v>TO</v>
      </c>
      <c r="C3255" t="str">
        <f t="shared" si="833"/>
        <v>KB</v>
      </c>
      <c r="E3255" s="5">
        <v>2</v>
      </c>
      <c r="G3255" s="474" t="s">
        <v>7359</v>
      </c>
      <c r="H3255" s="306" t="s">
        <v>110</v>
      </c>
      <c r="I3255" s="432" t="s">
        <v>2280</v>
      </c>
      <c r="K3255" t="s">
        <v>659</v>
      </c>
      <c r="M3255"/>
    </row>
    <row r="3256" spans="2:13">
      <c r="B3256" t="str">
        <f t="shared" si="832"/>
        <v>TO</v>
      </c>
      <c r="C3256" t="str">
        <f t="shared" si="833"/>
        <v>KB</v>
      </c>
      <c r="E3256" s="5">
        <v>2</v>
      </c>
      <c r="G3256" s="474" t="s">
        <v>7359</v>
      </c>
      <c r="H3256" s="306" t="s">
        <v>4480</v>
      </c>
      <c r="I3256" s="432" t="s">
        <v>4481</v>
      </c>
      <c r="K3256" t="s">
        <v>659</v>
      </c>
      <c r="M3256"/>
    </row>
    <row r="3257" spans="2:13" ht="18.600000000000001">
      <c r="B3257" t="str">
        <f t="shared" si="832"/>
        <v>TO</v>
      </c>
      <c r="C3257" t="str">
        <f t="shared" si="833"/>
        <v>KB</v>
      </c>
      <c r="E3257" s="5">
        <v>2</v>
      </c>
      <c r="G3257" s="474" t="s">
        <v>7359</v>
      </c>
      <c r="H3257" s="70" t="s">
        <v>4737</v>
      </c>
      <c r="I3257" s="279" t="s">
        <v>4738</v>
      </c>
      <c r="K3257" t="s">
        <v>1434</v>
      </c>
      <c r="M3257"/>
    </row>
    <row r="3258" spans="2:13" ht="18.600000000000001">
      <c r="B3258" t="str">
        <f t="shared" si="832"/>
        <v>TO</v>
      </c>
      <c r="C3258" t="str">
        <f t="shared" si="833"/>
        <v>KB</v>
      </c>
      <c r="E3258" s="5">
        <v>2</v>
      </c>
      <c r="G3258" s="474" t="s">
        <v>7359</v>
      </c>
      <c r="H3258" s="70" t="s">
        <v>4767</v>
      </c>
      <c r="I3258" s="279" t="s">
        <v>2940</v>
      </c>
      <c r="K3258" t="s">
        <v>659</v>
      </c>
      <c r="M3258"/>
    </row>
    <row r="3259" spans="2:13" ht="18.600000000000001">
      <c r="B3259" t="str">
        <f t="shared" si="832"/>
        <v>TO</v>
      </c>
      <c r="C3259" t="str">
        <f t="shared" si="833"/>
        <v>KB</v>
      </c>
      <c r="E3259" s="5">
        <v>2</v>
      </c>
      <c r="G3259" s="474" t="s">
        <v>7359</v>
      </c>
      <c r="H3259" s="70" t="s">
        <v>4775</v>
      </c>
      <c r="I3259" s="279" t="s">
        <v>4777</v>
      </c>
      <c r="K3259" t="s">
        <v>1434</v>
      </c>
      <c r="M3259"/>
    </row>
    <row r="3260" spans="2:13" ht="18.600000000000001">
      <c r="B3260" t="str">
        <f t="shared" si="824"/>
        <v/>
      </c>
      <c r="C3260" t="str">
        <f t="shared" si="825"/>
        <v/>
      </c>
      <c r="E3260" s="5"/>
      <c r="H3260" s="70"/>
      <c r="I3260" s="279"/>
      <c r="M3260"/>
    </row>
    <row r="3261" spans="2:13" ht="18.600000000000001">
      <c r="B3261" t="str">
        <f t="shared" si="824"/>
        <v>TO</v>
      </c>
      <c r="C3261" t="str">
        <f t="shared" si="825"/>
        <v>KB</v>
      </c>
      <c r="D3261" t="s">
        <v>7321</v>
      </c>
      <c r="E3261" s="5">
        <v>1</v>
      </c>
      <c r="G3261" s="478" t="s">
        <v>7466</v>
      </c>
      <c r="H3261" s="70" t="s">
        <v>7464</v>
      </c>
      <c r="I3261" s="279"/>
      <c r="K3261" t="s">
        <v>1434</v>
      </c>
      <c r="L3261" t="s">
        <v>669</v>
      </c>
      <c r="M3261" t="s">
        <v>3733</v>
      </c>
    </row>
    <row r="3262" spans="2:13" ht="18.600000000000001">
      <c r="B3262" t="str">
        <f t="shared" si="824"/>
        <v>TO</v>
      </c>
      <c r="C3262" t="str">
        <f t="shared" si="825"/>
        <v>KB</v>
      </c>
      <c r="D3262" t="s">
        <v>7321</v>
      </c>
      <c r="E3262" s="5">
        <v>1</v>
      </c>
      <c r="G3262" s="4" t="s">
        <v>7486</v>
      </c>
      <c r="H3262" s="70" t="s">
        <v>7464</v>
      </c>
      <c r="I3262" s="279"/>
      <c r="K3262" t="s">
        <v>659</v>
      </c>
      <c r="L3262" t="s">
        <v>669</v>
      </c>
      <c r="M3262" t="s">
        <v>3733</v>
      </c>
    </row>
    <row r="3263" spans="2:13" ht="18.600000000000001">
      <c r="B3263" t="str">
        <f>MID(G3263,11,2)</f>
        <v>MH</v>
      </c>
      <c r="C3263" t="str">
        <f>MID(G3263,14,2)</f>
        <v>KB</v>
      </c>
      <c r="D3263" t="s">
        <v>7321</v>
      </c>
      <c r="E3263" s="5">
        <v>1</v>
      </c>
      <c r="G3263" s="4" t="s">
        <v>7489</v>
      </c>
      <c r="H3263" s="70" t="s">
        <v>7464</v>
      </c>
      <c r="I3263" s="279"/>
      <c r="K3263" t="s">
        <v>659</v>
      </c>
      <c r="L3263" t="s">
        <v>669</v>
      </c>
      <c r="M3263" t="s">
        <v>7494</v>
      </c>
    </row>
    <row r="3264" spans="2:13" ht="18.600000000000001">
      <c r="B3264" t="str">
        <f t="shared" si="824"/>
        <v/>
      </c>
      <c r="C3264" t="str">
        <f t="shared" si="825"/>
        <v/>
      </c>
      <c r="E3264" s="5"/>
      <c r="H3264" s="70"/>
      <c r="I3264" s="279"/>
      <c r="M3264"/>
    </row>
    <row r="3265" spans="2:15">
      <c r="B3265" t="str">
        <f t="shared" si="824"/>
        <v>TO</v>
      </c>
      <c r="C3265" t="str">
        <f t="shared" si="825"/>
        <v>KB</v>
      </c>
      <c r="E3265" s="5"/>
      <c r="G3265" s="478" t="s">
        <v>7476</v>
      </c>
      <c r="H3265" s="476" t="s">
        <v>7468</v>
      </c>
      <c r="I3265" s="279" t="s">
        <v>7471</v>
      </c>
      <c r="K3265" t="s">
        <v>659</v>
      </c>
      <c r="L3265" t="s">
        <v>669</v>
      </c>
      <c r="M3265" t="s">
        <v>7494</v>
      </c>
      <c r="N3265" t="s">
        <v>7474</v>
      </c>
      <c r="O3265" t="s">
        <v>7475</v>
      </c>
    </row>
    <row r="3266" spans="2:15">
      <c r="B3266" t="str">
        <f t="shared" si="824"/>
        <v>TO</v>
      </c>
      <c r="C3266" t="str">
        <f t="shared" si="825"/>
        <v>KB</v>
      </c>
      <c r="E3266" s="5"/>
      <c r="G3266" s="479" t="s">
        <v>7473</v>
      </c>
      <c r="H3266" s="477" t="s">
        <v>6923</v>
      </c>
      <c r="I3266" s="279" t="s">
        <v>7472</v>
      </c>
      <c r="K3266" t="s">
        <v>659</v>
      </c>
      <c r="L3266" t="s">
        <v>669</v>
      </c>
      <c r="M3266" t="s">
        <v>7494</v>
      </c>
    </row>
    <row r="3267" spans="2:15" ht="18.600000000000001">
      <c r="B3267" t="str">
        <f t="shared" si="824"/>
        <v/>
      </c>
      <c r="C3267" t="str">
        <f t="shared" si="825"/>
        <v/>
      </c>
      <c r="E3267" s="5"/>
      <c r="H3267" s="70"/>
      <c r="I3267" s="279"/>
      <c r="M3267"/>
    </row>
    <row r="3268" spans="2:15">
      <c r="M3268"/>
    </row>
    <row r="3269" spans="2:15" ht="18.600000000000001">
      <c r="B3269" t="str">
        <f t="shared" ref="B3269:B3274" si="834">MID(G3269,11,2)</f>
        <v/>
      </c>
      <c r="C3269" t="str">
        <f t="shared" ref="C3269:C3274" si="835">MID(G3269,14,2)</f>
        <v/>
      </c>
      <c r="E3269" s="5"/>
      <c r="H3269" s="70"/>
      <c r="I3269" s="279"/>
      <c r="M3269"/>
    </row>
    <row r="3270" spans="2:15" ht="18.600000000000001">
      <c r="B3270" t="str">
        <f t="shared" si="834"/>
        <v/>
      </c>
      <c r="C3270" t="str">
        <f t="shared" si="835"/>
        <v/>
      </c>
      <c r="E3270" s="5"/>
      <c r="H3270" s="70"/>
      <c r="I3270" s="279"/>
      <c r="M3270"/>
    </row>
    <row r="3271" spans="2:15" ht="18.600000000000001">
      <c r="B3271" t="str">
        <f>MID(G3271,11,2)</f>
        <v>TO</v>
      </c>
      <c r="C3271" t="str">
        <f>MID(G3271,14,2)</f>
        <v>KB</v>
      </c>
      <c r="D3271" t="s">
        <v>7321</v>
      </c>
      <c r="E3271" s="5"/>
      <c r="G3271" s="4" t="s">
        <v>7548</v>
      </c>
      <c r="H3271" s="70" t="s">
        <v>2467</v>
      </c>
      <c r="I3271" s="279" t="s">
        <v>7490</v>
      </c>
      <c r="K3271" t="s">
        <v>659</v>
      </c>
      <c r="L3271" t="s">
        <v>3224</v>
      </c>
      <c r="M3271"/>
    </row>
    <row r="3272" spans="2:15" ht="18.600000000000001">
      <c r="B3272" t="str">
        <f>MID(G3272,11,2)</f>
        <v>TO</v>
      </c>
      <c r="C3272" t="str">
        <f>MID(G3272,14,2)</f>
        <v>KB</v>
      </c>
      <c r="D3272" t="s">
        <v>7321</v>
      </c>
      <c r="E3272" s="5"/>
      <c r="G3272" s="4" t="s">
        <v>7540</v>
      </c>
      <c r="H3272" s="70" t="s">
        <v>7491</v>
      </c>
      <c r="I3272" s="279" t="s">
        <v>7492</v>
      </c>
      <c r="K3272" t="s">
        <v>659</v>
      </c>
      <c r="L3272" t="s">
        <v>3224</v>
      </c>
      <c r="M3272"/>
    </row>
    <row r="3273" spans="2:15" ht="18.600000000000001">
      <c r="B3273" t="str">
        <f>MID(G3273,11,2)</f>
        <v>TO</v>
      </c>
      <c r="C3273" t="str">
        <f>MID(G3273,14,2)</f>
        <v>KB</v>
      </c>
      <c r="D3273" t="s">
        <v>7321</v>
      </c>
      <c r="E3273" s="5"/>
      <c r="G3273" s="4" t="s">
        <v>7540</v>
      </c>
      <c r="H3273" s="70" t="s">
        <v>4003</v>
      </c>
      <c r="I3273" s="279" t="s">
        <v>7493</v>
      </c>
      <c r="K3273" t="s">
        <v>659</v>
      </c>
      <c r="L3273" t="s">
        <v>3224</v>
      </c>
      <c r="M3273"/>
    </row>
    <row r="3274" spans="2:15">
      <c r="B3274" t="str">
        <f t="shared" si="834"/>
        <v>TO</v>
      </c>
      <c r="C3274" t="str">
        <f t="shared" si="835"/>
        <v>KB</v>
      </c>
      <c r="D3274" t="s">
        <v>7321</v>
      </c>
      <c r="E3274" s="5"/>
      <c r="G3274" s="4" t="s">
        <v>7541</v>
      </c>
      <c r="H3274" s="306" t="s">
        <v>5546</v>
      </c>
      <c r="I3274" s="432" t="s">
        <v>7501</v>
      </c>
      <c r="K3274" t="s">
        <v>659</v>
      </c>
      <c r="L3274" t="s">
        <v>3224</v>
      </c>
      <c r="M3274"/>
    </row>
    <row r="3275" spans="2:15">
      <c r="B3275" t="str">
        <f t="shared" ref="B3275:B3279" si="836">MID(G3275,11,2)</f>
        <v>TO</v>
      </c>
      <c r="C3275" t="str">
        <f t="shared" ref="C3275:C3279" si="837">MID(G3275,14,2)</f>
        <v>KB</v>
      </c>
      <c r="D3275" t="s">
        <v>7321</v>
      </c>
      <c r="E3275" s="5"/>
      <c r="G3275" s="4" t="s">
        <v>7541</v>
      </c>
      <c r="H3275" s="306" t="s">
        <v>2395</v>
      </c>
      <c r="I3275" s="432" t="s">
        <v>7502</v>
      </c>
      <c r="K3275" t="s">
        <v>659</v>
      </c>
      <c r="L3275" t="s">
        <v>3224</v>
      </c>
      <c r="M3275"/>
    </row>
    <row r="3276" spans="2:15">
      <c r="B3276" t="str">
        <f t="shared" si="836"/>
        <v>TO</v>
      </c>
      <c r="C3276" t="str">
        <f t="shared" si="837"/>
        <v>KB</v>
      </c>
      <c r="D3276" t="s">
        <v>7321</v>
      </c>
      <c r="E3276" s="5"/>
      <c r="G3276" s="4" t="s">
        <v>7541</v>
      </c>
      <c r="H3276" s="306" t="s">
        <v>2824</v>
      </c>
      <c r="I3276" s="432" t="s">
        <v>7503</v>
      </c>
      <c r="K3276" t="s">
        <v>659</v>
      </c>
      <c r="L3276" t="s">
        <v>3224</v>
      </c>
      <c r="M3276"/>
    </row>
    <row r="3277" spans="2:15" ht="103.2">
      <c r="B3277" t="str">
        <f t="shared" si="836"/>
        <v>TO</v>
      </c>
      <c r="C3277" t="str">
        <f t="shared" si="837"/>
        <v>KB</v>
      </c>
      <c r="D3277" t="s">
        <v>7321</v>
      </c>
      <c r="E3277" s="5"/>
      <c r="G3277" s="4" t="s">
        <v>7541</v>
      </c>
      <c r="H3277" s="306" t="s">
        <v>576</v>
      </c>
      <c r="I3277" s="432" t="s">
        <v>7504</v>
      </c>
      <c r="K3277" t="s">
        <v>659</v>
      </c>
      <c r="L3277" t="s">
        <v>669</v>
      </c>
      <c r="M3277" t="s">
        <v>3323</v>
      </c>
      <c r="O3277" s="487" t="s">
        <v>7641</v>
      </c>
    </row>
    <row r="3278" spans="2:15">
      <c r="B3278" t="str">
        <f t="shared" si="836"/>
        <v>TO</v>
      </c>
      <c r="C3278" t="str">
        <f t="shared" si="837"/>
        <v>KB</v>
      </c>
      <c r="D3278" t="s">
        <v>7321</v>
      </c>
      <c r="E3278" s="5"/>
      <c r="G3278" s="4" t="s">
        <v>7541</v>
      </c>
      <c r="H3278" s="306" t="s">
        <v>7526</v>
      </c>
      <c r="I3278" s="432" t="s">
        <v>7505</v>
      </c>
      <c r="K3278" t="s">
        <v>659</v>
      </c>
      <c r="L3278" t="s">
        <v>3224</v>
      </c>
      <c r="M3278"/>
    </row>
    <row r="3279" spans="2:15">
      <c r="B3279" t="str">
        <f t="shared" si="836"/>
        <v>TO</v>
      </c>
      <c r="C3279" t="str">
        <f t="shared" si="837"/>
        <v>KB</v>
      </c>
      <c r="D3279" t="s">
        <v>7321</v>
      </c>
      <c r="E3279" s="5"/>
      <c r="G3279" s="4" t="s">
        <v>7541</v>
      </c>
      <c r="H3279" s="306" t="s">
        <v>5522</v>
      </c>
      <c r="I3279" s="432" t="s">
        <v>7506</v>
      </c>
      <c r="K3279" t="s">
        <v>659</v>
      </c>
      <c r="L3279" t="s">
        <v>3224</v>
      </c>
      <c r="M3279"/>
    </row>
    <row r="3280" spans="2:15">
      <c r="B3280" t="str">
        <f t="shared" ref="B3280" si="838">MID(G3280,11,2)</f>
        <v>TO</v>
      </c>
      <c r="C3280" t="str">
        <f t="shared" ref="C3280" si="839">MID(G3280,14,2)</f>
        <v>KB</v>
      </c>
      <c r="D3280" t="s">
        <v>7321</v>
      </c>
      <c r="E3280" s="5"/>
      <c r="G3280" s="4" t="s">
        <v>7542</v>
      </c>
      <c r="H3280" s="306" t="s">
        <v>7527</v>
      </c>
      <c r="I3280" s="432" t="s">
        <v>7507</v>
      </c>
      <c r="K3280" t="s">
        <v>1434</v>
      </c>
      <c r="L3280" t="s">
        <v>3224</v>
      </c>
      <c r="M3280"/>
    </row>
    <row r="3281" spans="2:14">
      <c r="B3281" t="str">
        <f t="shared" ref="B3281:B3285" si="840">MID(G3281,11,2)</f>
        <v>TO</v>
      </c>
      <c r="C3281" t="str">
        <f t="shared" ref="C3281:C3285" si="841">MID(G3281,14,2)</f>
        <v>KB</v>
      </c>
      <c r="D3281" t="s">
        <v>7321</v>
      </c>
      <c r="E3281" s="5"/>
      <c r="G3281" s="6" t="s">
        <v>7542</v>
      </c>
      <c r="H3281" s="311" t="s">
        <v>7528</v>
      </c>
      <c r="I3281" s="435" t="s">
        <v>7508</v>
      </c>
      <c r="J3281" s="9"/>
      <c r="K3281" s="9" t="s">
        <v>659</v>
      </c>
      <c r="L3281" s="9" t="s">
        <v>3224</v>
      </c>
      <c r="M3281" s="9" t="s">
        <v>7670</v>
      </c>
      <c r="N3281" s="9" t="s">
        <v>2073</v>
      </c>
    </row>
    <row r="3282" spans="2:14">
      <c r="B3282" t="str">
        <f t="shared" si="840"/>
        <v>TO</v>
      </c>
      <c r="C3282" t="str">
        <f t="shared" si="841"/>
        <v>KB</v>
      </c>
      <c r="D3282" t="s">
        <v>7321</v>
      </c>
      <c r="E3282" s="5"/>
      <c r="G3282" s="4" t="s">
        <v>7542</v>
      </c>
      <c r="H3282" s="306" t="s">
        <v>3991</v>
      </c>
      <c r="I3282" s="432" t="s">
        <v>7509</v>
      </c>
      <c r="K3282" t="s">
        <v>659</v>
      </c>
      <c r="L3282" t="s">
        <v>3224</v>
      </c>
      <c r="M3282"/>
    </row>
    <row r="3283" spans="2:14">
      <c r="B3283" t="str">
        <f t="shared" si="840"/>
        <v>TO</v>
      </c>
      <c r="C3283" t="str">
        <f t="shared" si="841"/>
        <v>KB</v>
      </c>
      <c r="D3283" t="s">
        <v>7321</v>
      </c>
      <c r="E3283" s="5"/>
      <c r="G3283" s="4" t="s">
        <v>7542</v>
      </c>
      <c r="H3283" s="306" t="s">
        <v>7254</v>
      </c>
      <c r="I3283" s="432" t="s">
        <v>7510</v>
      </c>
      <c r="K3283" t="s">
        <v>659</v>
      </c>
      <c r="L3283" t="s">
        <v>3224</v>
      </c>
      <c r="M3283"/>
    </row>
    <row r="3284" spans="2:14">
      <c r="B3284" t="str">
        <f t="shared" si="840"/>
        <v>TO</v>
      </c>
      <c r="C3284" t="str">
        <f t="shared" si="841"/>
        <v>KB</v>
      </c>
      <c r="D3284" t="s">
        <v>7321</v>
      </c>
      <c r="E3284" s="5"/>
      <c r="G3284" s="4" t="s">
        <v>7542</v>
      </c>
      <c r="H3284" s="306" t="s">
        <v>7529</v>
      </c>
      <c r="I3284" s="432" t="s">
        <v>7511</v>
      </c>
      <c r="K3284" t="s">
        <v>1434</v>
      </c>
      <c r="L3284" t="s">
        <v>3224</v>
      </c>
      <c r="M3284"/>
    </row>
    <row r="3285" spans="2:14">
      <c r="B3285" t="str">
        <f t="shared" si="840"/>
        <v>TO</v>
      </c>
      <c r="C3285" t="str">
        <f t="shared" si="841"/>
        <v>KB</v>
      </c>
      <c r="D3285" t="s">
        <v>7321</v>
      </c>
      <c r="E3285" s="5"/>
      <c r="G3285" s="4" t="s">
        <v>7542</v>
      </c>
      <c r="H3285" s="306" t="s">
        <v>6969</v>
      </c>
      <c r="I3285" s="432" t="s">
        <v>7512</v>
      </c>
      <c r="K3285" t="s">
        <v>1434</v>
      </c>
      <c r="L3285" t="s">
        <v>3224</v>
      </c>
      <c r="M3285"/>
    </row>
    <row r="3286" spans="2:14">
      <c r="B3286" t="str">
        <f t="shared" ref="B3286:B3330" si="842">MID(G3286,11,2)</f>
        <v>TO</v>
      </c>
      <c r="C3286" t="str">
        <f t="shared" ref="C3286:C3330" si="843">MID(G3286,14,2)</f>
        <v>KB</v>
      </c>
      <c r="D3286" t="s">
        <v>7321</v>
      </c>
      <c r="E3286" s="5"/>
      <c r="G3286" s="4" t="s">
        <v>7544</v>
      </c>
      <c r="H3286" s="306" t="s">
        <v>1141</v>
      </c>
      <c r="I3286" s="432" t="s">
        <v>7513</v>
      </c>
      <c r="K3286" t="s">
        <v>659</v>
      </c>
      <c r="L3286" t="s">
        <v>3224</v>
      </c>
      <c r="M3286"/>
    </row>
    <row r="3287" spans="2:14">
      <c r="B3287" t="str">
        <f t="shared" ref="B3287:B3291" si="844">MID(G3287,11,2)</f>
        <v>TO</v>
      </c>
      <c r="C3287" t="str">
        <f t="shared" ref="C3287:C3291" si="845">MID(G3287,14,2)</f>
        <v>KB</v>
      </c>
      <c r="D3287" t="s">
        <v>7321</v>
      </c>
      <c r="E3287" s="5"/>
      <c r="G3287" s="4" t="s">
        <v>7544</v>
      </c>
      <c r="H3287" s="306" t="s">
        <v>7530</v>
      </c>
      <c r="I3287" s="432" t="s">
        <v>7514</v>
      </c>
      <c r="K3287" t="s">
        <v>659</v>
      </c>
      <c r="L3287" t="s">
        <v>3224</v>
      </c>
      <c r="M3287"/>
    </row>
    <row r="3288" spans="2:14">
      <c r="B3288" t="str">
        <f t="shared" si="844"/>
        <v>TO</v>
      </c>
      <c r="C3288" t="str">
        <f t="shared" si="845"/>
        <v>KB</v>
      </c>
      <c r="D3288" t="s">
        <v>7321</v>
      </c>
      <c r="E3288" s="5"/>
      <c r="G3288" s="4" t="s">
        <v>7544</v>
      </c>
      <c r="H3288" s="306" t="s">
        <v>7531</v>
      </c>
      <c r="I3288" s="432" t="s">
        <v>7515</v>
      </c>
      <c r="K3288" t="s">
        <v>1434</v>
      </c>
      <c r="L3288" t="s">
        <v>3224</v>
      </c>
      <c r="M3288"/>
    </row>
    <row r="3289" spans="2:14" ht="36">
      <c r="B3289" t="str">
        <f t="shared" si="844"/>
        <v>TO</v>
      </c>
      <c r="C3289" t="str">
        <f t="shared" si="845"/>
        <v>KB</v>
      </c>
      <c r="D3289" t="s">
        <v>7321</v>
      </c>
      <c r="E3289" s="5"/>
      <c r="G3289" s="4" t="s">
        <v>7544</v>
      </c>
      <c r="H3289" s="306" t="s">
        <v>7096</v>
      </c>
      <c r="I3289" s="432" t="s">
        <v>7516</v>
      </c>
      <c r="K3289" t="s">
        <v>659</v>
      </c>
      <c r="L3289" t="s">
        <v>3224</v>
      </c>
      <c r="M3289"/>
    </row>
    <row r="3290" spans="2:14">
      <c r="B3290" t="str">
        <f t="shared" si="844"/>
        <v>TO</v>
      </c>
      <c r="C3290" t="str">
        <f t="shared" si="845"/>
        <v>KB</v>
      </c>
      <c r="D3290" t="s">
        <v>7321</v>
      </c>
      <c r="E3290" s="5"/>
      <c r="G3290" s="4" t="s">
        <v>7544</v>
      </c>
      <c r="H3290" s="306" t="s">
        <v>7532</v>
      </c>
      <c r="I3290" s="432" t="s">
        <v>7517</v>
      </c>
      <c r="K3290" t="s">
        <v>659</v>
      </c>
      <c r="L3290" t="s">
        <v>3224</v>
      </c>
      <c r="M3290"/>
    </row>
    <row r="3291" spans="2:14">
      <c r="B3291" t="str">
        <f t="shared" si="844"/>
        <v>TO</v>
      </c>
      <c r="C3291" t="str">
        <f t="shared" si="845"/>
        <v>KB</v>
      </c>
      <c r="D3291" t="s">
        <v>7321</v>
      </c>
      <c r="E3291" s="5"/>
      <c r="G3291" s="4" t="s">
        <v>7544</v>
      </c>
      <c r="H3291" s="306" t="s">
        <v>3967</v>
      </c>
      <c r="I3291" s="432" t="s">
        <v>7518</v>
      </c>
      <c r="K3291" t="s">
        <v>659</v>
      </c>
      <c r="L3291" t="s">
        <v>3224</v>
      </c>
      <c r="M3291"/>
    </row>
    <row r="3292" spans="2:14">
      <c r="B3292" t="str">
        <f t="shared" si="842"/>
        <v>TO</v>
      </c>
      <c r="C3292" t="str">
        <f t="shared" si="843"/>
        <v>KB</v>
      </c>
      <c r="D3292" t="s">
        <v>7321</v>
      </c>
      <c r="E3292" s="5"/>
      <c r="G3292" s="4" t="s">
        <v>7547</v>
      </c>
      <c r="H3292" s="306" t="s">
        <v>7533</v>
      </c>
      <c r="I3292" s="432" t="s">
        <v>7519</v>
      </c>
      <c r="K3292" t="s">
        <v>1434</v>
      </c>
      <c r="L3292" t="s">
        <v>3224</v>
      </c>
      <c r="M3292"/>
    </row>
    <row r="3293" spans="2:14">
      <c r="B3293" t="str">
        <f t="shared" si="842"/>
        <v>TO</v>
      </c>
      <c r="C3293" t="str">
        <f t="shared" si="843"/>
        <v>KB</v>
      </c>
      <c r="D3293" t="s">
        <v>7321</v>
      </c>
      <c r="E3293" s="5"/>
      <c r="G3293" s="4" t="s">
        <v>7545</v>
      </c>
      <c r="H3293" s="306" t="s">
        <v>5287</v>
      </c>
      <c r="I3293" s="432" t="s">
        <v>7520</v>
      </c>
      <c r="K3293" t="s">
        <v>659</v>
      </c>
      <c r="L3293" t="s">
        <v>3224</v>
      </c>
      <c r="M3293"/>
    </row>
    <row r="3294" spans="2:14">
      <c r="B3294" t="str">
        <f t="shared" si="842"/>
        <v>TO</v>
      </c>
      <c r="C3294" t="str">
        <f t="shared" si="843"/>
        <v>KB</v>
      </c>
      <c r="D3294" t="s">
        <v>7321</v>
      </c>
      <c r="E3294" s="5"/>
      <c r="G3294" s="4" t="s">
        <v>7545</v>
      </c>
      <c r="H3294" s="306" t="s">
        <v>7534</v>
      </c>
      <c r="I3294" s="432" t="s">
        <v>7521</v>
      </c>
      <c r="K3294" t="s">
        <v>1434</v>
      </c>
      <c r="L3294" t="s">
        <v>3224</v>
      </c>
      <c r="M3294"/>
    </row>
    <row r="3295" spans="2:14" ht="36">
      <c r="B3295" t="str">
        <f t="shared" si="842"/>
        <v>TO</v>
      </c>
      <c r="C3295" t="str">
        <f t="shared" si="843"/>
        <v>KB</v>
      </c>
      <c r="D3295" t="s">
        <v>7321</v>
      </c>
      <c r="E3295" s="5"/>
      <c r="G3295" s="4" t="s">
        <v>7545</v>
      </c>
      <c r="H3295" s="306" t="s">
        <v>4332</v>
      </c>
      <c r="I3295" s="432" t="s">
        <v>7522</v>
      </c>
      <c r="K3295" t="s">
        <v>659</v>
      </c>
      <c r="L3295" t="s">
        <v>3224</v>
      </c>
      <c r="M3295"/>
    </row>
    <row r="3296" spans="2:14">
      <c r="B3296" t="str">
        <f t="shared" si="842"/>
        <v>TO</v>
      </c>
      <c r="C3296" t="str">
        <f t="shared" si="843"/>
        <v>KB</v>
      </c>
      <c r="D3296" t="s">
        <v>7321</v>
      </c>
      <c r="E3296" s="5"/>
      <c r="G3296" s="4" t="s">
        <v>7545</v>
      </c>
      <c r="H3296" s="306" t="s">
        <v>7535</v>
      </c>
      <c r="I3296" s="432" t="s">
        <v>7523</v>
      </c>
      <c r="K3296" t="s">
        <v>659</v>
      </c>
      <c r="L3296" t="s">
        <v>3224</v>
      </c>
      <c r="M3296"/>
    </row>
    <row r="3297" spans="2:15" ht="36">
      <c r="B3297" t="str">
        <f t="shared" si="842"/>
        <v>TO</v>
      </c>
      <c r="C3297" t="str">
        <f t="shared" si="843"/>
        <v>KB</v>
      </c>
      <c r="D3297" t="s">
        <v>7321</v>
      </c>
      <c r="E3297" s="5"/>
      <c r="G3297" s="4" t="s">
        <v>7545</v>
      </c>
      <c r="H3297" s="306" t="s">
        <v>4293</v>
      </c>
      <c r="I3297" s="432" t="s">
        <v>7524</v>
      </c>
      <c r="K3297" t="s">
        <v>659</v>
      </c>
      <c r="L3297" t="s">
        <v>3224</v>
      </c>
      <c r="M3297"/>
    </row>
    <row r="3298" spans="2:15">
      <c r="B3298" t="str">
        <f t="shared" si="842"/>
        <v>TO</v>
      </c>
      <c r="C3298" t="str">
        <f t="shared" si="843"/>
        <v>KB</v>
      </c>
      <c r="D3298" t="s">
        <v>7321</v>
      </c>
      <c r="E3298" s="5"/>
      <c r="G3298" s="4" t="s">
        <v>7546</v>
      </c>
      <c r="H3298" s="306" t="s">
        <v>4325</v>
      </c>
      <c r="I3298" s="432" t="s">
        <v>7525</v>
      </c>
      <c r="K3298" t="s">
        <v>659</v>
      </c>
      <c r="L3298" t="s">
        <v>669</v>
      </c>
      <c r="M3298" t="s">
        <v>3323</v>
      </c>
    </row>
    <row r="3299" spans="2:15">
      <c r="B3299" t="str">
        <f t="shared" si="842"/>
        <v>TO</v>
      </c>
      <c r="C3299" t="str">
        <f t="shared" si="843"/>
        <v>KB</v>
      </c>
      <c r="D3299" t="s">
        <v>7321</v>
      </c>
      <c r="E3299" s="5"/>
      <c r="G3299" s="4" t="s">
        <v>7546</v>
      </c>
      <c r="H3299" s="306" t="s">
        <v>7536</v>
      </c>
      <c r="I3299" s="432" t="s">
        <v>7496</v>
      </c>
      <c r="K3299" t="s">
        <v>1434</v>
      </c>
      <c r="L3299" t="s">
        <v>669</v>
      </c>
      <c r="M3299" t="s">
        <v>3323</v>
      </c>
    </row>
    <row r="3300" spans="2:15">
      <c r="B3300" t="str">
        <f t="shared" si="842"/>
        <v>TO</v>
      </c>
      <c r="C3300" t="str">
        <f t="shared" si="843"/>
        <v>KB</v>
      </c>
      <c r="D3300" t="s">
        <v>7321</v>
      </c>
      <c r="E3300" s="5"/>
      <c r="G3300" s="4" t="s">
        <v>7546</v>
      </c>
      <c r="H3300" s="306" t="s">
        <v>7537</v>
      </c>
      <c r="I3300" s="279" t="s">
        <v>7497</v>
      </c>
      <c r="K3300" t="s">
        <v>1434</v>
      </c>
      <c r="L3300" t="s">
        <v>669</v>
      </c>
      <c r="M3300" t="s">
        <v>3323</v>
      </c>
    </row>
    <row r="3301" spans="2:15">
      <c r="B3301" t="str">
        <f t="shared" si="842"/>
        <v>TO</v>
      </c>
      <c r="C3301" t="str">
        <f t="shared" si="843"/>
        <v>KB</v>
      </c>
      <c r="D3301" t="s">
        <v>7321</v>
      </c>
      <c r="E3301" s="5"/>
      <c r="G3301" s="4" t="s">
        <v>7546</v>
      </c>
      <c r="H3301" s="306" t="s">
        <v>5197</v>
      </c>
      <c r="I3301" s="432" t="s">
        <v>7498</v>
      </c>
      <c r="K3301" t="s">
        <v>659</v>
      </c>
      <c r="L3301" t="s">
        <v>669</v>
      </c>
      <c r="M3301" t="s">
        <v>3323</v>
      </c>
    </row>
    <row r="3302" spans="2:15" ht="36">
      <c r="B3302" t="str">
        <f t="shared" si="842"/>
        <v>TO</v>
      </c>
      <c r="C3302" t="str">
        <f t="shared" si="843"/>
        <v>KB</v>
      </c>
      <c r="D3302" t="s">
        <v>7321</v>
      </c>
      <c r="E3302" s="5"/>
      <c r="G3302" s="4" t="s">
        <v>7546</v>
      </c>
      <c r="H3302" s="306" t="s">
        <v>7221</v>
      </c>
      <c r="I3302" s="432" t="s">
        <v>7499</v>
      </c>
      <c r="K3302" t="s">
        <v>659</v>
      </c>
      <c r="L3302" t="s">
        <v>669</v>
      </c>
      <c r="M3302" t="s">
        <v>3323</v>
      </c>
    </row>
    <row r="3303" spans="2:15">
      <c r="B3303" t="str">
        <f t="shared" si="842"/>
        <v>TO</v>
      </c>
      <c r="C3303" t="str">
        <f t="shared" si="843"/>
        <v>KB</v>
      </c>
      <c r="D3303" t="s">
        <v>7321</v>
      </c>
      <c r="E3303" s="5"/>
      <c r="G3303" s="4" t="s">
        <v>7546</v>
      </c>
      <c r="H3303" s="306" t="s">
        <v>4697</v>
      </c>
      <c r="I3303" s="432" t="s">
        <v>7500</v>
      </c>
      <c r="K3303" t="s">
        <v>1434</v>
      </c>
      <c r="L3303" t="s">
        <v>669</v>
      </c>
      <c r="M3303" t="s">
        <v>3323</v>
      </c>
    </row>
    <row r="3304" spans="2:15" ht="18.600000000000001">
      <c r="B3304" t="str">
        <f t="shared" si="842"/>
        <v/>
      </c>
      <c r="C3304" t="str">
        <f t="shared" si="843"/>
        <v/>
      </c>
      <c r="E3304" s="5"/>
      <c r="H3304" s="70"/>
      <c r="I3304" s="279"/>
      <c r="M3304"/>
    </row>
    <row r="3305" spans="2:15" ht="36">
      <c r="B3305" t="str">
        <f t="shared" si="842"/>
        <v>TO</v>
      </c>
      <c r="C3305" t="str">
        <f t="shared" si="843"/>
        <v>KB</v>
      </c>
      <c r="D3305" t="s">
        <v>7323</v>
      </c>
      <c r="E3305" s="5"/>
      <c r="G3305" s="4" t="s">
        <v>7554</v>
      </c>
      <c r="H3305" s="306" t="s">
        <v>4751</v>
      </c>
      <c r="I3305" s="432" t="s">
        <v>7555</v>
      </c>
      <c r="K3305" t="s">
        <v>659</v>
      </c>
      <c r="M3305"/>
      <c r="O3305" s="4" t="s">
        <v>7301</v>
      </c>
    </row>
    <row r="3306" spans="2:15" ht="18.600000000000001">
      <c r="B3306" t="str">
        <f t="shared" si="842"/>
        <v>MH</v>
      </c>
      <c r="C3306" t="str">
        <f t="shared" si="843"/>
        <v>KB</v>
      </c>
      <c r="D3306" t="s">
        <v>7803</v>
      </c>
      <c r="E3306" s="5"/>
      <c r="G3306" s="4" t="s">
        <v>7801</v>
      </c>
      <c r="H3306" s="70" t="s">
        <v>3860</v>
      </c>
      <c r="I3306" s="279" t="s">
        <v>7799</v>
      </c>
      <c r="M3306"/>
    </row>
    <row r="3307" spans="2:15" ht="18.600000000000001">
      <c r="B3307" t="str">
        <f t="shared" si="842"/>
        <v/>
      </c>
      <c r="C3307" t="str">
        <f t="shared" si="843"/>
        <v/>
      </c>
      <c r="E3307" s="5"/>
      <c r="H3307" s="70"/>
      <c r="I3307" s="279"/>
      <c r="M3307"/>
    </row>
    <row r="3308" spans="2:15" ht="18.600000000000001">
      <c r="B3308" t="str">
        <f t="shared" si="842"/>
        <v/>
      </c>
      <c r="C3308" t="str">
        <f t="shared" si="843"/>
        <v/>
      </c>
      <c r="E3308" s="5"/>
      <c r="H3308" s="70"/>
      <c r="I3308" s="279"/>
      <c r="M3308"/>
    </row>
    <row r="3309" spans="2:15" ht="18.600000000000001">
      <c r="B3309" t="str">
        <f t="shared" si="842"/>
        <v/>
      </c>
      <c r="C3309" t="str">
        <f t="shared" si="843"/>
        <v/>
      </c>
      <c r="E3309" s="5"/>
      <c r="H3309" s="70"/>
      <c r="I3309" s="279"/>
      <c r="M3309"/>
    </row>
    <row r="3310" spans="2:15" ht="18.600000000000001">
      <c r="B3310" t="str">
        <f t="shared" si="842"/>
        <v/>
      </c>
      <c r="C3310" t="str">
        <f t="shared" si="843"/>
        <v/>
      </c>
      <c r="E3310" s="5"/>
      <c r="H3310" s="70"/>
      <c r="I3310" s="279"/>
      <c r="M3310"/>
    </row>
    <row r="3311" spans="2:15" ht="18.600000000000001">
      <c r="B3311" t="str">
        <f t="shared" si="842"/>
        <v/>
      </c>
      <c r="C3311" t="str">
        <f t="shared" si="843"/>
        <v/>
      </c>
      <c r="E3311" s="5"/>
      <c r="H3311" s="70"/>
      <c r="I3311" s="279"/>
      <c r="M3311"/>
    </row>
    <row r="3312" spans="2:15" ht="18.600000000000001">
      <c r="B3312" t="str">
        <f t="shared" si="842"/>
        <v/>
      </c>
      <c r="C3312" t="str">
        <f t="shared" si="843"/>
        <v/>
      </c>
      <c r="E3312" s="5"/>
      <c r="H3312" s="70"/>
      <c r="I3312" s="279"/>
      <c r="M3312"/>
    </row>
    <row r="3313" spans="2:13">
      <c r="B3313" t="str">
        <f t="shared" si="842"/>
        <v/>
      </c>
      <c r="C3313" t="str">
        <f t="shared" si="843"/>
        <v/>
      </c>
      <c r="E3313" s="5"/>
      <c r="H3313" s="413" t="s">
        <v>7380</v>
      </c>
      <c r="I3313" s="279"/>
      <c r="M3313"/>
    </row>
    <row r="3314" spans="2:13" ht="18.600000000000001">
      <c r="B3314" t="str">
        <f t="shared" si="842"/>
        <v/>
      </c>
      <c r="C3314" t="str">
        <f t="shared" si="843"/>
        <v/>
      </c>
      <c r="E3314" s="5"/>
      <c r="H3314" s="70"/>
      <c r="I3314" s="279"/>
      <c r="M3314"/>
    </row>
    <row r="3315" spans="2:13" ht="18.600000000000001">
      <c r="B3315" t="str">
        <f t="shared" si="842"/>
        <v/>
      </c>
      <c r="C3315" t="str">
        <f t="shared" si="843"/>
        <v/>
      </c>
      <c r="E3315" s="5"/>
      <c r="H3315" s="70"/>
      <c r="I3315" s="279"/>
      <c r="M3315"/>
    </row>
    <row r="3316" spans="2:13" ht="18.600000000000001">
      <c r="B3316" t="str">
        <f t="shared" si="842"/>
        <v/>
      </c>
      <c r="C3316" t="str">
        <f t="shared" si="843"/>
        <v/>
      </c>
      <c r="E3316" s="5"/>
      <c r="H3316" s="70"/>
      <c r="I3316" s="279"/>
      <c r="M3316"/>
    </row>
    <row r="3317" spans="2:13" ht="18.600000000000001">
      <c r="B3317" t="str">
        <f t="shared" si="842"/>
        <v/>
      </c>
      <c r="C3317" t="str">
        <f t="shared" si="843"/>
        <v/>
      </c>
      <c r="E3317" s="5"/>
      <c r="H3317" s="70"/>
      <c r="I3317" s="279"/>
      <c r="M3317"/>
    </row>
    <row r="3318" spans="2:13" ht="18.600000000000001">
      <c r="B3318" t="str">
        <f t="shared" si="842"/>
        <v/>
      </c>
      <c r="C3318" t="str">
        <f t="shared" si="843"/>
        <v/>
      </c>
      <c r="E3318" s="5"/>
      <c r="H3318" s="70"/>
      <c r="I3318" s="279"/>
      <c r="M3318"/>
    </row>
    <row r="3319" spans="2:13" ht="18.600000000000001">
      <c r="B3319" t="str">
        <f t="shared" si="842"/>
        <v/>
      </c>
      <c r="C3319" t="str">
        <f t="shared" si="843"/>
        <v/>
      </c>
      <c r="E3319" s="5"/>
      <c r="H3319" s="70"/>
      <c r="I3319" s="279"/>
      <c r="M3319"/>
    </row>
    <row r="3320" spans="2:13" ht="18.600000000000001">
      <c r="B3320" t="str">
        <f t="shared" si="842"/>
        <v/>
      </c>
      <c r="C3320" t="str">
        <f t="shared" si="843"/>
        <v/>
      </c>
      <c r="E3320" s="5"/>
      <c r="H3320" s="70"/>
      <c r="I3320" s="279"/>
      <c r="M3320"/>
    </row>
    <row r="3321" spans="2:13" ht="18.600000000000001">
      <c r="B3321" t="str">
        <f t="shared" si="842"/>
        <v/>
      </c>
      <c r="C3321" t="str">
        <f t="shared" si="843"/>
        <v/>
      </c>
      <c r="E3321" s="5"/>
      <c r="H3321" s="70"/>
      <c r="I3321" s="279"/>
      <c r="M3321"/>
    </row>
    <row r="3322" spans="2:13" ht="18.600000000000001">
      <c r="B3322" t="str">
        <f t="shared" si="842"/>
        <v/>
      </c>
      <c r="C3322" t="str">
        <f t="shared" si="843"/>
        <v/>
      </c>
      <c r="E3322" s="5"/>
      <c r="H3322" s="70"/>
      <c r="I3322" s="279"/>
      <c r="M3322"/>
    </row>
    <row r="3323" spans="2:13" ht="18.600000000000001">
      <c r="B3323" t="str">
        <f t="shared" si="842"/>
        <v/>
      </c>
      <c r="C3323" t="str">
        <f t="shared" si="843"/>
        <v/>
      </c>
      <c r="E3323" s="5"/>
      <c r="H3323" s="70"/>
      <c r="I3323" s="279"/>
      <c r="M3323"/>
    </row>
    <row r="3324" spans="2:13" ht="18.600000000000001">
      <c r="B3324" t="str">
        <f t="shared" si="842"/>
        <v/>
      </c>
      <c r="C3324" t="str">
        <f t="shared" si="843"/>
        <v/>
      </c>
      <c r="E3324" s="5"/>
      <c r="H3324" s="70"/>
      <c r="I3324" s="279"/>
      <c r="M3324"/>
    </row>
    <row r="3325" spans="2:13" ht="18.600000000000001">
      <c r="B3325" t="str">
        <f t="shared" si="842"/>
        <v/>
      </c>
      <c r="C3325" t="str">
        <f t="shared" si="843"/>
        <v/>
      </c>
      <c r="E3325" s="5"/>
      <c r="H3325" s="70"/>
      <c r="I3325" s="279"/>
      <c r="M3325"/>
    </row>
    <row r="3326" spans="2:13" ht="18.600000000000001">
      <c r="B3326" t="str">
        <f t="shared" si="842"/>
        <v/>
      </c>
      <c r="C3326" t="str">
        <f t="shared" si="843"/>
        <v/>
      </c>
      <c r="E3326" s="5"/>
      <c r="H3326" s="70"/>
      <c r="I3326" s="279"/>
      <c r="M3326"/>
    </row>
    <row r="3327" spans="2:13" ht="18.600000000000001">
      <c r="B3327" t="str">
        <f t="shared" si="842"/>
        <v/>
      </c>
      <c r="C3327" t="str">
        <f t="shared" si="843"/>
        <v/>
      </c>
      <c r="E3327" s="5"/>
      <c r="H3327" s="70"/>
      <c r="I3327" s="279"/>
      <c r="M3327"/>
    </row>
    <row r="3328" spans="2:13" ht="18.600000000000001">
      <c r="B3328" t="str">
        <f t="shared" si="842"/>
        <v/>
      </c>
      <c r="C3328" t="str">
        <f t="shared" si="843"/>
        <v/>
      </c>
      <c r="E3328" s="5"/>
      <c r="H3328" s="70"/>
      <c r="I3328" s="279"/>
      <c r="M3328"/>
    </row>
    <row r="3329" spans="2:13" ht="18.600000000000001">
      <c r="B3329" t="str">
        <f t="shared" si="842"/>
        <v/>
      </c>
      <c r="C3329" t="str">
        <f t="shared" si="843"/>
        <v/>
      </c>
      <c r="E3329" s="5"/>
      <c r="H3329" s="70"/>
      <c r="I3329" s="279"/>
      <c r="M3329"/>
    </row>
    <row r="3330" spans="2:13" ht="18.600000000000001">
      <c r="B3330" t="str">
        <f t="shared" si="842"/>
        <v/>
      </c>
      <c r="C3330" t="str">
        <f t="shared" si="843"/>
        <v/>
      </c>
      <c r="E3330" s="5"/>
      <c r="H3330" s="70"/>
      <c r="I3330" s="279"/>
      <c r="M3330"/>
    </row>
    <row r="3331" spans="2:13" ht="18.600000000000001">
      <c r="B3331" t="str">
        <f t="shared" si="824"/>
        <v/>
      </c>
      <c r="C3331" t="str">
        <f t="shared" si="825"/>
        <v/>
      </c>
      <c r="E3331" s="5"/>
      <c r="H3331" s="70"/>
      <c r="I3331" s="279"/>
      <c r="M3331"/>
    </row>
    <row r="3332" spans="2:13" ht="18.600000000000001">
      <c r="B3332" t="str">
        <f t="shared" si="824"/>
        <v/>
      </c>
      <c r="C3332" t="str">
        <f t="shared" si="825"/>
        <v/>
      </c>
      <c r="E3332" s="5"/>
      <c r="H3332" s="70"/>
      <c r="I3332" s="279"/>
      <c r="M3332"/>
    </row>
    <row r="3333" spans="2:13" ht="18.600000000000001">
      <c r="B3333" t="str">
        <f t="shared" si="824"/>
        <v/>
      </c>
      <c r="C3333" t="str">
        <f t="shared" si="825"/>
        <v/>
      </c>
      <c r="E3333" s="5"/>
      <c r="H3333" s="70"/>
      <c r="I3333" s="279"/>
      <c r="M3333"/>
    </row>
    <row r="3334" spans="2:13" ht="18.600000000000001">
      <c r="B3334" t="str">
        <f t="shared" si="824"/>
        <v/>
      </c>
      <c r="C3334" t="str">
        <f t="shared" si="825"/>
        <v/>
      </c>
      <c r="E3334" s="5"/>
      <c r="H3334" s="70"/>
      <c r="I3334" s="279"/>
      <c r="M3334"/>
    </row>
    <row r="3335" spans="2:13" ht="18.600000000000001">
      <c r="B3335" t="str">
        <f t="shared" si="824"/>
        <v/>
      </c>
      <c r="C3335" t="str">
        <f t="shared" si="825"/>
        <v/>
      </c>
      <c r="E3335" s="5"/>
      <c r="H3335" s="70"/>
      <c r="I3335" s="279"/>
      <c r="M3335"/>
    </row>
    <row r="3336" spans="2:13" ht="18.600000000000001">
      <c r="B3336" t="str">
        <f t="shared" ref="B3336:B3345" si="846">MID(G3336,11,2)</f>
        <v/>
      </c>
      <c r="C3336" t="str">
        <f t="shared" ref="C3336:C3345" si="847">MID(G3336,14,2)</f>
        <v/>
      </c>
      <c r="E3336" s="5"/>
      <c r="H3336" s="70"/>
      <c r="I3336" s="279"/>
      <c r="M3336"/>
    </row>
    <row r="3337" spans="2:13" ht="18.600000000000001">
      <c r="B3337" t="str">
        <f t="shared" si="846"/>
        <v/>
      </c>
      <c r="C3337" t="str">
        <f t="shared" si="847"/>
        <v/>
      </c>
      <c r="E3337" s="5"/>
      <c r="H3337" s="70"/>
      <c r="I3337" s="279"/>
      <c r="M3337"/>
    </row>
    <row r="3338" spans="2:13" ht="18.600000000000001">
      <c r="B3338" t="str">
        <f t="shared" si="846"/>
        <v/>
      </c>
      <c r="C3338" t="str">
        <f t="shared" si="847"/>
        <v/>
      </c>
      <c r="E3338" s="5"/>
      <c r="H3338" s="70"/>
      <c r="I3338" s="279"/>
      <c r="M3338"/>
    </row>
    <row r="3339" spans="2:13" ht="18.600000000000001">
      <c r="B3339" t="str">
        <f t="shared" si="846"/>
        <v/>
      </c>
      <c r="C3339" t="str">
        <f t="shared" si="847"/>
        <v/>
      </c>
      <c r="E3339" s="5"/>
      <c r="H3339" s="70"/>
      <c r="I3339" s="279"/>
      <c r="M3339"/>
    </row>
    <row r="3340" spans="2:13" ht="18.600000000000001">
      <c r="B3340" t="str">
        <f t="shared" si="846"/>
        <v/>
      </c>
      <c r="C3340" t="str">
        <f t="shared" si="847"/>
        <v/>
      </c>
      <c r="E3340" s="5"/>
      <c r="H3340" s="70"/>
      <c r="I3340" s="279"/>
      <c r="M3340"/>
    </row>
    <row r="3341" spans="2:13" ht="18.600000000000001">
      <c r="B3341" t="str">
        <f t="shared" si="846"/>
        <v/>
      </c>
      <c r="C3341" t="str">
        <f t="shared" si="847"/>
        <v/>
      </c>
      <c r="E3341" s="5"/>
      <c r="H3341" s="70"/>
      <c r="I3341" s="279"/>
      <c r="M3341"/>
    </row>
    <row r="3342" spans="2:13" ht="18.600000000000001">
      <c r="B3342" t="str">
        <f t="shared" si="846"/>
        <v/>
      </c>
      <c r="C3342" t="str">
        <f t="shared" si="847"/>
        <v/>
      </c>
      <c r="E3342" s="5"/>
      <c r="H3342" s="70"/>
      <c r="I3342" s="279"/>
      <c r="M3342"/>
    </row>
    <row r="3343" spans="2:13" ht="18.600000000000001">
      <c r="B3343" t="str">
        <f t="shared" si="846"/>
        <v/>
      </c>
      <c r="C3343" t="str">
        <f t="shared" si="847"/>
        <v/>
      </c>
      <c r="E3343" s="5"/>
      <c r="H3343" s="70"/>
      <c r="I3343" s="279"/>
      <c r="M3343"/>
    </row>
    <row r="3344" spans="2:13" ht="18.600000000000001">
      <c r="B3344" t="str">
        <f t="shared" si="846"/>
        <v/>
      </c>
      <c r="C3344" t="str">
        <f t="shared" si="847"/>
        <v/>
      </c>
      <c r="E3344" s="5"/>
      <c r="H3344" s="70"/>
      <c r="I3344" s="279"/>
      <c r="M3344"/>
    </row>
    <row r="3345" spans="2:13" ht="18.600000000000001">
      <c r="B3345" t="str">
        <f t="shared" si="846"/>
        <v/>
      </c>
      <c r="C3345" t="str">
        <f t="shared" si="847"/>
        <v/>
      </c>
      <c r="E3345" s="5"/>
      <c r="H3345" s="70"/>
      <c r="I3345" s="279"/>
      <c r="M3345"/>
    </row>
    <row r="3346" spans="2:13" ht="18.600000000000001">
      <c r="B3346" t="str">
        <f t="shared" ref="B3346:B3355" si="848">MID(G3346,11,2)</f>
        <v/>
      </c>
      <c r="C3346" t="str">
        <f t="shared" ref="C3346:C3355" si="849">MID(G3346,14,2)</f>
        <v/>
      </c>
      <c r="E3346" s="5"/>
      <c r="H3346" s="70"/>
      <c r="I3346" s="279"/>
      <c r="M3346"/>
    </row>
    <row r="3347" spans="2:13" ht="18.600000000000001">
      <c r="B3347" t="str">
        <f t="shared" si="848"/>
        <v/>
      </c>
      <c r="C3347" t="str">
        <f t="shared" si="849"/>
        <v/>
      </c>
      <c r="E3347" s="5"/>
      <c r="H3347" s="70"/>
      <c r="I3347" s="279"/>
      <c r="M3347"/>
    </row>
    <row r="3348" spans="2:13" ht="18.600000000000001">
      <c r="B3348" t="str">
        <f t="shared" si="848"/>
        <v/>
      </c>
      <c r="C3348" t="str">
        <f t="shared" si="849"/>
        <v/>
      </c>
      <c r="E3348" s="5"/>
      <c r="H3348" s="70"/>
      <c r="I3348" s="279"/>
      <c r="M3348"/>
    </row>
    <row r="3349" spans="2:13" ht="18.600000000000001">
      <c r="B3349" t="str">
        <f t="shared" si="848"/>
        <v/>
      </c>
      <c r="C3349" t="str">
        <f t="shared" si="849"/>
        <v/>
      </c>
      <c r="E3349" s="5"/>
      <c r="H3349" s="70"/>
      <c r="I3349" s="279"/>
      <c r="M3349"/>
    </row>
    <row r="3350" spans="2:13" ht="18.600000000000001">
      <c r="B3350" t="str">
        <f t="shared" si="848"/>
        <v/>
      </c>
      <c r="C3350" t="str">
        <f t="shared" si="849"/>
        <v/>
      </c>
      <c r="E3350" s="5"/>
      <c r="H3350" s="70"/>
      <c r="I3350" s="279"/>
      <c r="M3350"/>
    </row>
    <row r="3351" spans="2:13" ht="18.600000000000001">
      <c r="B3351" t="str">
        <f t="shared" si="848"/>
        <v/>
      </c>
      <c r="C3351" t="str">
        <f t="shared" si="849"/>
        <v/>
      </c>
      <c r="E3351" s="5"/>
      <c r="H3351" s="70"/>
      <c r="I3351" s="279"/>
      <c r="M3351"/>
    </row>
    <row r="3352" spans="2:13" ht="18.600000000000001">
      <c r="B3352" t="str">
        <f t="shared" si="848"/>
        <v/>
      </c>
      <c r="C3352" t="str">
        <f t="shared" si="849"/>
        <v/>
      </c>
      <c r="E3352" s="5"/>
      <c r="H3352" s="70"/>
      <c r="I3352" s="279"/>
      <c r="M3352"/>
    </row>
    <row r="3353" spans="2:13" ht="18.600000000000001">
      <c r="B3353" t="str">
        <f t="shared" si="848"/>
        <v/>
      </c>
      <c r="C3353" t="str">
        <f t="shared" si="849"/>
        <v/>
      </c>
      <c r="E3353" s="5"/>
      <c r="H3353" s="70"/>
      <c r="I3353" s="279"/>
      <c r="M3353"/>
    </row>
    <row r="3354" spans="2:13" ht="18.600000000000001">
      <c r="B3354" t="str">
        <f t="shared" si="848"/>
        <v/>
      </c>
      <c r="C3354" t="str">
        <f t="shared" si="849"/>
        <v/>
      </c>
      <c r="E3354" s="5"/>
      <c r="H3354" s="70"/>
      <c r="I3354" s="279"/>
      <c r="M3354"/>
    </row>
    <row r="3355" spans="2:13" ht="18.600000000000001">
      <c r="B3355" t="str">
        <f t="shared" si="848"/>
        <v/>
      </c>
      <c r="C3355" t="str">
        <f t="shared" si="849"/>
        <v/>
      </c>
      <c r="E3355" s="5"/>
      <c r="H3355" s="70"/>
      <c r="I3355" s="279"/>
      <c r="M3355"/>
    </row>
    <row r="3356" spans="2:13">
      <c r="B3356" t="str">
        <f t="shared" ref="B3356" si="850">MID(G3356,11,2)</f>
        <v/>
      </c>
      <c r="C3356" t="str">
        <f t="shared" ref="C3356" si="851">MID(G3356,14,2)</f>
        <v/>
      </c>
      <c r="E3356" s="5"/>
      <c r="M3356"/>
    </row>
    <row r="3357" spans="2:13">
      <c r="B3357" t="str">
        <f t="shared" si="736"/>
        <v/>
      </c>
      <c r="C3357" t="str">
        <f t="shared" si="737"/>
        <v/>
      </c>
      <c r="E3357" s="5"/>
      <c r="M3357"/>
    </row>
    <row r="3358" spans="2:13">
      <c r="B3358" t="str">
        <f t="shared" si="736"/>
        <v/>
      </c>
      <c r="C3358" t="str">
        <f t="shared" si="737"/>
        <v/>
      </c>
      <c r="E3358" s="5"/>
      <c r="G3358" s="480" t="s">
        <v>7556</v>
      </c>
      <c r="H3358" s="480" t="s">
        <v>7557</v>
      </c>
      <c r="M3358"/>
    </row>
    <row r="3359" spans="2:13">
      <c r="B3359" t="str">
        <f t="shared" si="736"/>
        <v/>
      </c>
      <c r="C3359" t="str">
        <f t="shared" si="737"/>
        <v/>
      </c>
      <c r="E3359" s="5"/>
      <c r="M3359"/>
    </row>
    <row r="3360" spans="2:13" ht="36">
      <c r="B3360" t="str">
        <f t="shared" si="736"/>
        <v/>
      </c>
      <c r="C3360" t="str">
        <f t="shared" si="737"/>
        <v/>
      </c>
      <c r="E3360" s="5"/>
      <c r="G3360" s="4" t="s">
        <v>4690</v>
      </c>
      <c r="H3360" s="306" t="s">
        <v>4691</v>
      </c>
      <c r="M3360"/>
    </row>
    <row r="3361" spans="2:14" ht="21.6">
      <c r="B3361" t="str">
        <f t="shared" si="736"/>
        <v/>
      </c>
      <c r="C3361" t="str">
        <f t="shared" si="737"/>
        <v/>
      </c>
      <c r="E3361" s="5"/>
      <c r="G3361" s="4" t="s">
        <v>4690</v>
      </c>
      <c r="H3361" s="313" t="s">
        <v>4692</v>
      </c>
      <c r="M3361"/>
      <c r="N3361" t="s">
        <v>4693</v>
      </c>
    </row>
    <row r="3362" spans="2:14">
      <c r="B3362" t="str">
        <f t="shared" si="736"/>
        <v/>
      </c>
      <c r="C3362" t="str">
        <f t="shared" si="737"/>
        <v/>
      </c>
      <c r="E3362" s="5"/>
      <c r="M3362"/>
    </row>
    <row r="3363" spans="2:14">
      <c r="B3363" t="str">
        <f t="shared" si="736"/>
        <v/>
      </c>
      <c r="C3363" t="str">
        <f t="shared" si="737"/>
        <v/>
      </c>
      <c r="E3363" s="5"/>
      <c r="H3363" s="306" t="s">
        <v>5637</v>
      </c>
      <c r="M3363"/>
    </row>
    <row r="3364" spans="2:14">
      <c r="B3364" t="str">
        <f t="shared" si="736"/>
        <v/>
      </c>
      <c r="C3364" t="str">
        <f t="shared" si="737"/>
        <v/>
      </c>
      <c r="E3364" s="5"/>
      <c r="M3364"/>
    </row>
    <row r="3365" spans="2:14">
      <c r="B3365" t="str">
        <f t="shared" si="736"/>
        <v/>
      </c>
      <c r="C3365" t="str">
        <f t="shared" si="737"/>
        <v/>
      </c>
      <c r="E3365" s="5"/>
      <c r="M3365"/>
    </row>
    <row r="3366" spans="2:14">
      <c r="B3366" t="str">
        <f t="shared" si="736"/>
        <v/>
      </c>
      <c r="C3366" t="str">
        <f t="shared" si="737"/>
        <v/>
      </c>
      <c r="E3366" s="5"/>
      <c r="M3366"/>
    </row>
    <row r="3367" spans="2:14">
      <c r="B3367" t="str">
        <f t="shared" ref="B3367:B3381" si="852">MID(G3367,11,2)</f>
        <v/>
      </c>
      <c r="C3367" t="str">
        <f t="shared" ref="C3367:C3381" si="853">MID(G3367,14,2)</f>
        <v/>
      </c>
      <c r="E3367" s="5"/>
      <c r="M3367"/>
    </row>
    <row r="3368" spans="2:14">
      <c r="B3368" t="str">
        <f t="shared" si="852"/>
        <v/>
      </c>
      <c r="C3368" t="str">
        <f t="shared" si="853"/>
        <v/>
      </c>
      <c r="E3368" s="5"/>
      <c r="M3368"/>
    </row>
    <row r="3369" spans="2:14">
      <c r="B3369" t="str">
        <f t="shared" si="852"/>
        <v/>
      </c>
      <c r="C3369" t="str">
        <f t="shared" si="853"/>
        <v/>
      </c>
      <c r="E3369" s="5"/>
      <c r="M3369"/>
    </row>
    <row r="3370" spans="2:14" ht="46.2" customHeight="1">
      <c r="B3370" t="str">
        <f t="shared" si="852"/>
        <v/>
      </c>
      <c r="C3370" t="str">
        <f t="shared" si="853"/>
        <v/>
      </c>
      <c r="E3370" s="5"/>
      <c r="G3370" s="4" t="s">
        <v>7639</v>
      </c>
      <c r="H3370" s="397" t="s">
        <v>7638</v>
      </c>
      <c r="M3370"/>
    </row>
    <row r="3371" spans="2:14">
      <c r="B3371" t="str">
        <f t="shared" si="852"/>
        <v/>
      </c>
      <c r="C3371" t="str">
        <f t="shared" si="853"/>
        <v/>
      </c>
      <c r="E3371" s="5"/>
      <c r="M3371"/>
    </row>
    <row r="3372" spans="2:14">
      <c r="B3372" t="str">
        <f t="shared" si="852"/>
        <v/>
      </c>
      <c r="C3372" t="str">
        <f t="shared" si="853"/>
        <v/>
      </c>
      <c r="E3372" s="5"/>
      <c r="M3372"/>
    </row>
    <row r="3373" spans="2:14">
      <c r="B3373" t="str">
        <f t="shared" si="852"/>
        <v/>
      </c>
      <c r="C3373" t="str">
        <f t="shared" si="853"/>
        <v/>
      </c>
      <c r="E3373" s="5"/>
      <c r="M3373"/>
    </row>
    <row r="3374" spans="2:14">
      <c r="B3374" t="str">
        <f t="shared" si="852"/>
        <v/>
      </c>
      <c r="C3374" t="str">
        <f t="shared" si="853"/>
        <v/>
      </c>
      <c r="E3374" s="5"/>
      <c r="M3374"/>
    </row>
    <row r="3375" spans="2:14">
      <c r="B3375" t="str">
        <f t="shared" si="852"/>
        <v/>
      </c>
      <c r="C3375" t="str">
        <f t="shared" si="853"/>
        <v/>
      </c>
      <c r="E3375" s="5"/>
      <c r="M3375"/>
    </row>
    <row r="3376" spans="2:14">
      <c r="B3376" t="str">
        <f t="shared" si="852"/>
        <v/>
      </c>
      <c r="C3376" t="str">
        <f t="shared" si="853"/>
        <v/>
      </c>
      <c r="E3376" s="5"/>
      <c r="M3376"/>
    </row>
    <row r="3377" spans="2:13">
      <c r="B3377" t="str">
        <f t="shared" si="852"/>
        <v/>
      </c>
      <c r="C3377" t="str">
        <f t="shared" si="853"/>
        <v/>
      </c>
      <c r="E3377" s="5"/>
      <c r="M3377"/>
    </row>
    <row r="3378" spans="2:13">
      <c r="B3378" t="str">
        <f t="shared" si="852"/>
        <v/>
      </c>
      <c r="C3378" t="str">
        <f t="shared" si="853"/>
        <v/>
      </c>
      <c r="E3378" s="5"/>
      <c r="M3378"/>
    </row>
    <row r="3379" spans="2:13">
      <c r="B3379" t="str">
        <f t="shared" si="852"/>
        <v/>
      </c>
      <c r="C3379" t="str">
        <f t="shared" si="853"/>
        <v/>
      </c>
      <c r="E3379" s="5"/>
      <c r="M3379"/>
    </row>
    <row r="3380" spans="2:13">
      <c r="B3380" t="str">
        <f t="shared" si="852"/>
        <v/>
      </c>
      <c r="C3380" t="str">
        <f t="shared" si="853"/>
        <v/>
      </c>
      <c r="E3380" s="5"/>
      <c r="M3380"/>
    </row>
    <row r="3381" spans="2:13">
      <c r="B3381" t="str">
        <f t="shared" si="852"/>
        <v/>
      </c>
      <c r="C3381" t="str">
        <f t="shared" si="853"/>
        <v/>
      </c>
      <c r="E3381" s="5"/>
      <c r="M3381"/>
    </row>
    <row r="3382" spans="2:13">
      <c r="E3382" s="5"/>
    </row>
    <row r="3383" spans="2:13">
      <c r="E3383" s="5"/>
    </row>
    <row r="3384" spans="2:13">
      <c r="E3384" s="5"/>
    </row>
    <row r="3385" spans="2:13">
      <c r="E3385" s="5"/>
    </row>
    <row r="3386" spans="2:13">
      <c r="E3386" s="5"/>
    </row>
    <row r="3387" spans="2:13">
      <c r="E3387" s="5"/>
    </row>
    <row r="3388" spans="2:13">
      <c r="E3388" s="5"/>
    </row>
    <row r="3389" spans="2:13">
      <c r="E3389" s="5"/>
    </row>
    <row r="3390" spans="2:13">
      <c r="E3390" s="5"/>
    </row>
    <row r="3391" spans="2:13">
      <c r="E3391" s="5"/>
    </row>
    <row r="3392" spans="2:13">
      <c r="E3392" s="5"/>
    </row>
    <row r="3393" spans="5:8">
      <c r="E3393" s="5"/>
    </row>
    <row r="3394" spans="5:8">
      <c r="E3394" s="5"/>
    </row>
    <row r="3395" spans="5:8" ht="18.600000000000001" thickBot="1">
      <c r="E3395" s="5"/>
      <c r="H3395" s="402"/>
    </row>
    <row r="3396" spans="5:8" ht="18.600000000000001" thickBot="1">
      <c r="E3396" s="5"/>
      <c r="H3396" s="403" t="s">
        <v>5788</v>
      </c>
    </row>
    <row r="3397" spans="5:8">
      <c r="E3397" s="5"/>
      <c r="H3397" s="494" t="s">
        <v>5789</v>
      </c>
    </row>
    <row r="3398" spans="5:8" ht="18.600000000000001" thickBot="1">
      <c r="E3398" s="5"/>
      <c r="H3398" s="495"/>
    </row>
    <row r="3399" spans="5:8" ht="72.599999999999994" thickBot="1">
      <c r="E3399" s="5"/>
      <c r="H3399" s="406" t="s">
        <v>5790</v>
      </c>
    </row>
    <row r="3400" spans="5:8" ht="72.599999999999994" thickBot="1">
      <c r="E3400" s="5"/>
      <c r="H3400" s="406" t="s">
        <v>5791</v>
      </c>
    </row>
    <row r="3401" spans="5:8">
      <c r="E3401" s="5"/>
      <c r="H3401" s="494" t="s">
        <v>5792</v>
      </c>
    </row>
    <row r="3402" spans="5:8" ht="18.600000000000001" thickBot="1">
      <c r="E3402" s="5"/>
      <c r="H3402" s="495"/>
    </row>
    <row r="3403" spans="5:8" ht="72">
      <c r="E3403" s="5"/>
      <c r="H3403" s="404" t="s">
        <v>5793</v>
      </c>
    </row>
    <row r="3404" spans="5:8" ht="18.600000000000001" thickBot="1">
      <c r="E3404" s="5"/>
      <c r="H3404" s="405" t="s">
        <v>5794</v>
      </c>
    </row>
    <row r="3405" spans="5:8">
      <c r="E3405" s="5"/>
      <c r="H3405" s="494" t="s">
        <v>5795</v>
      </c>
    </row>
    <row r="3406" spans="5:8" ht="18.600000000000001" thickBot="1">
      <c r="E3406" s="5"/>
      <c r="H3406" s="495"/>
    </row>
    <row r="3407" spans="5:8" ht="54.6" thickBot="1">
      <c r="E3407" s="5"/>
      <c r="H3407" s="406" t="s">
        <v>5796</v>
      </c>
    </row>
    <row r="3408" spans="5:8" ht="72.599999999999994" thickBot="1">
      <c r="E3408" s="5"/>
      <c r="H3408" s="406" t="s">
        <v>5797</v>
      </c>
    </row>
    <row r="3409" spans="5:8">
      <c r="E3409" s="5"/>
      <c r="H3409" s="494" t="s">
        <v>5798</v>
      </c>
    </row>
    <row r="3410" spans="5:8" ht="18.600000000000001" thickBot="1">
      <c r="E3410" s="5"/>
      <c r="H3410" s="495"/>
    </row>
    <row r="3411" spans="5:8" ht="72.599999999999994" thickBot="1">
      <c r="E3411" s="5"/>
      <c r="H3411" s="406" t="s">
        <v>5799</v>
      </c>
    </row>
    <row r="3412" spans="5:8" ht="72.599999999999994" thickBot="1">
      <c r="E3412" s="5"/>
      <c r="H3412" s="406" t="s">
        <v>5800</v>
      </c>
    </row>
    <row r="3413" spans="5:8" ht="72.599999999999994" thickBot="1">
      <c r="E3413" s="5"/>
      <c r="H3413" s="406" t="s">
        <v>5801</v>
      </c>
    </row>
    <row r="3414" spans="5:8" ht="72.599999999999994" thickBot="1">
      <c r="E3414" s="5"/>
      <c r="H3414" s="406" t="s">
        <v>5802</v>
      </c>
    </row>
    <row r="3415" spans="5:8" ht="54.6" thickBot="1">
      <c r="E3415" s="5"/>
      <c r="H3415" s="406" t="s">
        <v>5803</v>
      </c>
    </row>
    <row r="3416" spans="5:8" ht="54.6" thickBot="1">
      <c r="E3416" s="5"/>
      <c r="H3416" s="406" t="s">
        <v>5804</v>
      </c>
    </row>
    <row r="3417" spans="5:8" ht="72.599999999999994" thickBot="1">
      <c r="E3417" s="5"/>
      <c r="H3417" s="406" t="s">
        <v>5805</v>
      </c>
    </row>
    <row r="3418" spans="5:8">
      <c r="E3418" s="5"/>
    </row>
    <row r="3419" spans="5:8">
      <c r="E3419" s="5"/>
    </row>
    <row r="3420" spans="5:8">
      <c r="E3420" s="5"/>
    </row>
    <row r="3421" spans="5:8">
      <c r="E3421" s="5"/>
    </row>
    <row r="3422" spans="5:8">
      <c r="E3422" s="5"/>
    </row>
    <row r="3423" spans="5:8">
      <c r="E3423" s="5"/>
    </row>
    <row r="3424" spans="5:8">
      <c r="E3424" s="5"/>
    </row>
    <row r="3425" spans="5:5">
      <c r="E3425" s="5"/>
    </row>
    <row r="3426" spans="5:5">
      <c r="E3426" s="5"/>
    </row>
    <row r="3427" spans="5:5">
      <c r="E3427" s="5"/>
    </row>
    <row r="3428" spans="5:5">
      <c r="E3428" s="5"/>
    </row>
    <row r="3429" spans="5:5">
      <c r="E3429" s="5"/>
    </row>
    <row r="3430" spans="5:5">
      <c r="E3430" s="5"/>
    </row>
    <row r="3431" spans="5:5">
      <c r="E3431" s="5"/>
    </row>
    <row r="3432" spans="5:5">
      <c r="E3432" s="5"/>
    </row>
    <row r="3433" spans="5:5">
      <c r="E3433" s="5"/>
    </row>
    <row r="3434" spans="5:5">
      <c r="E3434" s="5"/>
    </row>
    <row r="3435" spans="5:5">
      <c r="E3435" s="5"/>
    </row>
    <row r="3436" spans="5:5">
      <c r="E3436" s="5"/>
    </row>
    <row r="3437" spans="5:5">
      <c r="E3437" s="5"/>
    </row>
    <row r="3438" spans="5:5">
      <c r="E3438" s="5"/>
    </row>
    <row r="3439" spans="5:5">
      <c r="E3439" s="5"/>
    </row>
    <row r="3440" spans="5:5">
      <c r="E3440" s="5"/>
    </row>
    <row r="3441" spans="5:5">
      <c r="E3441" s="5"/>
    </row>
    <row r="3442" spans="5:5">
      <c r="E3442" s="5"/>
    </row>
    <row r="3443" spans="5:5">
      <c r="E3443" s="5"/>
    </row>
    <row r="3444" spans="5:5">
      <c r="E3444" s="5"/>
    </row>
    <row r="3445" spans="5:5">
      <c r="E3445" s="5"/>
    </row>
    <row r="3446" spans="5:5">
      <c r="E3446" s="5"/>
    </row>
    <row r="3447" spans="5:5">
      <c r="E3447" s="5"/>
    </row>
    <row r="3448" spans="5:5">
      <c r="E3448" s="5"/>
    </row>
    <row r="3449" spans="5:5">
      <c r="E3449" s="5"/>
    </row>
    <row r="3450" spans="5:5">
      <c r="E3450" s="5"/>
    </row>
    <row r="3451" spans="5:5">
      <c r="E3451" s="5"/>
    </row>
    <row r="3452" spans="5:5">
      <c r="E3452" s="5"/>
    </row>
    <row r="3453" spans="5:5">
      <c r="E3453" s="5"/>
    </row>
    <row r="3454" spans="5:5">
      <c r="E3454" s="5"/>
    </row>
    <row r="3455" spans="5:5">
      <c r="E3455" s="5"/>
    </row>
    <row r="3456" spans="5:5">
      <c r="E3456" s="5"/>
    </row>
    <row r="3457" spans="5:5">
      <c r="E3457" s="5"/>
    </row>
    <row r="3458" spans="5:5">
      <c r="E3458" s="5"/>
    </row>
    <row r="3459" spans="5:5">
      <c r="E3459" s="5"/>
    </row>
    <row r="3460" spans="5:5">
      <c r="E3460" s="5"/>
    </row>
    <row r="3461" spans="5:5">
      <c r="E3461" s="5"/>
    </row>
    <row r="3462" spans="5:5">
      <c r="E3462" s="5"/>
    </row>
    <row r="3463" spans="5:5">
      <c r="E3463" s="5"/>
    </row>
    <row r="3464" spans="5:5">
      <c r="E3464" s="5"/>
    </row>
    <row r="3465" spans="5:5">
      <c r="E3465" s="5"/>
    </row>
    <row r="3466" spans="5:5">
      <c r="E3466" s="5"/>
    </row>
    <row r="3467" spans="5:5">
      <c r="E3467" s="5"/>
    </row>
    <row r="3468" spans="5:5">
      <c r="E3468" s="5"/>
    </row>
    <row r="3469" spans="5:5">
      <c r="E3469" s="5"/>
    </row>
    <row r="3470" spans="5:5">
      <c r="E3470" s="5"/>
    </row>
    <row r="3471" spans="5:5">
      <c r="E3471" s="5"/>
    </row>
    <row r="3472" spans="5:5">
      <c r="E3472" s="5"/>
    </row>
    <row r="3473" spans="5:5">
      <c r="E3473" s="5"/>
    </row>
    <row r="3474" spans="5:5">
      <c r="E3474" s="5"/>
    </row>
    <row r="3475" spans="5:5">
      <c r="E3475" s="5"/>
    </row>
    <row r="3476" spans="5:5">
      <c r="E3476" s="5"/>
    </row>
    <row r="3477" spans="5:5">
      <c r="E3477" s="5"/>
    </row>
    <row r="3478" spans="5:5">
      <c r="E3478" s="5"/>
    </row>
    <row r="3479" spans="5:5">
      <c r="E3479" s="5"/>
    </row>
    <row r="3480" spans="5:5">
      <c r="E3480" s="5"/>
    </row>
    <row r="3481" spans="5:5">
      <c r="E3481" s="5"/>
    </row>
    <row r="3482" spans="5:5">
      <c r="E3482" s="5"/>
    </row>
    <row r="3483" spans="5:5">
      <c r="E3483" s="5"/>
    </row>
    <row r="3484" spans="5:5">
      <c r="E3484" s="5"/>
    </row>
    <row r="3485" spans="5:5">
      <c r="E3485" s="5"/>
    </row>
    <row r="3486" spans="5:5">
      <c r="E3486" s="5"/>
    </row>
    <row r="3487" spans="5:5">
      <c r="E3487" s="5"/>
    </row>
    <row r="3488" spans="5:5">
      <c r="E3488" s="5"/>
    </row>
    <row r="3489" spans="5:5">
      <c r="E3489" s="5"/>
    </row>
    <row r="3490" spans="5:5">
      <c r="E3490" s="5"/>
    </row>
    <row r="3491" spans="5:5">
      <c r="E3491" s="5"/>
    </row>
    <row r="3492" spans="5:5">
      <c r="E3492" s="5"/>
    </row>
    <row r="3493" spans="5:5">
      <c r="E3493" s="5"/>
    </row>
    <row r="3494" spans="5:5">
      <c r="E3494" s="5"/>
    </row>
    <row r="3495" spans="5:5">
      <c r="E3495" s="5"/>
    </row>
    <row r="3496" spans="5:5">
      <c r="E3496" s="5"/>
    </row>
    <row r="3497" spans="5:5">
      <c r="E3497" s="5"/>
    </row>
    <row r="3498" spans="5:5">
      <c r="E3498" s="5"/>
    </row>
    <row r="3499" spans="5:5">
      <c r="E3499" s="5"/>
    </row>
    <row r="3500" spans="5:5">
      <c r="E3500" s="5"/>
    </row>
    <row r="3501" spans="5:5">
      <c r="E3501" s="5"/>
    </row>
    <row r="3502" spans="5:5">
      <c r="E3502" s="5"/>
    </row>
    <row r="3503" spans="5:5">
      <c r="E3503" s="5"/>
    </row>
    <row r="3504" spans="5:5">
      <c r="E3504" s="5"/>
    </row>
    <row r="3505" spans="5:5">
      <c r="E3505" s="5"/>
    </row>
    <row r="3506" spans="5:5">
      <c r="E3506" s="5"/>
    </row>
    <row r="3507" spans="5:5">
      <c r="E3507" s="5"/>
    </row>
    <row r="3508" spans="5:5">
      <c r="E3508" s="5"/>
    </row>
    <row r="3509" spans="5:5">
      <c r="E3509" s="5"/>
    </row>
    <row r="3510" spans="5:5">
      <c r="E3510" s="5"/>
    </row>
    <row r="3511" spans="5:5">
      <c r="E3511" s="5"/>
    </row>
    <row r="3512" spans="5:5">
      <c r="E3512" s="5"/>
    </row>
    <row r="3513" spans="5:5">
      <c r="E3513" s="5"/>
    </row>
    <row r="3514" spans="5:5">
      <c r="E3514" s="5"/>
    </row>
    <row r="3515" spans="5:5">
      <c r="E3515" s="5"/>
    </row>
    <row r="3516" spans="5:5">
      <c r="E3516" s="5"/>
    </row>
    <row r="3517" spans="5:5">
      <c r="E3517" s="5"/>
    </row>
    <row r="3518" spans="5:5">
      <c r="E3518" s="5"/>
    </row>
    <row r="3519" spans="5:5"/>
    <row r="3520" spans="5:5"/>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spans="2:13"/>
    <row r="3826" spans="2:13"/>
    <row r="3827" spans="2:13">
      <c r="B3827" t="str">
        <f t="shared" ref="B3827" si="854">MID(G3827,8,2)</f>
        <v/>
      </c>
      <c r="C3827" t="str">
        <f t="shared" ref="C3827" si="855">MID(G3827,11,2)</f>
        <v/>
      </c>
      <c r="E3827" s="5"/>
      <c r="M3827"/>
    </row>
    <row r="3828" spans="2:13"/>
    <row r="3829" spans="2:13"/>
    <row r="3830" spans="2:13"/>
    <row r="3831" spans="2:13"/>
    <row r="3832" spans="2:13"/>
    <row r="3833" spans="2:13"/>
    <row r="3834" spans="2:13"/>
    <row r="3835" spans="2:13"/>
    <row r="3836" spans="2:13"/>
    <row r="3837" spans="2:13"/>
    <row r="3838" spans="2:13"/>
    <row r="3839" spans="2:13"/>
    <row r="3840" spans="2:13"/>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sheetData>
  <autoFilter ref="A1:N3827" xr:uid="{66217A07-3CAA-4994-8CF6-147E059E2F8E}"/>
  <sortState xmlns:xlrd2="http://schemas.microsoft.com/office/spreadsheetml/2017/richdata2" ref="I3274:I3302">
    <sortCondition ref="I3274:I3302"/>
  </sortState>
  <mergeCells count="4">
    <mergeCell ref="H3397:H3398"/>
    <mergeCell ref="H3401:H3402"/>
    <mergeCell ref="H3405:H3406"/>
    <mergeCell ref="H3409:H3410"/>
  </mergeCells>
  <phoneticPr fontId="5"/>
  <conditionalFormatting sqref="E1:E3267 E3269:E1048576">
    <cfRule type="cellIs" dxfId="147" priority="85" operator="equal">
      <formula>1</formula>
    </cfRule>
  </conditionalFormatting>
  <conditionalFormatting sqref="E1659:E1792 E1799:E2068 E2071:E2096 E2099:E2219 E2222:E2224 E2232:E3267 E3269:E3518 E3827">
    <cfRule type="cellIs" dxfId="146" priority="187" operator="equal">
      <formula>2</formula>
    </cfRule>
  </conditionalFormatting>
  <conditionalFormatting sqref="G2364">
    <cfRule type="duplicateValues" dxfId="145" priority="44"/>
  </conditionalFormatting>
  <conditionalFormatting sqref="G2751">
    <cfRule type="duplicateValues" dxfId="144" priority="4"/>
  </conditionalFormatting>
  <conditionalFormatting sqref="G2751:H2751 H2750">
    <cfRule type="duplicateValues" dxfId="143" priority="6"/>
  </conditionalFormatting>
  <conditionalFormatting sqref="H2693:H2694">
    <cfRule type="duplicateValues" dxfId="142" priority="7"/>
  </conditionalFormatting>
  <conditionalFormatting sqref="H2695:H2707 H2709:H2726">
    <cfRule type="duplicateValues" dxfId="141" priority="550"/>
  </conditionalFormatting>
  <conditionalFormatting sqref="H2746:H2747">
    <cfRule type="duplicateValues" dxfId="140" priority="5"/>
  </conditionalFormatting>
  <conditionalFormatting sqref="H3549:H1048576 H3418:H3518 H2708 H1:H2692 H2727:H2745 H2748:H2749 H2752:H2837 H2901:H2907 H2930:H2937 H2909:H2920 H2940:H2955 H2957:H2981 H2839:H2899 H2985:H3056 H3058:H3129 H3131:H3155 H3267 H3157:H3264 H3269:H3284 H3286:H3298 H3314:H3369 H3300:H3312 H3371:H3394">
    <cfRule type="duplicateValues" dxfId="139" priority="1400"/>
  </conditionalFormatting>
  <conditionalFormatting sqref="H3549:H1048576 H3418:H3518 H2901:H2907 H2930:H2937 H2909:H2920 H2940:H2955 H2957:H2981 H1:H2899 H2985:H3056 H3058:H3129 H3131:H3155 H3267 H3157:H3264 H3269:H3284 H3286:H3298 H3314:H3369 H3300:H3312 H3371:H3394">
    <cfRule type="duplicateValues" dxfId="138" priority="1424"/>
  </conditionalFormatting>
  <conditionalFormatting sqref="I3248:I3267 H3198:I3198 I3053:I3056 I3048 I1:I2837 I3050:I3051 I2839:I3042 I3044:I3046 I3058:I3129 I3131:I3246 I3269:I1048576">
    <cfRule type="duplicateValues" dxfId="137" priority="1363"/>
  </conditionalFormatting>
  <conditionalFormatting sqref="L1:L3246 L3248:L3267 L3269:L3822 L3827:L1048576">
    <cfRule type="cellIs" dxfId="136" priority="166" operator="equal">
      <formula>"Waiting for EN Publishing"</formula>
    </cfRule>
    <cfRule type="cellIs" dxfId="135" priority="165" operator="equal">
      <formula>"Needs followup"</formula>
    </cfRule>
    <cfRule type="cellIs" dxfId="134" priority="162" operator="equal">
      <formula>"Waiting for old JA Publishing"</formula>
    </cfRule>
    <cfRule type="cellIs" dxfId="133" priority="164" operator="equal">
      <formula>"To be relocalized"</formula>
    </cfRule>
    <cfRule type="cellIs" dxfId="132" priority="163" operator="equal">
      <formula>"Assinged to MH"</formula>
    </cfRule>
    <cfRule type="cellIs" dxfId="131" priority="161" operator="equal">
      <formula>"Waiting for Approval"</formula>
    </cfRule>
    <cfRule type="cellIs" dxfId="130" priority="153" operator="equal">
      <formula>"XTM Finished"</formula>
    </cfRule>
  </conditionalFormatting>
  <conditionalFormatting sqref="L1:L3267 L3269:L1048576">
    <cfRule type="containsText" dxfId="129" priority="2" operator="containsText" text="Review">
      <formula>NOT(ISERROR(SEARCH("Review",L1)))</formula>
    </cfRule>
  </conditionalFormatting>
  <conditionalFormatting sqref="L1:M2350 N2148 N2342 N2346 L2348:L2352 L2351:N2351 L2352:M2370 N2362 N2370:N2371 L2389:M2799 N2410 L2800:N2800 L2801:M2944 L2945:L2956 M2946:M2956 L2956:M3246 L3248:M3266 L3267 M3267:M3343 L3269:M3381 L3382:L3822 M3382:M3836 L3827:L3836 L3837:M1048576">
    <cfRule type="cellIs" dxfId="128" priority="149" operator="equal">
      <formula>"Pending"</formula>
    </cfRule>
  </conditionalFormatting>
  <conditionalFormatting sqref="M1:M2370 N2148 N2342 N2346 N2362 M2389:M2944 N2410 N2800 M2946:M3246 M3248:M1048576">
    <cfRule type="cellIs" dxfId="127" priority="46" operator="equal">
      <formula>"EN Draft"</formula>
    </cfRule>
  </conditionalFormatting>
  <conditionalFormatting sqref="M1:M1048576">
    <cfRule type="containsText" dxfId="126" priority="1" operator="containsText" text="Needs Mintlify relocalization">
      <formula>NOT(ISERROR(SEARCH("Needs Mintlify relocalization",M1)))</formula>
    </cfRule>
  </conditionalFormatting>
  <conditionalFormatting sqref="M2415">
    <cfRule type="cellIs" dxfId="125" priority="41" operator="equal">
      <formula>"Waiting for EN Publishing"</formula>
    </cfRule>
    <cfRule type="cellIs" dxfId="124" priority="38" operator="equal">
      <formula>"Assinged to MH"</formula>
    </cfRule>
    <cfRule type="cellIs" dxfId="123" priority="35" operator="equal">
      <formula>"XTM Finished"</formula>
    </cfRule>
    <cfRule type="cellIs" dxfId="122" priority="36" operator="equal">
      <formula>"Waiting for Approval"</formula>
    </cfRule>
    <cfRule type="cellIs" dxfId="121" priority="37" operator="equal">
      <formula>"Waiting for old JA Publishing"</formula>
    </cfRule>
    <cfRule type="cellIs" dxfId="120" priority="39" operator="equal">
      <formula>"To be relocalized"</formula>
    </cfRule>
    <cfRule type="cellIs" dxfId="119" priority="40" operator="equal">
      <formula>"Needs followup"</formula>
    </cfRule>
  </conditionalFormatting>
  <conditionalFormatting sqref="M1877:N1877">
    <cfRule type="cellIs" dxfId="118" priority="143" operator="equal">
      <formula>"Waiting for Approval"</formula>
    </cfRule>
    <cfRule type="cellIs" dxfId="117" priority="144" operator="equal">
      <formula>"Waiting for old JA Publishing"</formula>
    </cfRule>
    <cfRule type="cellIs" dxfId="116" priority="141" operator="equal">
      <formula>"Pending"</formula>
    </cfRule>
    <cfRule type="cellIs" dxfId="115" priority="142" operator="equal">
      <formula>"XTM Finished"</formula>
    </cfRule>
    <cfRule type="cellIs" dxfId="114" priority="148" operator="equal">
      <formula>"Waiting for EN Publishing"</formula>
    </cfRule>
    <cfRule type="cellIs" dxfId="113" priority="147" operator="equal">
      <formula>"Needs followup"</formula>
    </cfRule>
    <cfRule type="cellIs" dxfId="112" priority="146" operator="equal">
      <formula>"To be relocalized"</formula>
    </cfRule>
    <cfRule type="cellIs" dxfId="111" priority="145" operator="equal">
      <formula>"Assinged to MH"</formula>
    </cfRule>
  </conditionalFormatting>
  <conditionalFormatting sqref="M1884:N1884">
    <cfRule type="cellIs" dxfId="110" priority="134" operator="equal">
      <formula>"XTM Finished"</formula>
    </cfRule>
    <cfRule type="cellIs" dxfId="109" priority="135" operator="equal">
      <formula>"Waiting for Approval"</formula>
    </cfRule>
    <cfRule type="cellIs" dxfId="108" priority="137" operator="equal">
      <formula>"Assinged to MH"</formula>
    </cfRule>
    <cfRule type="cellIs" dxfId="107" priority="138" operator="equal">
      <formula>"To be relocalized"</formula>
    </cfRule>
    <cfRule type="cellIs" dxfId="106" priority="139" operator="equal">
      <formula>"Needs followup"</formula>
    </cfRule>
    <cfRule type="cellIs" dxfId="105" priority="136" operator="equal">
      <formula>"Waiting for old JA Publishing"</formula>
    </cfRule>
    <cfRule type="cellIs" dxfId="104" priority="140" operator="equal">
      <formula>"Waiting for EN Publishing"</formula>
    </cfRule>
  </conditionalFormatting>
  <conditionalFormatting sqref="N1:N2435 O2404:O2405 N2437:N2635 O2557 N2641:N2733 N2735:N3129 N3131:N3246 N3248:N3267 N3269:N1048576">
    <cfRule type="cellIs" dxfId="103" priority="33" operator="equal">
      <formula>"Urgent"</formula>
    </cfRule>
  </conditionalFormatting>
  <conditionalFormatting sqref="N1153">
    <cfRule type="duplicateValues" dxfId="102" priority="265"/>
  </conditionalFormatting>
  <conditionalFormatting sqref="N1363">
    <cfRule type="duplicateValues" dxfId="101" priority="257"/>
  </conditionalFormatting>
  <conditionalFormatting sqref="N1396 N1445 N2184 N2196 N2248">
    <cfRule type="cellIs" dxfId="100" priority="133" operator="equal">
      <formula>"Pending"</formula>
    </cfRule>
  </conditionalFormatting>
  <conditionalFormatting sqref="N1398">
    <cfRule type="duplicateValues" dxfId="99" priority="255"/>
  </conditionalFormatting>
  <conditionalFormatting sqref="N1448:N1453 N1440:N1443">
    <cfRule type="duplicateValues" dxfId="98" priority="294"/>
  </conditionalFormatting>
  <conditionalFormatting sqref="N1471:N1473">
    <cfRule type="duplicateValues" dxfId="97" priority="246"/>
  </conditionalFormatting>
  <conditionalFormatting sqref="N1575">
    <cfRule type="duplicateValues" dxfId="96" priority="223"/>
  </conditionalFormatting>
  <conditionalFormatting sqref="N1666:N1667">
    <cfRule type="duplicateValues" dxfId="95" priority="185"/>
    <cfRule type="duplicateValues" dxfId="94" priority="182"/>
  </conditionalFormatting>
  <conditionalFormatting sqref="N1936:N1942 N1972 N2527 N2549:N2551 N2812">
    <cfRule type="cellIs" dxfId="93" priority="116" operator="equal">
      <formula>"EN needs update"</formula>
    </cfRule>
    <cfRule type="cellIs" dxfId="92" priority="119" operator="equal">
      <formula>"EN Draft"</formula>
    </cfRule>
    <cfRule type="cellIs" dxfId="91" priority="118" operator="equal">
      <formula>"Needs relocalization"</formula>
    </cfRule>
    <cfRule type="cellIs" dxfId="90" priority="117" operator="equal">
      <formula>"Updated after kickoff"</formula>
    </cfRule>
    <cfRule type="cellIs" dxfId="89" priority="115" operator="equal">
      <formula>"Failed"</formula>
    </cfRule>
  </conditionalFormatting>
  <conditionalFormatting sqref="N1958">
    <cfRule type="cellIs" dxfId="88" priority="88" operator="equal">
      <formula>"Waiting for Approval"</formula>
    </cfRule>
    <cfRule type="cellIs" dxfId="87" priority="92" operator="equal">
      <formula>"Needs followup"</formula>
    </cfRule>
    <cfRule type="cellIs" dxfId="86" priority="91" operator="equal">
      <formula>"To be relocalized"</formula>
    </cfRule>
    <cfRule type="cellIs" dxfId="85" priority="90" operator="equal">
      <formula>"Assinged to MH"</formula>
    </cfRule>
    <cfRule type="cellIs" dxfId="84" priority="89" operator="equal">
      <formula>"Waiting for old JA Publishing"</formula>
    </cfRule>
    <cfRule type="cellIs" dxfId="83" priority="86" operator="equal">
      <formula>"Pending"</formula>
    </cfRule>
    <cfRule type="cellIs" dxfId="82" priority="87" operator="equal">
      <formula>"XTM Finished"</formula>
    </cfRule>
    <cfRule type="cellIs" dxfId="81" priority="93" operator="equal">
      <formula>"Waiting for EN Publishing"</formula>
    </cfRule>
  </conditionalFormatting>
  <conditionalFormatting sqref="N2188:N2193">
    <cfRule type="cellIs" dxfId="80" priority="45" operator="equal">
      <formula>"Pending"</formula>
    </cfRule>
  </conditionalFormatting>
  <conditionalFormatting sqref="N2230:N2234">
    <cfRule type="cellIs" dxfId="79" priority="64" operator="equal">
      <formula>"EN Draft"</formula>
    </cfRule>
    <cfRule type="cellIs" dxfId="78" priority="62" operator="equal">
      <formula>"Updated after kickoff"</formula>
    </cfRule>
    <cfRule type="cellIs" dxfId="77" priority="61" operator="equal">
      <formula>"EN needs update"</formula>
    </cfRule>
    <cfRule type="cellIs" dxfId="76" priority="60" operator="equal">
      <formula>"Failed"</formula>
    </cfRule>
    <cfRule type="cellIs" dxfId="75" priority="63" operator="equal">
      <formula>"Needs relocalization"</formula>
    </cfRule>
  </conditionalFormatting>
  <conditionalFormatting sqref="N2266">
    <cfRule type="cellIs" dxfId="74" priority="51" operator="equal">
      <formula>"Pending"</formula>
    </cfRule>
    <cfRule type="cellIs" dxfId="73" priority="52" operator="equal">
      <formula>"XTM Finished"</formula>
    </cfRule>
    <cfRule type="cellIs" dxfId="72" priority="53" operator="equal">
      <formula>"Waiting for Approval"</formula>
    </cfRule>
    <cfRule type="cellIs" dxfId="71" priority="54" operator="equal">
      <formula>"Waiting for old JA Publishing"</formula>
    </cfRule>
    <cfRule type="cellIs" dxfId="70" priority="58" operator="equal">
      <formula>"Waiting for EN Publishing"</formula>
    </cfRule>
    <cfRule type="cellIs" dxfId="69" priority="57" operator="equal">
      <formula>"Needs followup"</formula>
    </cfRule>
    <cfRule type="cellIs" dxfId="68" priority="56" operator="equal">
      <formula>"To be relocalized"</formula>
    </cfRule>
    <cfRule type="cellIs" dxfId="67" priority="55" operator="equal">
      <formula>"Assinged to MH"</formula>
    </cfRule>
  </conditionalFormatting>
  <conditionalFormatting sqref="N2436">
    <cfRule type="duplicateValues" dxfId="66" priority="32"/>
  </conditionalFormatting>
  <conditionalFormatting sqref="O1397:O1399">
    <cfRule type="duplicateValues" dxfId="65" priority="293"/>
  </conditionalFormatting>
  <conditionalFormatting sqref="O1439:O1440">
    <cfRule type="duplicateValues" dxfId="64" priority="250"/>
  </conditionalFormatting>
  <conditionalFormatting sqref="O1665:O1667">
    <cfRule type="duplicateValues" dxfId="63" priority="181"/>
    <cfRule type="duplicateValues" dxfId="62" priority="183"/>
    <cfRule type="duplicateValues" dxfId="61" priority="184"/>
  </conditionalFormatting>
  <conditionalFormatting sqref="O2126:O2128">
    <cfRule type="cellIs" dxfId="60" priority="79" operator="equal">
      <formula>"Failed"</formula>
    </cfRule>
    <cfRule type="cellIs" dxfId="59" priority="80" operator="equal">
      <formula>"EN needs update"</formula>
    </cfRule>
    <cfRule type="cellIs" dxfId="58" priority="83" operator="equal">
      <formula>"EN Draft"</formula>
    </cfRule>
    <cfRule type="cellIs" dxfId="57" priority="82" operator="equal">
      <formula>"Needs relocalization"</formula>
    </cfRule>
    <cfRule type="cellIs" dxfId="56" priority="81" operator="equal">
      <formula>"Updated after kickoff"</formula>
    </cfRule>
  </conditionalFormatting>
  <dataValidations count="2">
    <dataValidation type="list" allowBlank="1" sqref="K1 Q1665:Q1667 K1429:K1453 K503:K1425 K1455:K1457 K1648:K1652 K1656:K1657 K1662:K1673 K2815:K2827" xr:uid="{88855C59-25C6-4162-879D-B1307A8AC64E}">
      <formula1>"New,Update"</formula1>
    </dataValidation>
    <dataValidation type="list" allowBlank="1" sqref="E2:E1957 E3827 E1973:E2050 E2053:E2096 E2222:E2224 E2099:E2219 E2232:E3267 E3269:E3518" xr:uid="{76F06049-7C93-4255-83D7-54F743CC87D9}">
      <formula1>"1,2,3,4,5"</formula1>
    </dataValidation>
  </dataValidations>
  <hyperlinks>
    <hyperlink ref="N1591" r:id="rId1" xr:uid="{4DC49A4E-A46F-40F1-B219-468699EDF70B}"/>
    <hyperlink ref="O2038" r:id="rId2" xr:uid="{38BBC051-3260-429D-B046-B0A39B079105}"/>
    <hyperlink ref="O2039" r:id="rId3" xr:uid="{611A1231-1747-4266-8821-1A6A15CB022E}"/>
    <hyperlink ref="O2040" r:id="rId4" xr:uid="{79B74683-4293-41AE-AD23-BF59977BAA37}"/>
    <hyperlink ref="O2104" r:id="rId5" xr:uid="{7A162B59-13C3-4E28-BB66-628F707A87DC}"/>
    <hyperlink ref="O2042" r:id="rId6" xr:uid="{7939CFE1-B198-40EF-A331-548DC6BAA509}"/>
    <hyperlink ref="O2043" r:id="rId7" xr:uid="{68D144AB-BBC4-43B7-8134-9BE954EBBC93}"/>
    <hyperlink ref="O2041" r:id="rId8" xr:uid="{38F48DFF-7BA4-47E7-9351-55E2B5625720}"/>
    <hyperlink ref="O2049" r:id="rId9" xr:uid="{762895B5-A180-4851-996D-ACCB97B16F16}"/>
    <hyperlink ref="N2114" r:id="rId10" xr:uid="{362822EC-93CA-4051-86AE-7BF7BB5CDD1D}"/>
    <hyperlink ref="O2105" r:id="rId11" xr:uid="{9E54855B-87E2-40A3-A202-51DBF00985E9}"/>
    <hyperlink ref="N2102" r:id="rId12" xr:uid="{0D10A083-2202-4FF3-8602-B24DFA6EA6D1}"/>
    <hyperlink ref="O2420" r:id="rId13" display="https://app.asana.com/0/1201273699674925/1207143556236546" xr:uid="{F1B77D51-DF4B-4B58-AAAE-AAAE781B587B}"/>
    <hyperlink ref="O2557" r:id="rId14" xr:uid="{BEC5FDD0-500D-4049-AC6C-E10DAF1DACC7}"/>
    <hyperlink ref="O2845" r:id="rId15" xr:uid="{0B71200E-5BE2-4DBF-95FC-C0D6C8584E7C}"/>
    <hyperlink ref="H2844" r:id="rId16" xr:uid="{882B4AEB-725A-439A-8666-B574A2C361B0}"/>
    <hyperlink ref="H3313" r:id="rId17" xr:uid="{268E33C4-41EA-4C4B-8797-ECB17FF0E893}"/>
    <hyperlink ref="H3417" r:id="rId18" tooltip="https://domo-support.domo.com/s/article/000005815?language=en_US" display="https://domo-support.domo.com/s/article/000005815?language=en_US" xr:uid="{B1BB8FF7-D0EB-4F14-8B81-0171BC728620}"/>
    <hyperlink ref="H3416" r:id="rId19" tooltip="https://domo-support.domo.com/s/article/360044876874?language=en_US" display="https://domo-support.domo.com/s/article/360044876874?language=en_US" xr:uid="{7F13E786-2371-4CCF-A73E-D821AD251F40}"/>
    <hyperlink ref="H3415" r:id="rId20" tooltip="https://domo-support.domo.com/s/article/360044876094?language=en_US" display="https://domo-support.domo.com/s/article/360044876094?language=en_US" xr:uid="{B08A87AB-70CC-4314-B8E5-4F4B77B79BEC}"/>
    <hyperlink ref="H3414" r:id="rId21" tooltip="https://domo-support.domo.com/s/article/360044876614?language=en_US" display="https://domo-support.domo.com/s/article/360044876614?language=en_US" xr:uid="{54FB7D8A-FC36-414C-9CF1-8B0AF5148A4C}"/>
    <hyperlink ref="H3413" r:id="rId22" tooltip="https://domo-support.domo.com/s/article/360044258533?language=en_US" display="https://domo-support.domo.com/s/article/360044258533?language=en_US" xr:uid="{6CF4179B-45CD-4756-9263-6B8F224F6616}"/>
    <hyperlink ref="H3412" r:id="rId23" tooltip="https://domo-support.domo.com/s/article/360044876874?language=en_US" display="https://domo-support.domo.com/s/article/360044876874?language=en_US" xr:uid="{030F9172-D7C6-49F5-B5CD-28131A484866}"/>
    <hyperlink ref="H3411" r:id="rId24" location="sql_tile" tooltip="https://domo-support.domo.com/s/article/360044876874?language=en_US#sql_tile" display="https://domo-support.domo.com/s/article/360044876874?language=en_US - sql_tile" xr:uid="{AE4EDA2E-C9F1-497E-81F2-BA22D14E9868}"/>
    <hyperlink ref="H3409" r:id="rId25" tooltip="https://domo-support.domo.com/s/article/000005492?language=en_US" display="https://domo-support.domo.com/s/article/000005492?language=en_US" xr:uid="{D04BF06E-512A-4055-8115-910384F71240}"/>
    <hyperlink ref="H3408" r:id="rId26" tooltip="https://domo-support.domo.com/s/article/000005839?language=en_US" display="https://domo-support.domo.com/s/article/000005839?language=en_US" xr:uid="{EC8A372E-6CEE-4160-9229-0AFB5CCB3359}"/>
    <hyperlink ref="H3407" r:id="rId27" tooltip="https://domo-support.domo.com/s/article/000005827?language=en_US" display="https://domo-support.domo.com/s/article/000005827?language=en_US" xr:uid="{92354DF9-DBA4-4899-9F7E-E140DFD70180}"/>
    <hyperlink ref="H3405" r:id="rId28" tooltip="https://domo-support.domo.com/s/article/000005240?language=en_US" display="https://domo-support.domo.com/s/article/000005240?language=en_US" xr:uid="{4754F9E3-CE49-4F7F-95DC-993CA7558886}"/>
    <hyperlink ref="H3403" r:id="rId29" tooltip="https://domo-support.domo.com/s/article/000005865?language=en_US" display="https://domo-support.domo.com/s/article/000005865?language=en_US" xr:uid="{EA52C52E-AD08-4688-AF42-69B61F182FED}"/>
    <hyperlink ref="H3401" r:id="rId30" location="data_types" tooltip="https://domo-support.domo.com/s/article/000005797?language=en_US#data_types" display="https://domo-support.domo.com/s/article/000005797?language=en_US - data_types" xr:uid="{CBFD3DEF-53A4-4025-8F2D-397F973C5890}"/>
    <hyperlink ref="H3400" r:id="rId31" tooltip="https://domo-support.domo.com/s/article/360044876194?language=en_US" display="https://domo-support.domo.com/s/article/360044876194?language=en_US" xr:uid="{F87C562C-B6AE-420D-B7A4-2020FCE6E43E}"/>
    <hyperlink ref="H3399" r:id="rId32" tooltip="https://domo-support.domo.com/s/article/000005744?language=en_US" display="https://domo-support.domo.com/s/article/000005744?language=en_US" xr:uid="{15E9A4F8-0E01-4597-BB5B-64083444ED49}"/>
    <hyperlink ref="H3397" r:id="rId33" tooltip="https://domo-support.domo.com/s/article/000005756?language=en_US" display="https://domo-support.domo.com/s/article/000005756?language=en_US" xr:uid="{06E415C4-8ED3-45E5-8336-1029F03E251A}"/>
    <hyperlink ref="H3370" r:id="rId34" display="https://domosoftware-my.sharepoint.com/:x:/g/personal/masaaki_hori_domo_com/IQDKAOkm3uUAQp3yXlM2DzxkATgPJrxb0f9aGUmNmujB8bc?e=OUkfSJ&amp;nav=MTJfJEMkODQ6JEgkODZfezQ5QjExODQ0LUY5MjUtNDk0OS1BOTk4LUY4OERDNUZEOTU0Mn0" xr:uid="{6B6467D0-C22B-4DBE-933D-DF1EEBC6840A}"/>
  </hyperlinks>
  <pageMargins left="0.7" right="0.7" top="0.75" bottom="0.75" header="0.3" footer="0.3"/>
  <pageSetup paperSize="9" orientation="portrait" horizontalDpi="300" verticalDpi="300" r:id="rId35"/>
  <ignoredErrors>
    <ignoredError sqref="I3156" numberStoredAsText="1"/>
  </ignoredErrors>
  <legacyDrawing r:id="rId36"/>
  <extLst>
    <ext xmlns:x14="http://schemas.microsoft.com/office/spreadsheetml/2009/9/main" uri="{CCE6A557-97BC-4b89-ADB6-D9C93CAAB3DF}">
      <x14:dataValidations xmlns:xm="http://schemas.microsoft.com/office/excel/2006/main" count="17">
        <x14:dataValidation type="list" allowBlank="1" xr:uid="{5C5DB293-4DF1-4F3A-A70C-2710C3385E9E}">
          <x14:formula1>
            <xm:f>List!$O$2:$O$4</xm:f>
          </x14:formula1>
          <xm:sqref>M357:N367 K357:K458</xm:sqref>
        </x14:dataValidation>
        <x14:dataValidation type="list" allowBlank="1" xr:uid="{E73A00AE-1E7E-4C2A-B5B0-669CA5FA1FAB}">
          <x14:formula1>
            <xm:f>List!$O$2:$O$5</xm:f>
          </x14:formula1>
          <xm:sqref>K1426:K1428 K3269:K3822 K1458:K3267 K3827 K1454 K1451</xm:sqref>
        </x14:dataValidation>
        <x14:dataValidation type="list" allowBlank="1" xr:uid="{E3B3C013-BB49-4828-859C-4F994AD9A045}">
          <x14:formula1>
            <xm:f>List!$K$2:$K$5</xm:f>
          </x14:formula1>
          <xm:sqref>E1680</xm:sqref>
        </x14:dataValidation>
        <x14:dataValidation type="list" allowBlank="1" xr:uid="{D841B876-1B2F-4302-8927-5158261C292C}">
          <x14:formula1>
            <xm:f>List!$J$2:$J$6</xm:f>
          </x14:formula1>
          <xm:sqref>B1893:B2745 B2747:B3267 B3269:B3478</xm:sqref>
        </x14:dataValidation>
        <x14:dataValidation type="list" allowBlank="1" xr:uid="{6EFC8333-FABE-425F-935C-C56AD6694786}">
          <x14:formula1>
            <xm:f>List!$H$2:$H$9</xm:f>
          </x14:formula1>
          <xm:sqref>B2746</xm:sqref>
        </x14:dataValidation>
        <x14:dataValidation type="list" allowBlank="1" xr:uid="{7F1D5B5F-702C-4386-B60A-4669296E69EB}">
          <x14:formula1>
            <xm:f>List!$K$2:$K$9</xm:f>
          </x14:formula1>
          <xm:sqref>F2:F3267 F3269:F3285 F3303:F3381</xm:sqref>
        </x14:dataValidation>
        <x14:dataValidation type="list" allowBlank="1" xr:uid="{759728C7-B7A1-4DFB-9D57-9B200CF61F20}">
          <x14:formula1>
            <xm:f>List!$P$2:$P$13</xm:f>
          </x14:formula1>
          <xm:sqref>J3174:J3267 J3269:J3304 J3306:J3366</xm:sqref>
        </x14:dataValidation>
        <x14:dataValidation type="list" allowBlank="1" xr:uid="{5324AADE-5AD8-405B-BCFD-D70C1B935511}">
          <x14:formula1>
            <xm:f>List!$N$3:$N$10</xm:f>
          </x14:formula1>
          <xm:sqref>M1438:M1443 M2490:M2492 M1591:M1633 M1737:M1743 M1562:M1567 M1552:M1560 M1498:M1520 M1491:M1496 M2110:M2111 M2097:M2098 M1933:M1943 M1523:M1537 M1542:M1550 M1459:M1489 M1569:M1577 M1720:M1734 M1662:M1718 M2241 M2103 M2163 M2075 M2527 M1892:M1894 M1797:M1804 M1861 M1826:M1836 M1150 M1635:M1658</xm:sqref>
        </x14:dataValidation>
        <x14:dataValidation type="list" allowBlank="1" xr:uid="{4165A958-E95A-40A7-8F9C-33532EADA853}">
          <x14:formula1>
            <xm:f>List!$N$3:$N$13</xm:f>
          </x14:formula1>
          <xm:sqref>M1805:M1825 M1885:M1925 M2527 M1927:M1932 M1937:M1943 M511 M879:M883 M886 M1000:M1002 M1144:M1149 M1426:M1428 M1490 M1538:M1541 M1551 M1659:M1661 M1719 M1735:M1736 M2549:M2551 M2103 M2163 M1744:M1796 M2075 M1837:M1860 M1878:M1883 M1972:M1973 M1862:M1876 M2169:M2174</xm:sqref>
        </x14:dataValidation>
        <x14:dataValidation type="list" allowBlank="1" xr:uid="{86354AF8-C661-47F7-9D77-A8489C24D3AF}">
          <x14:formula1>
            <xm:f>List!$N$3:$N$22</xm:f>
          </x14:formula1>
          <xm:sqref>M1926</xm:sqref>
        </x14:dataValidation>
        <x14:dataValidation type="list" allowBlank="1" xr:uid="{6B800CB8-49A5-42CA-921D-E3EC2A890DC6}">
          <x14:formula1>
            <xm:f>List!$N$3:$N$21</xm:f>
          </x14:formula1>
          <xm:sqref>M3827 M1974:M2074 M3248:M3381 M2801:M2964 M2493:M2799 M2800:N2800 M2242:M2489 M2112:M2240 M1944:M1971 M2099:M2109 M2076:M2096 M2966:M3246</xm:sqref>
        </x14:dataValidation>
        <x14:dataValidation type="list" showErrorMessage="1" xr:uid="{308500CA-C4B4-4877-A942-A2398B9AD61B}">
          <x14:formula1>
            <xm:f>List!$M$7:$M$20</xm:f>
          </x14:formula1>
          <xm:sqref>N2516:N2518 N2520:N2523 N2366:N2369 N2427 N2420 N2388:N2412</xm:sqref>
        </x14:dataValidation>
        <x14:dataValidation type="list" xr:uid="{476EA57A-0EF3-4885-A59D-852A645E1B1B}">
          <x14:formula1>
            <xm:f>List!$M$7:$M$20</xm:f>
          </x14:formula1>
          <xm:sqref>N2311:N2341 N3269:N3288 N3303:N3381 N3248:N3267 N3131:N3246 N2966:N3129 N2823:N2964 N2735:N2821 N2641:N2733 N2437:N2635 N2364:N2371 N2384:N2435</xm:sqref>
        </x14:dataValidation>
        <x14:dataValidation type="list" allowBlank="1" xr:uid="{E820D0E4-245E-4DF6-BA01-7C41E45F0C54}">
          <x14:formula1>
            <xm:f>List!$M$7:$M$20</xm:f>
          </x14:formula1>
          <xm:sqref>N2431:N2435 N3269:N3288 N3303:N3381 N3248:N3267 N3131:N3246 N2966:N3129 N2823:N2964 N2735:N2821 N2641:N2733 N2437:N2635</xm:sqref>
        </x14:dataValidation>
        <x14:dataValidation type="list" allowBlank="1" xr:uid="{CE180005-AA3F-4740-B0E7-DFFA8FA76ADD}">
          <x14:formula1>
            <xm:f>List!$L$2:$L$21</xm:f>
          </x14:formula1>
          <xm:sqref>M1579:M1590 R1665:R1667</xm:sqref>
        </x14:dataValidation>
        <x14:dataValidation type="list" allowBlank="1" xr:uid="{EDDAC87B-9DA0-4C02-A906-8845A0CD3490}">
          <x14:formula1>
            <xm:f>List!$L$2:$L$3</xm:f>
          </x14:formula1>
          <xm:sqref>M1877 M1884 L3248:L3267 L3269:L3822 L3827:L1048576 N2266 N1958 L2:L3246</xm:sqref>
        </x14:dataValidation>
        <x14:dataValidation type="list" allowBlank="1" xr:uid="{B80BE420-E791-4211-A27E-B434E1042337}">
          <x14:formula1>
            <xm:f>List!$A$2:$A$6</xm:f>
          </x14:formula1>
          <xm:sqref>H2149 D3269:D3822 D2:D3267 D3827:D1048576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3C5B5-098C-4DCE-B60C-CA6C68EFC877}">
  <sheetPr>
    <tabColor rgb="FFFFC000"/>
  </sheetPr>
  <dimension ref="A1:P5966"/>
  <sheetViews>
    <sheetView tabSelected="1" workbookViewId="0">
      <pane xSplit="6" ySplit="1" topLeftCell="I96" activePane="bottomRight" state="frozen"/>
      <selection pane="topRight" activeCell="G1" sqref="G1"/>
      <selection pane="bottomLeft" activeCell="A2" sqref="A2"/>
      <selection pane="bottomRight" activeCell="L96" sqref="L96:M114"/>
    </sheetView>
  </sheetViews>
  <sheetFormatPr defaultRowHeight="18" zeroHeight="1"/>
  <cols>
    <col min="1" max="1" width="5.09765625" customWidth="1"/>
    <col min="2" max="2" width="4.8984375" customWidth="1"/>
    <col min="3" max="3" width="3.69921875" customWidth="1"/>
    <col min="4" max="4" width="10.69921875" customWidth="1"/>
    <col min="5" max="5" width="4.09765625" customWidth="1"/>
    <col min="6" max="6" width="49" style="4" customWidth="1"/>
    <col min="7" max="7" width="41.796875" style="306" customWidth="1"/>
    <col min="8" max="8" width="13" style="432" customWidth="1"/>
    <col min="9" max="9" width="12.09765625" style="432" customWidth="1"/>
    <col min="10" max="10" width="8.09765625" customWidth="1"/>
    <col min="11" max="11" width="16.09765625" customWidth="1"/>
    <col min="12" max="13" width="19" style="1" customWidth="1"/>
    <col min="14" max="14" width="34.3984375" customWidth="1"/>
    <col min="15" max="15" width="47.3984375" customWidth="1"/>
    <col min="16" max="16" width="41.796875" customWidth="1"/>
    <col min="17" max="17" width="35.09765625" customWidth="1"/>
  </cols>
  <sheetData>
    <row r="1" spans="1:16">
      <c r="A1" t="s">
        <v>0</v>
      </c>
      <c r="B1" t="s">
        <v>652</v>
      </c>
      <c r="C1" t="s">
        <v>653</v>
      </c>
      <c r="D1" t="s">
        <v>654</v>
      </c>
      <c r="E1" t="s">
        <v>655</v>
      </c>
      <c r="F1" s="4" t="s">
        <v>656</v>
      </c>
      <c r="G1" s="306" t="s">
        <v>7643</v>
      </c>
      <c r="H1" s="432" t="s">
        <v>657</v>
      </c>
      <c r="I1" s="432" t="s">
        <v>7687</v>
      </c>
      <c r="J1" t="s">
        <v>659</v>
      </c>
      <c r="K1" t="s">
        <v>7779</v>
      </c>
      <c r="L1" s="1" t="s">
        <v>7781</v>
      </c>
      <c r="M1" s="1" t="s">
        <v>7558</v>
      </c>
      <c r="N1" t="s">
        <v>662</v>
      </c>
      <c r="O1" t="s">
        <v>663</v>
      </c>
      <c r="P1" t="s">
        <v>7695</v>
      </c>
    </row>
    <row r="2" spans="1:16" ht="40.200000000000003">
      <c r="A2">
        <v>1</v>
      </c>
      <c r="B2" t="str">
        <f t="shared" ref="B2" si="0">MID(F2,11,2)</f>
        <v>TO</v>
      </c>
      <c r="C2" t="str">
        <f t="shared" ref="C2" si="1">MID(F2,14,2)</f>
        <v>KB</v>
      </c>
      <c r="D2" t="s">
        <v>7588</v>
      </c>
      <c r="E2" s="5"/>
      <c r="F2" s="4" t="s">
        <v>7596</v>
      </c>
      <c r="G2" s="70" t="s">
        <v>7632</v>
      </c>
      <c r="H2" s="279" t="s">
        <v>7587</v>
      </c>
      <c r="I2" s="279"/>
      <c r="J2" t="s">
        <v>659</v>
      </c>
      <c r="K2" t="s">
        <v>669</v>
      </c>
      <c r="L2" t="s">
        <v>2073</v>
      </c>
      <c r="M2" t="s">
        <v>7494</v>
      </c>
      <c r="N2" t="s">
        <v>7593</v>
      </c>
      <c r="O2" s="487" t="s">
        <v>7677</v>
      </c>
    </row>
    <row r="3" spans="1:16" ht="40.200000000000003">
      <c r="A3">
        <v>2</v>
      </c>
      <c r="B3" t="str">
        <f>MID(F3,11,2)</f>
        <v>TO</v>
      </c>
      <c r="C3" t="str">
        <f>MID(F3,14,2)</f>
        <v>KB</v>
      </c>
      <c r="D3" t="s">
        <v>7591</v>
      </c>
      <c r="E3" s="5"/>
      <c r="F3" s="4" t="s">
        <v>7594</v>
      </c>
      <c r="G3" s="488" t="s">
        <v>3272</v>
      </c>
      <c r="H3" s="279" t="s">
        <v>7595</v>
      </c>
      <c r="I3" s="279"/>
      <c r="J3" t="s">
        <v>659</v>
      </c>
      <c r="K3" t="s">
        <v>3224</v>
      </c>
      <c r="L3" t="s">
        <v>2073</v>
      </c>
      <c r="M3"/>
      <c r="O3" s="487" t="s">
        <v>7678</v>
      </c>
    </row>
    <row r="4" spans="1:16" ht="36">
      <c r="A4">
        <v>3</v>
      </c>
      <c r="B4" t="str">
        <f t="shared" ref="B4:B5" si="2">MID(F4,11,2)</f>
        <v>TO</v>
      </c>
      <c r="C4" t="str">
        <f t="shared" ref="C4:C5" si="3">MID(F4,14,2)</f>
        <v>KB</v>
      </c>
      <c r="D4" t="s">
        <v>7591</v>
      </c>
      <c r="E4" s="5"/>
      <c r="F4" s="4" t="s">
        <v>7594</v>
      </c>
      <c r="G4" s="488" t="s">
        <v>7528</v>
      </c>
      <c r="H4" s="279" t="s">
        <v>7508</v>
      </c>
      <c r="I4" s="279"/>
      <c r="J4" t="s">
        <v>659</v>
      </c>
      <c r="K4" t="s">
        <v>3224</v>
      </c>
      <c r="L4"/>
      <c r="M4"/>
    </row>
    <row r="5" spans="1:16" ht="36">
      <c r="A5">
        <v>4</v>
      </c>
      <c r="B5" t="str">
        <f t="shared" si="2"/>
        <v>TO</v>
      </c>
      <c r="C5" t="str">
        <f t="shared" si="3"/>
        <v>KB</v>
      </c>
      <c r="D5" t="s">
        <v>7591</v>
      </c>
      <c r="E5" s="5"/>
      <c r="F5" s="4" t="s">
        <v>7594</v>
      </c>
      <c r="G5" s="488" t="s">
        <v>4327</v>
      </c>
      <c r="H5" s="279" t="s">
        <v>7523</v>
      </c>
      <c r="I5" s="279"/>
      <c r="J5" t="s">
        <v>659</v>
      </c>
      <c r="K5" t="s">
        <v>3224</v>
      </c>
      <c r="L5"/>
      <c r="M5"/>
    </row>
    <row r="6" spans="1:16">
      <c r="A6">
        <v>5</v>
      </c>
      <c r="B6" t="str">
        <f t="shared" ref="B6" si="4">MID(F6,11,2)</f>
        <v>TO</v>
      </c>
      <c r="C6" t="str">
        <f t="shared" ref="C6" si="5">MID(F6,14,2)</f>
        <v>KB</v>
      </c>
      <c r="D6" t="s">
        <v>7589</v>
      </c>
      <c r="E6" s="5"/>
      <c r="F6" s="4" t="s">
        <v>7585</v>
      </c>
      <c r="G6" s="479" t="s">
        <v>7784</v>
      </c>
      <c r="H6" s="432" t="s">
        <v>7560</v>
      </c>
      <c r="J6" t="s">
        <v>659</v>
      </c>
      <c r="K6" t="s">
        <v>3224</v>
      </c>
      <c r="L6" t="s">
        <v>7675</v>
      </c>
      <c r="M6" t="s">
        <v>2137</v>
      </c>
      <c r="N6" t="s">
        <v>7584</v>
      </c>
    </row>
    <row r="7" spans="1:16">
      <c r="A7">
        <v>6</v>
      </c>
      <c r="B7" t="str">
        <f t="shared" ref="B7:B28" si="6">MID(F7,11,2)</f>
        <v>TO</v>
      </c>
      <c r="C7" t="str">
        <f t="shared" ref="C7:C28" si="7">MID(F7,14,2)</f>
        <v>KB</v>
      </c>
      <c r="D7" t="s">
        <v>7589</v>
      </c>
      <c r="E7" s="5"/>
      <c r="F7" s="4" t="s">
        <v>7585</v>
      </c>
      <c r="G7" s="479" t="s">
        <v>3219</v>
      </c>
      <c r="H7" s="432" t="s">
        <v>7561</v>
      </c>
      <c r="J7" t="s">
        <v>659</v>
      </c>
      <c r="K7" t="s">
        <v>3224</v>
      </c>
      <c r="L7" t="s">
        <v>7675</v>
      </c>
      <c r="M7" t="s">
        <v>2137</v>
      </c>
    </row>
    <row r="8" spans="1:16">
      <c r="A8">
        <v>7</v>
      </c>
      <c r="B8" t="str">
        <f t="shared" si="6"/>
        <v>TO</v>
      </c>
      <c r="C8" t="str">
        <f t="shared" si="7"/>
        <v>KB</v>
      </c>
      <c r="D8" t="s">
        <v>7589</v>
      </c>
      <c r="E8" s="5"/>
      <c r="F8" s="4" t="s">
        <v>7585</v>
      </c>
      <c r="G8" s="479" t="s">
        <v>1710</v>
      </c>
      <c r="H8" s="432" t="s">
        <v>7562</v>
      </c>
      <c r="J8" t="s">
        <v>659</v>
      </c>
      <c r="K8" t="s">
        <v>3224</v>
      </c>
      <c r="L8" t="s">
        <v>7675</v>
      </c>
      <c r="M8" t="s">
        <v>2137</v>
      </c>
    </row>
    <row r="9" spans="1:16">
      <c r="A9">
        <v>8</v>
      </c>
      <c r="B9" t="str">
        <f t="shared" si="6"/>
        <v>TO</v>
      </c>
      <c r="C9" t="str">
        <f t="shared" si="7"/>
        <v>KB</v>
      </c>
      <c r="D9" t="s">
        <v>7589</v>
      </c>
      <c r="E9" s="5"/>
      <c r="F9" s="4" t="s">
        <v>7585</v>
      </c>
      <c r="G9" s="479" t="s">
        <v>1709</v>
      </c>
      <c r="H9" s="432" t="s">
        <v>7563</v>
      </c>
      <c r="J9" t="s">
        <v>659</v>
      </c>
      <c r="K9" t="s">
        <v>3224</v>
      </c>
      <c r="L9" t="s">
        <v>7675</v>
      </c>
      <c r="M9" t="s">
        <v>2137</v>
      </c>
    </row>
    <row r="10" spans="1:16">
      <c r="A10">
        <v>9</v>
      </c>
      <c r="B10" t="str">
        <f t="shared" si="6"/>
        <v>TO</v>
      </c>
      <c r="C10" t="str">
        <f t="shared" si="7"/>
        <v>KB</v>
      </c>
      <c r="D10" t="s">
        <v>7589</v>
      </c>
      <c r="E10" s="5"/>
      <c r="F10" s="4" t="s">
        <v>7585</v>
      </c>
      <c r="G10" s="479" t="s">
        <v>1706</v>
      </c>
      <c r="H10" s="432" t="s">
        <v>7564</v>
      </c>
      <c r="J10" t="s">
        <v>659</v>
      </c>
      <c r="K10" t="s">
        <v>3224</v>
      </c>
      <c r="L10" t="s">
        <v>7675</v>
      </c>
      <c r="M10" t="s">
        <v>2137</v>
      </c>
    </row>
    <row r="11" spans="1:16">
      <c r="A11">
        <v>10</v>
      </c>
      <c r="B11" t="str">
        <f t="shared" si="6"/>
        <v>TO</v>
      </c>
      <c r="C11" t="str">
        <f t="shared" si="7"/>
        <v>KB</v>
      </c>
      <c r="D11" t="s">
        <v>7589</v>
      </c>
      <c r="E11" s="5"/>
      <c r="F11" s="4" t="s">
        <v>7585</v>
      </c>
      <c r="G11" s="479" t="s">
        <v>1705</v>
      </c>
      <c r="H11" s="432" t="s">
        <v>7565</v>
      </c>
      <c r="J11" t="s">
        <v>659</v>
      </c>
      <c r="K11" t="s">
        <v>3224</v>
      </c>
      <c r="L11" t="s">
        <v>7675</v>
      </c>
      <c r="M11" t="s">
        <v>2137</v>
      </c>
    </row>
    <row r="12" spans="1:16">
      <c r="A12">
        <v>11</v>
      </c>
      <c r="B12" t="str">
        <f t="shared" si="6"/>
        <v>TO</v>
      </c>
      <c r="C12" t="str">
        <f t="shared" si="7"/>
        <v>KB</v>
      </c>
      <c r="D12" t="s">
        <v>7589</v>
      </c>
      <c r="E12" s="5"/>
      <c r="F12" s="4" t="s">
        <v>7585</v>
      </c>
      <c r="G12" s="479" t="s">
        <v>1704</v>
      </c>
      <c r="H12" s="432" t="s">
        <v>7566</v>
      </c>
      <c r="J12" t="s">
        <v>659</v>
      </c>
      <c r="K12" t="s">
        <v>3224</v>
      </c>
      <c r="L12" t="s">
        <v>7675</v>
      </c>
      <c r="M12" t="s">
        <v>2137</v>
      </c>
    </row>
    <row r="13" spans="1:16">
      <c r="A13">
        <v>12</v>
      </c>
      <c r="B13" t="str">
        <f t="shared" si="6"/>
        <v>TO</v>
      </c>
      <c r="C13" t="str">
        <f t="shared" si="7"/>
        <v>KB</v>
      </c>
      <c r="D13" t="s">
        <v>7589</v>
      </c>
      <c r="E13" s="5"/>
      <c r="F13" s="4" t="s">
        <v>7585</v>
      </c>
      <c r="G13" s="479" t="s">
        <v>1702</v>
      </c>
      <c r="H13" s="432" t="s">
        <v>7567</v>
      </c>
      <c r="J13" t="s">
        <v>659</v>
      </c>
      <c r="K13" t="s">
        <v>3224</v>
      </c>
      <c r="L13" t="s">
        <v>7675</v>
      </c>
      <c r="M13" t="s">
        <v>2137</v>
      </c>
    </row>
    <row r="14" spans="1:16">
      <c r="A14">
        <v>13</v>
      </c>
      <c r="B14" t="str">
        <f t="shared" si="6"/>
        <v>TO</v>
      </c>
      <c r="C14" t="str">
        <f t="shared" si="7"/>
        <v>KB</v>
      </c>
      <c r="D14" t="s">
        <v>7589</v>
      </c>
      <c r="E14" s="5"/>
      <c r="F14" s="4" t="s">
        <v>7585</v>
      </c>
      <c r="G14" s="479" t="s">
        <v>3216</v>
      </c>
      <c r="H14" s="432" t="s">
        <v>7568</v>
      </c>
      <c r="J14" t="s">
        <v>659</v>
      </c>
      <c r="K14" t="s">
        <v>3224</v>
      </c>
      <c r="L14" t="s">
        <v>7675</v>
      </c>
      <c r="M14" t="s">
        <v>2137</v>
      </c>
    </row>
    <row r="15" spans="1:16">
      <c r="A15">
        <v>14</v>
      </c>
      <c r="B15" t="str">
        <f t="shared" si="6"/>
        <v>TO</v>
      </c>
      <c r="C15" t="str">
        <f t="shared" si="7"/>
        <v>KB</v>
      </c>
      <c r="D15" t="s">
        <v>7589</v>
      </c>
      <c r="E15" s="5"/>
      <c r="F15" s="4" t="s">
        <v>7585</v>
      </c>
      <c r="G15" s="479" t="s">
        <v>3214</v>
      </c>
      <c r="H15" s="432" t="s">
        <v>7569</v>
      </c>
      <c r="J15" t="s">
        <v>659</v>
      </c>
      <c r="K15" t="s">
        <v>3224</v>
      </c>
      <c r="L15" t="s">
        <v>7675</v>
      </c>
      <c r="M15" t="s">
        <v>2137</v>
      </c>
    </row>
    <row r="16" spans="1:16">
      <c r="A16">
        <v>15</v>
      </c>
      <c r="B16" t="str">
        <f t="shared" si="6"/>
        <v>TO</v>
      </c>
      <c r="C16" t="str">
        <f t="shared" si="7"/>
        <v>KB</v>
      </c>
      <c r="D16" t="s">
        <v>7589</v>
      </c>
      <c r="E16" s="5"/>
      <c r="F16" s="4" t="s">
        <v>7585</v>
      </c>
      <c r="G16" s="479" t="s">
        <v>2241</v>
      </c>
      <c r="H16" s="432" t="s">
        <v>7570</v>
      </c>
      <c r="J16" t="s">
        <v>659</v>
      </c>
      <c r="K16" t="s">
        <v>3224</v>
      </c>
      <c r="L16" t="s">
        <v>7675</v>
      </c>
      <c r="M16" t="s">
        <v>2137</v>
      </c>
    </row>
    <row r="17" spans="1:13">
      <c r="A17">
        <v>16</v>
      </c>
      <c r="B17" t="str">
        <f t="shared" si="6"/>
        <v>TO</v>
      </c>
      <c r="C17" t="str">
        <f t="shared" si="7"/>
        <v>KB</v>
      </c>
      <c r="D17" t="s">
        <v>7589</v>
      </c>
      <c r="E17" s="5"/>
      <c r="F17" s="4" t="s">
        <v>7585</v>
      </c>
      <c r="G17" s="479" t="s">
        <v>2259</v>
      </c>
      <c r="H17" s="432" t="s">
        <v>7571</v>
      </c>
      <c r="J17" t="s">
        <v>659</v>
      </c>
      <c r="K17" t="s">
        <v>3224</v>
      </c>
      <c r="L17" t="s">
        <v>7675</v>
      </c>
      <c r="M17" t="s">
        <v>2137</v>
      </c>
    </row>
    <row r="18" spans="1:13">
      <c r="A18">
        <v>17</v>
      </c>
      <c r="B18" t="str">
        <f t="shared" si="6"/>
        <v>TO</v>
      </c>
      <c r="C18" t="str">
        <f t="shared" si="7"/>
        <v>KB</v>
      </c>
      <c r="D18" t="s">
        <v>7589</v>
      </c>
      <c r="E18" s="5"/>
      <c r="F18" s="4" t="s">
        <v>7585</v>
      </c>
      <c r="G18" s="479" t="s">
        <v>2254</v>
      </c>
      <c r="H18" s="432" t="s">
        <v>7572</v>
      </c>
      <c r="J18" t="s">
        <v>659</v>
      </c>
      <c r="K18" t="s">
        <v>3224</v>
      </c>
      <c r="L18" t="s">
        <v>7675</v>
      </c>
      <c r="M18" t="s">
        <v>2137</v>
      </c>
    </row>
    <row r="19" spans="1:13">
      <c r="A19">
        <v>18</v>
      </c>
      <c r="B19" t="str">
        <f t="shared" si="6"/>
        <v>TO</v>
      </c>
      <c r="C19" t="str">
        <f t="shared" si="7"/>
        <v>KB</v>
      </c>
      <c r="D19" t="s">
        <v>7589</v>
      </c>
      <c r="E19" s="5"/>
      <c r="F19" s="4" t="s">
        <v>7585</v>
      </c>
      <c r="G19" s="479" t="s">
        <v>2248</v>
      </c>
      <c r="H19" s="432" t="s">
        <v>7573</v>
      </c>
      <c r="J19" t="s">
        <v>659</v>
      </c>
      <c r="K19" t="s">
        <v>3224</v>
      </c>
      <c r="L19" t="s">
        <v>7675</v>
      </c>
      <c r="M19" t="s">
        <v>2137</v>
      </c>
    </row>
    <row r="20" spans="1:13">
      <c r="A20">
        <v>19</v>
      </c>
      <c r="B20" t="str">
        <f t="shared" si="6"/>
        <v>TO</v>
      </c>
      <c r="C20" t="str">
        <f t="shared" si="7"/>
        <v>KB</v>
      </c>
      <c r="D20" t="s">
        <v>7589</v>
      </c>
      <c r="E20" s="5"/>
      <c r="F20" s="4" t="s">
        <v>7585</v>
      </c>
      <c r="G20" s="479" t="s">
        <v>1682</v>
      </c>
      <c r="H20" s="432" t="s">
        <v>7592</v>
      </c>
      <c r="J20" t="s">
        <v>659</v>
      </c>
      <c r="K20" t="s">
        <v>3224</v>
      </c>
      <c r="L20" t="s">
        <v>7675</v>
      </c>
      <c r="M20" t="s">
        <v>2137</v>
      </c>
    </row>
    <row r="21" spans="1:13">
      <c r="A21">
        <v>20</v>
      </c>
      <c r="B21" t="str">
        <f t="shared" si="6"/>
        <v>TO</v>
      </c>
      <c r="C21" t="str">
        <f t="shared" si="7"/>
        <v>KB</v>
      </c>
      <c r="D21" t="s">
        <v>7589</v>
      </c>
      <c r="E21" s="5"/>
      <c r="F21" s="4" t="s">
        <v>7585</v>
      </c>
      <c r="G21" s="479" t="s">
        <v>272</v>
      </c>
      <c r="H21" s="432" t="s">
        <v>7574</v>
      </c>
      <c r="J21" t="s">
        <v>659</v>
      </c>
      <c r="K21" t="s">
        <v>3224</v>
      </c>
      <c r="L21" t="s">
        <v>7675</v>
      </c>
      <c r="M21" t="s">
        <v>2137</v>
      </c>
    </row>
    <row r="22" spans="1:13" ht="36">
      <c r="A22">
        <v>21</v>
      </c>
      <c r="B22" t="str">
        <f t="shared" si="6"/>
        <v>TO</v>
      </c>
      <c r="C22" t="str">
        <f t="shared" si="7"/>
        <v>KB</v>
      </c>
      <c r="D22" t="s">
        <v>7589</v>
      </c>
      <c r="E22" s="5"/>
      <c r="F22" s="4" t="s">
        <v>7585</v>
      </c>
      <c r="G22" s="479" t="s">
        <v>255</v>
      </c>
      <c r="H22" s="432" t="s">
        <v>7575</v>
      </c>
      <c r="J22" t="s">
        <v>659</v>
      </c>
      <c r="K22" t="s">
        <v>3224</v>
      </c>
      <c r="L22" t="s">
        <v>7675</v>
      </c>
      <c r="M22" t="s">
        <v>2137</v>
      </c>
    </row>
    <row r="23" spans="1:13" ht="36">
      <c r="A23">
        <v>22</v>
      </c>
      <c r="B23" t="str">
        <f t="shared" si="6"/>
        <v>TO</v>
      </c>
      <c r="C23" t="str">
        <f t="shared" si="7"/>
        <v>KB</v>
      </c>
      <c r="D23" t="s">
        <v>7589</v>
      </c>
      <c r="E23" s="5"/>
      <c r="F23" s="4" t="s">
        <v>7585</v>
      </c>
      <c r="G23" s="479" t="s">
        <v>589</v>
      </c>
      <c r="H23" s="432" t="s">
        <v>7576</v>
      </c>
      <c r="J23" t="s">
        <v>659</v>
      </c>
      <c r="K23" t="s">
        <v>3224</v>
      </c>
      <c r="L23" t="s">
        <v>7675</v>
      </c>
      <c r="M23" t="s">
        <v>2137</v>
      </c>
    </row>
    <row r="24" spans="1:13">
      <c r="A24">
        <v>23</v>
      </c>
      <c r="B24" t="str">
        <f t="shared" si="6"/>
        <v>TO</v>
      </c>
      <c r="C24" t="str">
        <f t="shared" si="7"/>
        <v>KB</v>
      </c>
      <c r="D24" t="s">
        <v>7589</v>
      </c>
      <c r="E24" s="5"/>
      <c r="F24" s="4" t="s">
        <v>7585</v>
      </c>
      <c r="G24" s="479" t="s">
        <v>2252</v>
      </c>
      <c r="H24" s="432" t="s">
        <v>7577</v>
      </c>
      <c r="J24" t="s">
        <v>659</v>
      </c>
      <c r="K24" t="s">
        <v>3224</v>
      </c>
      <c r="L24" t="s">
        <v>7675</v>
      </c>
      <c r="M24" t="s">
        <v>2137</v>
      </c>
    </row>
    <row r="25" spans="1:13">
      <c r="A25">
        <v>24</v>
      </c>
      <c r="B25" t="str">
        <f t="shared" si="6"/>
        <v>TO</v>
      </c>
      <c r="C25" t="str">
        <f t="shared" si="7"/>
        <v>KB</v>
      </c>
      <c r="D25" t="s">
        <v>7589</v>
      </c>
      <c r="E25" s="5"/>
      <c r="F25" s="4" t="s">
        <v>7585</v>
      </c>
      <c r="G25" s="479" t="s">
        <v>7629</v>
      </c>
      <c r="H25" s="432" t="s">
        <v>7578</v>
      </c>
      <c r="J25" t="s">
        <v>659</v>
      </c>
      <c r="K25" t="s">
        <v>3224</v>
      </c>
      <c r="L25" t="s">
        <v>7675</v>
      </c>
      <c r="M25" t="s">
        <v>2137</v>
      </c>
    </row>
    <row r="26" spans="1:13">
      <c r="A26">
        <v>25</v>
      </c>
      <c r="B26" t="str">
        <f t="shared" si="6"/>
        <v>TO</v>
      </c>
      <c r="C26" t="str">
        <f t="shared" si="7"/>
        <v>KB</v>
      </c>
      <c r="D26" t="s">
        <v>7589</v>
      </c>
      <c r="E26" s="5"/>
      <c r="F26" s="4" t="s">
        <v>7585</v>
      </c>
      <c r="G26" s="306" t="s">
        <v>7630</v>
      </c>
      <c r="H26" s="432" t="s">
        <v>7579</v>
      </c>
      <c r="J26" t="s">
        <v>659</v>
      </c>
      <c r="K26" t="s">
        <v>3224</v>
      </c>
      <c r="L26" t="s">
        <v>7675</v>
      </c>
      <c r="M26" t="s">
        <v>2137</v>
      </c>
    </row>
    <row r="27" spans="1:13">
      <c r="A27">
        <v>26</v>
      </c>
      <c r="B27" t="str">
        <f t="shared" si="6"/>
        <v>TO</v>
      </c>
      <c r="C27" t="str">
        <f t="shared" si="7"/>
        <v>KB</v>
      </c>
      <c r="D27" t="s">
        <v>7589</v>
      </c>
      <c r="E27" s="5"/>
      <c r="F27" s="4" t="s">
        <v>7585</v>
      </c>
      <c r="G27" s="479" t="s">
        <v>1061</v>
      </c>
      <c r="H27" s="432" t="s">
        <v>7580</v>
      </c>
      <c r="J27" t="s">
        <v>659</v>
      </c>
      <c r="K27" t="s">
        <v>3224</v>
      </c>
      <c r="L27" t="s">
        <v>7675</v>
      </c>
      <c r="M27" t="s">
        <v>2137</v>
      </c>
    </row>
    <row r="28" spans="1:13">
      <c r="A28">
        <v>27</v>
      </c>
      <c r="B28" t="str">
        <f t="shared" si="6"/>
        <v>TO</v>
      </c>
      <c r="C28" t="str">
        <f t="shared" si="7"/>
        <v>KB</v>
      </c>
      <c r="D28" t="s">
        <v>7589</v>
      </c>
      <c r="E28" s="5"/>
      <c r="F28" s="4" t="s">
        <v>7585</v>
      </c>
      <c r="G28" s="479" t="s">
        <v>1062</v>
      </c>
      <c r="H28" s="432" t="s">
        <v>7581</v>
      </c>
      <c r="J28" t="s">
        <v>659</v>
      </c>
      <c r="K28" t="s">
        <v>3224</v>
      </c>
      <c r="L28" t="s">
        <v>7675</v>
      </c>
      <c r="M28" t="s">
        <v>2137</v>
      </c>
    </row>
    <row r="29" spans="1:13">
      <c r="A29">
        <v>28</v>
      </c>
      <c r="B29" t="str">
        <f t="shared" ref="B29" si="8">MID(F29,11,2)</f>
        <v>TO</v>
      </c>
      <c r="C29" t="str">
        <f t="shared" ref="C29" si="9">MID(F29,14,2)</f>
        <v>KB</v>
      </c>
      <c r="D29" t="s">
        <v>7589</v>
      </c>
      <c r="E29" s="5"/>
      <c r="F29" s="4" t="s">
        <v>7626</v>
      </c>
      <c r="G29" s="479" t="s">
        <v>7142</v>
      </c>
      <c r="H29" s="432" t="s">
        <v>7600</v>
      </c>
      <c r="J29" t="s">
        <v>659</v>
      </c>
      <c r="K29" t="s">
        <v>3224</v>
      </c>
      <c r="L29"/>
      <c r="M29"/>
    </row>
    <row r="30" spans="1:13">
      <c r="A30">
        <v>29</v>
      </c>
      <c r="B30" t="str">
        <f t="shared" ref="B30" si="10">MID(F30,11,2)</f>
        <v>TO</v>
      </c>
      <c r="C30" t="str">
        <f t="shared" ref="C30" si="11">MID(F30,14,2)</f>
        <v>KB</v>
      </c>
      <c r="D30" t="s">
        <v>7589</v>
      </c>
      <c r="E30" s="5"/>
      <c r="F30" s="4" t="s">
        <v>7623</v>
      </c>
      <c r="G30" s="306" t="s">
        <v>7621</v>
      </c>
      <c r="H30" s="432" t="s">
        <v>7608</v>
      </c>
      <c r="J30" t="s">
        <v>659</v>
      </c>
      <c r="K30" t="s">
        <v>3224</v>
      </c>
      <c r="L30"/>
      <c r="M30"/>
    </row>
    <row r="31" spans="1:13">
      <c r="A31">
        <v>30</v>
      </c>
      <c r="B31" t="str">
        <f>MID(F31,11,2)</f>
        <v>TO</v>
      </c>
      <c r="C31" t="str">
        <f>MID(F31,14,2)</f>
        <v>KB</v>
      </c>
      <c r="D31" t="s">
        <v>7589</v>
      </c>
      <c r="E31" s="5"/>
      <c r="F31" s="4" t="s">
        <v>7623</v>
      </c>
      <c r="G31" s="479" t="s">
        <v>1717</v>
      </c>
      <c r="H31" s="432" t="s">
        <v>7599</v>
      </c>
      <c r="J31" t="s">
        <v>659</v>
      </c>
      <c r="K31" t="s">
        <v>3224</v>
      </c>
      <c r="L31"/>
      <c r="M31"/>
    </row>
    <row r="32" spans="1:13">
      <c r="A32">
        <v>31</v>
      </c>
      <c r="B32" t="str">
        <f>MID(F32,11,2)</f>
        <v>TO</v>
      </c>
      <c r="C32" t="str">
        <f>MID(F32,14,2)</f>
        <v>KB</v>
      </c>
      <c r="D32" t="s">
        <v>7589</v>
      </c>
      <c r="E32" s="5"/>
      <c r="F32" s="4" t="s">
        <v>7626</v>
      </c>
      <c r="G32" s="479" t="s">
        <v>7619</v>
      </c>
      <c r="H32" s="432" t="s">
        <v>7605</v>
      </c>
      <c r="J32" t="s">
        <v>659</v>
      </c>
      <c r="K32" t="s">
        <v>3224</v>
      </c>
      <c r="L32"/>
      <c r="M32"/>
    </row>
    <row r="33" spans="1:13">
      <c r="A33">
        <v>32</v>
      </c>
      <c r="B33" t="str">
        <f>MID(F33,11,2)</f>
        <v>TO</v>
      </c>
      <c r="C33" t="str">
        <f>MID(F33,14,2)</f>
        <v>KB</v>
      </c>
      <c r="D33" t="s">
        <v>7589</v>
      </c>
      <c r="E33" s="5"/>
      <c r="F33" s="4" t="s">
        <v>7626</v>
      </c>
      <c r="G33" s="479" t="s">
        <v>4735</v>
      </c>
      <c r="H33" s="432" t="s">
        <v>7598</v>
      </c>
      <c r="J33" t="s">
        <v>659</v>
      </c>
      <c r="K33" t="s">
        <v>3224</v>
      </c>
      <c r="L33"/>
      <c r="M33"/>
    </row>
    <row r="34" spans="1:13" ht="36">
      <c r="A34">
        <v>33</v>
      </c>
      <c r="B34" t="str">
        <f>MID(F34,11,2)</f>
        <v>TO</v>
      </c>
      <c r="C34" t="str">
        <f>MID(F34,14,2)</f>
        <v>KB</v>
      </c>
      <c r="D34" t="s">
        <v>7589</v>
      </c>
      <c r="E34" s="5"/>
      <c r="F34" s="4" t="s">
        <v>7624</v>
      </c>
      <c r="G34" s="479" t="s">
        <v>7614</v>
      </c>
      <c r="H34" s="432" t="s">
        <v>7602</v>
      </c>
      <c r="J34" t="s">
        <v>659</v>
      </c>
      <c r="L34"/>
      <c r="M34"/>
    </row>
    <row r="35" spans="1:13">
      <c r="A35">
        <v>34</v>
      </c>
      <c r="B35" t="str">
        <f t="shared" ref="B35:B39" si="12">MID(F35,11,2)</f>
        <v>TO</v>
      </c>
      <c r="C35" t="str">
        <f t="shared" ref="C35:C39" si="13">MID(F35,14,2)</f>
        <v>KB</v>
      </c>
      <c r="D35" t="s">
        <v>7589</v>
      </c>
      <c r="E35" s="5"/>
      <c r="F35" s="4" t="s">
        <v>7624</v>
      </c>
      <c r="G35" s="479" t="s">
        <v>7615</v>
      </c>
      <c r="H35" s="432" t="s">
        <v>7610</v>
      </c>
      <c r="J35" t="s">
        <v>659</v>
      </c>
      <c r="L35"/>
      <c r="M35"/>
    </row>
    <row r="36" spans="1:13">
      <c r="A36">
        <v>35</v>
      </c>
      <c r="B36" t="str">
        <f t="shared" si="12"/>
        <v>TO</v>
      </c>
      <c r="C36" t="str">
        <f t="shared" si="13"/>
        <v>KB</v>
      </c>
      <c r="D36" t="s">
        <v>7589</v>
      </c>
      <c r="E36" s="5"/>
      <c r="F36" s="4" t="s">
        <v>7624</v>
      </c>
      <c r="G36" s="479" t="s">
        <v>7616</v>
      </c>
      <c r="H36" s="432" t="s">
        <v>7611</v>
      </c>
      <c r="J36" t="s">
        <v>659</v>
      </c>
      <c r="L36"/>
      <c r="M36"/>
    </row>
    <row r="37" spans="1:13">
      <c r="A37">
        <v>36</v>
      </c>
      <c r="B37" t="str">
        <f t="shared" si="12"/>
        <v>TO</v>
      </c>
      <c r="C37" t="str">
        <f t="shared" si="13"/>
        <v>KB</v>
      </c>
      <c r="D37" t="s">
        <v>7589</v>
      </c>
      <c r="E37" s="5"/>
      <c r="F37" s="4" t="s">
        <v>7812</v>
      </c>
      <c r="G37" s="479" t="s">
        <v>443</v>
      </c>
      <c r="H37" s="432" t="s">
        <v>7609</v>
      </c>
      <c r="J37" t="s">
        <v>659</v>
      </c>
      <c r="L37"/>
      <c r="M37"/>
    </row>
    <row r="38" spans="1:13">
      <c r="A38">
        <v>37</v>
      </c>
      <c r="B38" t="str">
        <f t="shared" si="12"/>
        <v>TO</v>
      </c>
      <c r="C38" t="str">
        <f t="shared" si="13"/>
        <v>KB</v>
      </c>
      <c r="D38" t="s">
        <v>7589</v>
      </c>
      <c r="E38" s="5"/>
      <c r="F38" s="4" t="s">
        <v>7624</v>
      </c>
      <c r="G38" s="479" t="s">
        <v>7617</v>
      </c>
      <c r="H38" s="432" t="s">
        <v>7612</v>
      </c>
      <c r="J38" t="s">
        <v>659</v>
      </c>
      <c r="L38"/>
      <c r="M38"/>
    </row>
    <row r="39" spans="1:13">
      <c r="A39">
        <v>38</v>
      </c>
      <c r="B39" t="str">
        <f t="shared" si="12"/>
        <v>TO</v>
      </c>
      <c r="C39" t="str">
        <f t="shared" si="13"/>
        <v>KB</v>
      </c>
      <c r="D39" t="s">
        <v>7589</v>
      </c>
      <c r="E39" s="5"/>
      <c r="F39" s="4" t="s">
        <v>7624</v>
      </c>
      <c r="G39" s="479" t="s">
        <v>7620</v>
      </c>
      <c r="H39" s="432" t="s">
        <v>7606</v>
      </c>
      <c r="J39" t="s">
        <v>659</v>
      </c>
      <c r="L39"/>
      <c r="M39"/>
    </row>
    <row r="40" spans="1:13">
      <c r="A40">
        <v>39</v>
      </c>
      <c r="B40" t="str">
        <f>MID(F40,11,2)</f>
        <v>TO</v>
      </c>
      <c r="C40" t="str">
        <f>MID(F40,14,2)</f>
        <v>KB</v>
      </c>
      <c r="D40" t="s">
        <v>7589</v>
      </c>
      <c r="E40" s="5"/>
      <c r="F40" s="4" t="s">
        <v>7625</v>
      </c>
      <c r="G40" s="479" t="s">
        <v>7618</v>
      </c>
      <c r="H40" s="432" t="s">
        <v>7613</v>
      </c>
      <c r="J40" t="s">
        <v>659</v>
      </c>
      <c r="L40"/>
      <c r="M40"/>
    </row>
    <row r="41" spans="1:13">
      <c r="A41">
        <v>40</v>
      </c>
      <c r="B41" t="str">
        <f t="shared" ref="B41:B45" si="14">MID(F41,11,2)</f>
        <v>TO</v>
      </c>
      <c r="C41" t="str">
        <f t="shared" ref="C41:C45" si="15">MID(F41,14,2)</f>
        <v>KB</v>
      </c>
      <c r="D41" t="s">
        <v>7589</v>
      </c>
      <c r="E41" s="5"/>
      <c r="F41" s="4" t="s">
        <v>7625</v>
      </c>
      <c r="G41" s="479" t="s">
        <v>625</v>
      </c>
      <c r="H41" s="432" t="s">
        <v>7607</v>
      </c>
      <c r="J41" t="s">
        <v>659</v>
      </c>
      <c r="L41"/>
      <c r="M41"/>
    </row>
    <row r="42" spans="1:13">
      <c r="A42">
        <v>41</v>
      </c>
      <c r="B42" t="str">
        <f t="shared" si="14"/>
        <v>TO</v>
      </c>
      <c r="C42" t="str">
        <f t="shared" si="15"/>
        <v>KB</v>
      </c>
      <c r="D42" t="s">
        <v>7589</v>
      </c>
      <c r="E42" s="5"/>
      <c r="F42" s="4" t="s">
        <v>7625</v>
      </c>
      <c r="G42" s="479" t="s">
        <v>7786</v>
      </c>
      <c r="H42" s="432" t="s">
        <v>7601</v>
      </c>
      <c r="J42" t="s">
        <v>659</v>
      </c>
      <c r="K42" t="s">
        <v>2137</v>
      </c>
      <c r="L42" t="s">
        <v>2137</v>
      </c>
      <c r="M42"/>
    </row>
    <row r="43" spans="1:13">
      <c r="A43">
        <v>42</v>
      </c>
      <c r="B43" t="str">
        <f t="shared" si="14"/>
        <v>TO</v>
      </c>
      <c r="C43" t="str">
        <f t="shared" si="15"/>
        <v>KB</v>
      </c>
      <c r="D43" t="s">
        <v>7589</v>
      </c>
      <c r="E43" s="5"/>
      <c r="F43" s="4" t="s">
        <v>7625</v>
      </c>
      <c r="G43" s="479" t="s">
        <v>4587</v>
      </c>
      <c r="H43" s="432" t="s">
        <v>7604</v>
      </c>
      <c r="J43" t="s">
        <v>659</v>
      </c>
      <c r="L43"/>
      <c r="M43"/>
    </row>
    <row r="44" spans="1:13">
      <c r="A44">
        <v>43</v>
      </c>
      <c r="B44" t="str">
        <f t="shared" si="14"/>
        <v>TO</v>
      </c>
      <c r="C44" t="str">
        <f t="shared" si="15"/>
        <v>KB</v>
      </c>
      <c r="D44" t="s">
        <v>7589</v>
      </c>
      <c r="E44" s="5"/>
      <c r="F44" s="4" t="s">
        <v>7625</v>
      </c>
      <c r="G44" s="306" t="s">
        <v>6674</v>
      </c>
      <c r="H44" s="432" t="s">
        <v>7603</v>
      </c>
      <c r="J44" t="s">
        <v>659</v>
      </c>
      <c r="L44"/>
      <c r="M44"/>
    </row>
    <row r="45" spans="1:13">
      <c r="A45">
        <v>44</v>
      </c>
      <c r="B45" t="str">
        <f t="shared" si="14"/>
        <v>TO</v>
      </c>
      <c r="C45" t="str">
        <f t="shared" si="15"/>
        <v>KB</v>
      </c>
      <c r="D45" t="s">
        <v>7589</v>
      </c>
      <c r="E45" s="5"/>
      <c r="F45" s="4" t="s">
        <v>7674</v>
      </c>
      <c r="G45" s="479" t="s">
        <v>2101</v>
      </c>
      <c r="H45" s="432" t="s">
        <v>7654</v>
      </c>
      <c r="J45" t="s">
        <v>659</v>
      </c>
      <c r="L45"/>
      <c r="M45"/>
    </row>
    <row r="46" spans="1:13">
      <c r="A46">
        <v>45</v>
      </c>
      <c r="B46" t="str">
        <f>MID(F46,11,2)</f>
        <v>TO</v>
      </c>
      <c r="C46" t="str">
        <f>MID(F46,14,2)</f>
        <v>KB</v>
      </c>
      <c r="D46" t="s">
        <v>7322</v>
      </c>
      <c r="E46" s="5">
        <v>2</v>
      </c>
      <c r="F46" s="4" t="s">
        <v>7659</v>
      </c>
      <c r="G46" s="306" t="s">
        <v>7644</v>
      </c>
      <c r="H46" s="432" t="s">
        <v>7655</v>
      </c>
      <c r="J46" t="s">
        <v>1434</v>
      </c>
      <c r="K46" t="s">
        <v>3224</v>
      </c>
      <c r="L46"/>
      <c r="M46"/>
    </row>
    <row r="47" spans="1:13">
      <c r="A47">
        <v>46</v>
      </c>
      <c r="B47" t="str">
        <f>MID(F47,11,2)</f>
        <v>TO</v>
      </c>
      <c r="C47" t="str">
        <f>MID(F47,14,2)</f>
        <v>KB</v>
      </c>
      <c r="D47" t="s">
        <v>7322</v>
      </c>
      <c r="E47" s="5">
        <v>2</v>
      </c>
      <c r="F47" s="4" t="s">
        <v>7659</v>
      </c>
      <c r="G47" s="306" t="s">
        <v>7646</v>
      </c>
      <c r="H47" s="432" t="s">
        <v>7656</v>
      </c>
      <c r="J47" t="s">
        <v>1434</v>
      </c>
      <c r="K47" t="s">
        <v>3224</v>
      </c>
      <c r="L47"/>
      <c r="M47"/>
    </row>
    <row r="48" spans="1:13">
      <c r="A48">
        <v>47</v>
      </c>
      <c r="B48" t="str">
        <f>MID(F48,11,2)</f>
        <v>TO</v>
      </c>
      <c r="C48" t="str">
        <f>MID(F48,14,2)</f>
        <v>Ap</v>
      </c>
      <c r="D48" t="s">
        <v>7322</v>
      </c>
      <c r="E48" s="5">
        <v>2</v>
      </c>
      <c r="F48" t="s">
        <v>7664</v>
      </c>
      <c r="G48" s="306" t="s">
        <v>7666</v>
      </c>
      <c r="J48" t="s">
        <v>2841</v>
      </c>
      <c r="K48" t="s">
        <v>669</v>
      </c>
      <c r="L48" t="s">
        <v>1424</v>
      </c>
      <c r="M48" t="s">
        <v>7794</v>
      </c>
    </row>
    <row r="49" spans="1:15">
      <c r="A49">
        <v>48</v>
      </c>
      <c r="B49" t="str">
        <f t="shared" ref="B49:B50" si="16">MID(F49,11,2)</f>
        <v>TO</v>
      </c>
      <c r="C49" t="str">
        <f t="shared" ref="C49:C52" si="17">MID(F49,14,2)</f>
        <v>Ap</v>
      </c>
      <c r="D49" t="s">
        <v>7322</v>
      </c>
      <c r="E49" s="5">
        <v>2</v>
      </c>
      <c r="F49" t="s">
        <v>7664</v>
      </c>
      <c r="G49" s="306" t="s">
        <v>5822</v>
      </c>
      <c r="J49" t="s">
        <v>2841</v>
      </c>
      <c r="K49" t="s">
        <v>669</v>
      </c>
      <c r="L49" t="s">
        <v>1424</v>
      </c>
      <c r="M49" t="s">
        <v>7794</v>
      </c>
    </row>
    <row r="50" spans="1:15">
      <c r="A50">
        <v>49</v>
      </c>
      <c r="B50" t="str">
        <f t="shared" si="16"/>
        <v>TO</v>
      </c>
      <c r="C50" t="str">
        <f t="shared" si="17"/>
        <v>Ap</v>
      </c>
      <c r="D50" t="s">
        <v>7322</v>
      </c>
      <c r="E50" s="5">
        <v>2</v>
      </c>
      <c r="F50" t="s">
        <v>7664</v>
      </c>
      <c r="G50" s="306" t="s">
        <v>4028</v>
      </c>
      <c r="J50" t="s">
        <v>2841</v>
      </c>
      <c r="K50" t="s">
        <v>669</v>
      </c>
      <c r="L50" t="s">
        <v>1424</v>
      </c>
      <c r="M50" t="s">
        <v>7794</v>
      </c>
    </row>
    <row r="51" spans="1:15">
      <c r="A51">
        <v>50</v>
      </c>
      <c r="B51" t="s">
        <v>114</v>
      </c>
      <c r="C51" t="str">
        <f t="shared" si="17"/>
        <v>Ap</v>
      </c>
      <c r="D51" t="s">
        <v>7322</v>
      </c>
      <c r="E51" s="5">
        <v>2</v>
      </c>
      <c r="F51" t="s">
        <v>7664</v>
      </c>
      <c r="G51" s="306" t="s">
        <v>5824</v>
      </c>
      <c r="J51" t="s">
        <v>2841</v>
      </c>
      <c r="K51" t="s">
        <v>669</v>
      </c>
      <c r="L51" t="s">
        <v>1424</v>
      </c>
      <c r="M51" t="s">
        <v>7794</v>
      </c>
    </row>
    <row r="52" spans="1:15">
      <c r="A52">
        <v>51</v>
      </c>
      <c r="B52" t="str">
        <f t="shared" ref="B52" si="18">MID(F52,11,2)</f>
        <v>TO</v>
      </c>
      <c r="C52" t="str">
        <f t="shared" si="17"/>
        <v>Ap</v>
      </c>
      <c r="D52" t="s">
        <v>7322</v>
      </c>
      <c r="E52" s="5">
        <v>2</v>
      </c>
      <c r="F52" t="s">
        <v>7664</v>
      </c>
      <c r="G52" s="306" t="s">
        <v>7665</v>
      </c>
      <c r="J52" t="s">
        <v>2841</v>
      </c>
      <c r="K52" t="s">
        <v>669</v>
      </c>
      <c r="L52" t="s">
        <v>1424</v>
      </c>
      <c r="M52" t="s">
        <v>7794</v>
      </c>
    </row>
    <row r="53" spans="1:15">
      <c r="B53" t="str">
        <f t="shared" ref="B53:B60" si="19">MID(F53,11,2)</f>
        <v/>
      </c>
      <c r="C53" t="str">
        <f t="shared" ref="C53:C60" si="20">MID(F53,14,2)</f>
        <v/>
      </c>
      <c r="E53" s="5"/>
      <c r="L53"/>
      <c r="M53"/>
    </row>
    <row r="54" spans="1:15">
      <c r="B54" t="str">
        <f t="shared" si="19"/>
        <v/>
      </c>
      <c r="C54" t="str">
        <f t="shared" si="20"/>
        <v/>
      </c>
      <c r="E54" s="5"/>
      <c r="L54"/>
      <c r="M54"/>
    </row>
    <row r="55" spans="1:15" ht="36">
      <c r="B55" t="str">
        <f t="shared" si="19"/>
        <v/>
      </c>
      <c r="C55" t="str">
        <f t="shared" si="20"/>
        <v/>
      </c>
      <c r="E55" s="5"/>
      <c r="G55" s="306" t="s">
        <v>7633</v>
      </c>
      <c r="L55"/>
      <c r="M55"/>
    </row>
    <row r="56" spans="1:15" ht="27.6">
      <c r="B56" t="str">
        <f t="shared" si="19"/>
        <v/>
      </c>
      <c r="C56" t="str">
        <f t="shared" si="20"/>
        <v/>
      </c>
      <c r="E56" s="5"/>
      <c r="G56" s="481" t="s">
        <v>7645</v>
      </c>
      <c r="L56"/>
      <c r="M56"/>
      <c r="N56" s="483" t="s">
        <v>7634</v>
      </c>
      <c r="O56" s="397"/>
    </row>
    <row r="57" spans="1:15" ht="27.6">
      <c r="B57" t="str">
        <f t="shared" si="19"/>
        <v/>
      </c>
      <c r="C57" t="str">
        <f t="shared" si="20"/>
        <v/>
      </c>
      <c r="E57" s="5"/>
      <c r="G57" s="481" t="s">
        <v>7647</v>
      </c>
      <c r="L57"/>
      <c r="M57"/>
      <c r="N57" s="483" t="s">
        <v>7635</v>
      </c>
      <c r="O57" s="397"/>
    </row>
    <row r="58" spans="1:15">
      <c r="B58" t="str">
        <f t="shared" si="19"/>
        <v/>
      </c>
      <c r="C58" t="str">
        <f t="shared" si="20"/>
        <v/>
      </c>
      <c r="E58" s="5"/>
      <c r="G58" s="482" t="s">
        <v>7649</v>
      </c>
      <c r="L58"/>
      <c r="M58"/>
      <c r="N58" s="483" t="s">
        <v>7636</v>
      </c>
      <c r="O58" s="397"/>
    </row>
    <row r="59" spans="1:15">
      <c r="B59" t="str">
        <f t="shared" si="19"/>
        <v/>
      </c>
      <c r="C59" t="str">
        <f t="shared" si="20"/>
        <v/>
      </c>
      <c r="E59" s="5"/>
      <c r="G59" s="481" t="s">
        <v>7651</v>
      </c>
      <c r="L59"/>
      <c r="M59"/>
      <c r="N59" s="483" t="s">
        <v>7637</v>
      </c>
      <c r="O59" s="397"/>
    </row>
    <row r="60" spans="1:15" ht="30.6">
      <c r="B60" t="str">
        <f t="shared" si="19"/>
        <v/>
      </c>
      <c r="C60" t="str">
        <f t="shared" si="20"/>
        <v/>
      </c>
      <c r="E60" s="5"/>
      <c r="G60" s="483" t="s">
        <v>7652</v>
      </c>
      <c r="K60" t="s">
        <v>7663</v>
      </c>
      <c r="L60"/>
      <c r="M60"/>
    </row>
    <row r="61" spans="1:15">
      <c r="B61" t="str">
        <f t="shared" ref="B61:B65" si="21">MID(F61,11,2)</f>
        <v/>
      </c>
      <c r="C61" t="str">
        <f t="shared" ref="C61:C65" si="22">MID(F61,14,2)</f>
        <v/>
      </c>
      <c r="E61" s="5"/>
      <c r="L61"/>
      <c r="M61"/>
      <c r="N61" s="397"/>
    </row>
    <row r="62" spans="1:15">
      <c r="B62" t="str">
        <f t="shared" si="21"/>
        <v/>
      </c>
      <c r="C62" t="str">
        <f t="shared" si="22"/>
        <v/>
      </c>
      <c r="E62" s="5"/>
      <c r="L62"/>
      <c r="M62"/>
    </row>
    <row r="63" spans="1:15">
      <c r="B63" t="str">
        <f t="shared" si="21"/>
        <v/>
      </c>
      <c r="C63" t="str">
        <f t="shared" si="22"/>
        <v/>
      </c>
      <c r="E63" s="5"/>
      <c r="G63" s="306" t="s">
        <v>7648</v>
      </c>
      <c r="L63"/>
      <c r="M63"/>
    </row>
    <row r="64" spans="1:15">
      <c r="B64" t="str">
        <f t="shared" si="21"/>
        <v/>
      </c>
      <c r="C64" t="str">
        <f t="shared" si="22"/>
        <v/>
      </c>
      <c r="E64" s="5"/>
      <c r="G64" s="306" t="s">
        <v>7297</v>
      </c>
      <c r="L64"/>
      <c r="M64"/>
    </row>
    <row r="65" spans="2:16">
      <c r="B65" t="str">
        <f t="shared" si="21"/>
        <v/>
      </c>
      <c r="C65" t="str">
        <f t="shared" si="22"/>
        <v/>
      </c>
      <c r="E65" s="5"/>
      <c r="G65" s="306" t="s">
        <v>7650</v>
      </c>
      <c r="L65"/>
      <c r="M65"/>
    </row>
    <row r="66" spans="2:16">
      <c r="B66" t="str">
        <f>MID(F66,11,2)</f>
        <v/>
      </c>
      <c r="C66" t="str">
        <f>MID(F66,14,2)</f>
        <v/>
      </c>
      <c r="E66" s="5"/>
      <c r="G66" s="306" t="s">
        <v>7653</v>
      </c>
      <c r="L66"/>
      <c r="M66"/>
    </row>
    <row r="67" spans="2:16">
      <c r="B67" t="str">
        <f>MID(F67,11,2)</f>
        <v>TO</v>
      </c>
      <c r="C67" t="str">
        <f>MID(F67,14,2)</f>
        <v>KB</v>
      </c>
      <c r="E67" s="5"/>
      <c r="F67" s="483" t="s">
        <v>7445</v>
      </c>
      <c r="G67" s="483" t="s">
        <v>7640</v>
      </c>
      <c r="L67"/>
      <c r="M67"/>
      <c r="N67" s="397" t="s">
        <v>7638</v>
      </c>
    </row>
    <row r="68" spans="2:16">
      <c r="B68" t="str">
        <f>MID(F68,11,2)</f>
        <v>TO</v>
      </c>
      <c r="C68" t="str">
        <f>MID(F68,14,2)</f>
        <v>KB</v>
      </c>
      <c r="E68" s="5"/>
      <c r="F68" s="484" t="s">
        <v>7546</v>
      </c>
      <c r="G68" s="486" t="s">
        <v>7525</v>
      </c>
      <c r="L68"/>
      <c r="M68"/>
      <c r="N68" s="397" t="s">
        <v>7638</v>
      </c>
    </row>
    <row r="69" spans="2:16">
      <c r="B69" t="str">
        <f>MID(F69,11,2)</f>
        <v/>
      </c>
      <c r="C69" t="str">
        <f>MID(F69,14,2)</f>
        <v/>
      </c>
      <c r="E69" s="5"/>
      <c r="F69" s="485"/>
      <c r="L69"/>
      <c r="M69"/>
      <c r="N69" s="397"/>
    </row>
    <row r="70" spans="2:16">
      <c r="B70" t="str">
        <f>MID(F70,11,2)</f>
        <v/>
      </c>
      <c r="C70" t="str">
        <f>MID(F70,14,2)</f>
        <v/>
      </c>
      <c r="E70" s="5"/>
      <c r="L70"/>
      <c r="M70"/>
      <c r="N70" s="397"/>
    </row>
    <row r="71" spans="2:16">
      <c r="B71" t="str">
        <f t="shared" ref="B71:B133" si="23">MID(F71,11,2)</f>
        <v/>
      </c>
      <c r="C71" t="str">
        <f t="shared" ref="C71:C133" si="24">MID(F71,14,2)</f>
        <v/>
      </c>
      <c r="E71" s="5"/>
      <c r="L71"/>
      <c r="M71"/>
    </row>
    <row r="72" spans="2:16">
      <c r="B72" t="str">
        <f t="shared" si="23"/>
        <v/>
      </c>
      <c r="C72" t="str">
        <f t="shared" si="24"/>
        <v/>
      </c>
      <c r="E72" s="5"/>
      <c r="L72"/>
      <c r="M72"/>
    </row>
    <row r="73" spans="2:16" ht="36">
      <c r="B73" t="str">
        <f t="shared" si="23"/>
        <v>TO</v>
      </c>
      <c r="C73" t="str">
        <f t="shared" si="24"/>
        <v>Ed</v>
      </c>
      <c r="D73" t="s">
        <v>7322</v>
      </c>
      <c r="E73" s="5">
        <v>1</v>
      </c>
      <c r="F73" s="4" t="s">
        <v>7668</v>
      </c>
      <c r="G73" s="306" t="s">
        <v>7669</v>
      </c>
      <c r="J73" t="s">
        <v>1434</v>
      </c>
      <c r="K73" t="s">
        <v>669</v>
      </c>
      <c r="L73" t="s">
        <v>1424</v>
      </c>
      <c r="M73"/>
    </row>
    <row r="74" spans="2:16">
      <c r="B74" t="str">
        <f t="shared" si="23"/>
        <v/>
      </c>
      <c r="C74" t="str">
        <f t="shared" si="24"/>
        <v/>
      </c>
      <c r="E74" s="5"/>
      <c r="L74"/>
      <c r="M74"/>
    </row>
    <row r="75" spans="2:16">
      <c r="B75" t="str">
        <f t="shared" si="23"/>
        <v/>
      </c>
      <c r="C75" t="str">
        <f t="shared" si="24"/>
        <v/>
      </c>
      <c r="E75" s="5"/>
      <c r="L75"/>
      <c r="M75"/>
    </row>
    <row r="76" spans="2:16">
      <c r="B76" t="str">
        <f t="shared" si="23"/>
        <v/>
      </c>
      <c r="C76" t="str">
        <f t="shared" si="24"/>
        <v/>
      </c>
      <c r="E76" s="5"/>
      <c r="L76"/>
      <c r="M76"/>
    </row>
    <row r="77" spans="2:16">
      <c r="B77" t="str">
        <f t="shared" si="23"/>
        <v>TO</v>
      </c>
      <c r="C77" t="str">
        <f t="shared" si="24"/>
        <v>KB</v>
      </c>
      <c r="D77" t="s">
        <v>7322</v>
      </c>
      <c r="E77" s="5">
        <v>1</v>
      </c>
      <c r="F77" s="4" t="s">
        <v>7770</v>
      </c>
      <c r="G77" t="s">
        <v>7683</v>
      </c>
      <c r="H77" s="432" t="s">
        <v>7679</v>
      </c>
      <c r="I77" s="489">
        <v>46189</v>
      </c>
      <c r="J77" t="s">
        <v>1434</v>
      </c>
      <c r="K77" t="s">
        <v>7774</v>
      </c>
      <c r="L77" t="s">
        <v>669</v>
      </c>
      <c r="M77" t="s">
        <v>7782</v>
      </c>
      <c r="P77" t="s">
        <v>7690</v>
      </c>
    </row>
    <row r="78" spans="2:16">
      <c r="B78" t="str">
        <f t="shared" ref="B78:B81" si="25">MID(F78,11,2)</f>
        <v>TO</v>
      </c>
      <c r="C78" t="str">
        <f t="shared" ref="C78:C81" si="26">MID(F78,14,2)</f>
        <v>KB</v>
      </c>
      <c r="D78" t="s">
        <v>7322</v>
      </c>
      <c r="E78" s="5">
        <v>1</v>
      </c>
      <c r="F78" s="4" t="s">
        <v>7769</v>
      </c>
      <c r="G78" t="s">
        <v>7684</v>
      </c>
      <c r="H78" s="432" t="s">
        <v>7680</v>
      </c>
      <c r="I78" s="489">
        <v>46153</v>
      </c>
      <c r="J78" t="s">
        <v>1434</v>
      </c>
      <c r="K78" t="s">
        <v>7774</v>
      </c>
      <c r="L78" t="s">
        <v>669</v>
      </c>
      <c r="M78" t="s">
        <v>7782</v>
      </c>
      <c r="P78" t="s">
        <v>7691</v>
      </c>
    </row>
    <row r="79" spans="2:16">
      <c r="B79" t="str">
        <f t="shared" si="25"/>
        <v>TO</v>
      </c>
      <c r="C79" t="str">
        <f t="shared" si="26"/>
        <v>KB</v>
      </c>
      <c r="D79" t="s">
        <v>7322</v>
      </c>
      <c r="E79" s="5">
        <v>1</v>
      </c>
      <c r="F79" s="4" t="s">
        <v>7769</v>
      </c>
      <c r="G79" t="s">
        <v>7278</v>
      </c>
      <c r="H79" s="432" t="s">
        <v>7681</v>
      </c>
      <c r="I79" s="489">
        <v>46129</v>
      </c>
      <c r="J79" t="s">
        <v>1434</v>
      </c>
      <c r="K79" t="s">
        <v>7774</v>
      </c>
      <c r="L79" t="s">
        <v>669</v>
      </c>
      <c r="M79" t="s">
        <v>7782</v>
      </c>
      <c r="P79" t="s">
        <v>7692</v>
      </c>
    </row>
    <row r="80" spans="2:16">
      <c r="B80" t="str">
        <f t="shared" si="25"/>
        <v>TO</v>
      </c>
      <c r="C80" t="str">
        <f t="shared" si="26"/>
        <v>KB</v>
      </c>
      <c r="D80" t="s">
        <v>7322</v>
      </c>
      <c r="E80" s="5">
        <v>1</v>
      </c>
      <c r="F80" s="4" t="s">
        <v>7769</v>
      </c>
      <c r="G80" t="s">
        <v>7685</v>
      </c>
      <c r="H80" s="432" t="s">
        <v>7511</v>
      </c>
      <c r="I80" s="489">
        <v>46122</v>
      </c>
      <c r="J80" t="s">
        <v>1434</v>
      </c>
      <c r="K80" t="s">
        <v>7774</v>
      </c>
      <c r="L80" t="s">
        <v>669</v>
      </c>
      <c r="M80" t="s">
        <v>7782</v>
      </c>
      <c r="P80" t="s">
        <v>7693</v>
      </c>
    </row>
    <row r="81" spans="2:16">
      <c r="B81" t="str">
        <f t="shared" si="25"/>
        <v>TO</v>
      </c>
      <c r="C81" t="str">
        <f t="shared" si="26"/>
        <v>KB</v>
      </c>
      <c r="D81" t="s">
        <v>7322</v>
      </c>
      <c r="E81" s="5">
        <v>1</v>
      </c>
      <c r="F81" s="4" t="s">
        <v>7769</v>
      </c>
      <c r="G81" t="s">
        <v>7686</v>
      </c>
      <c r="H81" s="432" t="s">
        <v>7682</v>
      </c>
      <c r="I81" s="489">
        <v>46122</v>
      </c>
      <c r="J81" t="s">
        <v>1434</v>
      </c>
      <c r="K81" t="s">
        <v>7774</v>
      </c>
      <c r="L81" t="s">
        <v>669</v>
      </c>
      <c r="M81" t="s">
        <v>7782</v>
      </c>
      <c r="P81" t="s">
        <v>7694</v>
      </c>
    </row>
    <row r="82" spans="2:16">
      <c r="B82" t="str">
        <f t="shared" si="23"/>
        <v>TO</v>
      </c>
      <c r="C82" t="str">
        <f t="shared" si="24"/>
        <v>KB</v>
      </c>
      <c r="D82" t="s">
        <v>7322</v>
      </c>
      <c r="E82" s="5">
        <v>2</v>
      </c>
      <c r="F82" s="4" t="s">
        <v>7771</v>
      </c>
      <c r="G82" t="s">
        <v>7702</v>
      </c>
      <c r="H82" s="432" t="s">
        <v>7707</v>
      </c>
      <c r="I82" s="489">
        <v>46184</v>
      </c>
      <c r="J82" t="s">
        <v>1434</v>
      </c>
      <c r="K82" t="s">
        <v>7774</v>
      </c>
      <c r="L82" t="s">
        <v>669</v>
      </c>
      <c r="M82" t="s">
        <v>7782</v>
      </c>
      <c r="P82" t="s">
        <v>7694</v>
      </c>
    </row>
    <row r="83" spans="2:16">
      <c r="B83" t="str">
        <f t="shared" ref="B83:B86" si="27">MID(F83,11,2)</f>
        <v>TO</v>
      </c>
      <c r="C83" t="str">
        <f t="shared" ref="C83:C86" si="28">MID(F83,14,2)</f>
        <v>KB</v>
      </c>
      <c r="D83" t="s">
        <v>7322</v>
      </c>
      <c r="E83" s="5">
        <v>2</v>
      </c>
      <c r="F83" s="4" t="s">
        <v>7701</v>
      </c>
      <c r="G83" t="s">
        <v>7703</v>
      </c>
      <c r="H83" s="432" t="s">
        <v>7708</v>
      </c>
      <c r="I83" s="489">
        <v>46179</v>
      </c>
      <c r="J83" t="s">
        <v>1434</v>
      </c>
      <c r="K83" t="s">
        <v>7774</v>
      </c>
      <c r="L83" t="s">
        <v>669</v>
      </c>
      <c r="M83" t="s">
        <v>7782</v>
      </c>
      <c r="P83" t="s">
        <v>7694</v>
      </c>
    </row>
    <row r="84" spans="2:16">
      <c r="B84" t="str">
        <f t="shared" si="27"/>
        <v>TO</v>
      </c>
      <c r="C84" t="str">
        <f t="shared" si="28"/>
        <v>KB</v>
      </c>
      <c r="D84" t="s">
        <v>7322</v>
      </c>
      <c r="E84" s="5">
        <v>2</v>
      </c>
      <c r="F84" s="4" t="s">
        <v>7798</v>
      </c>
      <c r="G84" t="s">
        <v>7704</v>
      </c>
      <c r="H84" s="432" t="s">
        <v>7709</v>
      </c>
      <c r="I84" s="489">
        <v>46179</v>
      </c>
      <c r="J84" t="s">
        <v>1434</v>
      </c>
      <c r="K84" t="s">
        <v>7774</v>
      </c>
      <c r="L84" t="s">
        <v>669</v>
      </c>
      <c r="M84" t="s">
        <v>7782</v>
      </c>
      <c r="P84" t="s">
        <v>7694</v>
      </c>
    </row>
    <row r="85" spans="2:16">
      <c r="B85" t="str">
        <f t="shared" si="27"/>
        <v>TO</v>
      </c>
      <c r="C85" t="str">
        <f t="shared" si="28"/>
        <v>KB</v>
      </c>
      <c r="D85" t="s">
        <v>7322</v>
      </c>
      <c r="E85" s="5">
        <v>2</v>
      </c>
      <c r="F85" s="4" t="s">
        <v>7701</v>
      </c>
      <c r="G85" t="s">
        <v>7705</v>
      </c>
      <c r="H85" s="432" t="s">
        <v>7710</v>
      </c>
      <c r="I85" s="489">
        <v>46178</v>
      </c>
      <c r="J85" t="s">
        <v>1434</v>
      </c>
      <c r="K85" t="s">
        <v>7774</v>
      </c>
      <c r="L85" t="s">
        <v>669</v>
      </c>
      <c r="M85" t="s">
        <v>7782</v>
      </c>
      <c r="P85" t="s">
        <v>7694</v>
      </c>
    </row>
    <row r="86" spans="2:16">
      <c r="B86" t="str">
        <f t="shared" si="27"/>
        <v>TO</v>
      </c>
      <c r="C86" t="str">
        <f t="shared" si="28"/>
        <v>KB</v>
      </c>
      <c r="D86" t="s">
        <v>7322</v>
      </c>
      <c r="E86" s="5">
        <v>2</v>
      </c>
      <c r="F86" s="4" t="s">
        <v>7701</v>
      </c>
      <c r="G86" t="s">
        <v>7706</v>
      </c>
      <c r="H86" s="432" t="s">
        <v>7711</v>
      </c>
      <c r="I86" s="489">
        <v>46171</v>
      </c>
      <c r="J86" t="s">
        <v>1434</v>
      </c>
      <c r="K86" t="s">
        <v>7774</v>
      </c>
      <c r="L86" t="s">
        <v>669</v>
      </c>
      <c r="M86" t="s">
        <v>7782</v>
      </c>
      <c r="P86" t="s">
        <v>7694</v>
      </c>
    </row>
    <row r="87" spans="2:16">
      <c r="B87" t="str">
        <f t="shared" si="23"/>
        <v>TO</v>
      </c>
      <c r="C87" t="str">
        <f t="shared" si="24"/>
        <v>KB</v>
      </c>
      <c r="D87" t="s">
        <v>7322</v>
      </c>
      <c r="E87" s="5">
        <v>2</v>
      </c>
      <c r="F87" s="4" t="s">
        <v>7737</v>
      </c>
      <c r="G87" t="s">
        <v>7716</v>
      </c>
      <c r="H87" s="432" t="s">
        <v>7721</v>
      </c>
      <c r="I87" s="489">
        <v>46171</v>
      </c>
      <c r="J87" t="s">
        <v>1434</v>
      </c>
      <c r="K87" t="s">
        <v>7774</v>
      </c>
      <c r="L87" t="s">
        <v>669</v>
      </c>
      <c r="M87" t="s">
        <v>7494</v>
      </c>
      <c r="P87" t="s">
        <v>7694</v>
      </c>
    </row>
    <row r="88" spans="2:16">
      <c r="B88" t="str">
        <f t="shared" si="23"/>
        <v>TO</v>
      </c>
      <c r="C88" t="str">
        <f t="shared" si="24"/>
        <v>KB</v>
      </c>
      <c r="D88" t="s">
        <v>7322</v>
      </c>
      <c r="E88" s="5">
        <v>2</v>
      </c>
      <c r="F88" s="4" t="s">
        <v>7712</v>
      </c>
      <c r="G88" t="s">
        <v>7717</v>
      </c>
      <c r="H88" s="432" t="s">
        <v>7722</v>
      </c>
      <c r="I88" s="489">
        <v>46171</v>
      </c>
      <c r="J88" t="s">
        <v>1434</v>
      </c>
      <c r="K88" t="s">
        <v>7774</v>
      </c>
      <c r="L88" t="s">
        <v>669</v>
      </c>
      <c r="M88" t="s">
        <v>7494</v>
      </c>
      <c r="P88" t="s">
        <v>7694</v>
      </c>
    </row>
    <row r="89" spans="2:16">
      <c r="B89" t="str">
        <f t="shared" si="23"/>
        <v>TO</v>
      </c>
      <c r="C89" t="str">
        <f t="shared" si="24"/>
        <v>KB</v>
      </c>
      <c r="D89" t="s">
        <v>7322</v>
      </c>
      <c r="E89" s="5">
        <v>2</v>
      </c>
      <c r="F89" s="4" t="s">
        <v>7737</v>
      </c>
      <c r="G89" t="s">
        <v>7718</v>
      </c>
      <c r="H89" s="432" t="s">
        <v>7723</v>
      </c>
      <c r="I89" s="489">
        <v>46171</v>
      </c>
      <c r="J89" t="s">
        <v>1434</v>
      </c>
      <c r="K89" t="s">
        <v>7774</v>
      </c>
      <c r="L89" t="s">
        <v>669</v>
      </c>
      <c r="M89" t="s">
        <v>7494</v>
      </c>
      <c r="P89" t="s">
        <v>7694</v>
      </c>
    </row>
    <row r="90" spans="2:16">
      <c r="B90" t="str">
        <f t="shared" si="23"/>
        <v>TO</v>
      </c>
      <c r="C90" t="str">
        <f t="shared" si="24"/>
        <v>KB</v>
      </c>
      <c r="D90" t="s">
        <v>7322</v>
      </c>
      <c r="E90" s="5">
        <v>2</v>
      </c>
      <c r="F90" s="4" t="s">
        <v>7777</v>
      </c>
      <c r="G90" t="s">
        <v>7719</v>
      </c>
      <c r="H90" s="432" t="s">
        <v>7724</v>
      </c>
      <c r="I90" s="489">
        <v>46169</v>
      </c>
      <c r="J90" t="s">
        <v>1434</v>
      </c>
      <c r="K90" t="s">
        <v>7774</v>
      </c>
      <c r="L90" t="s">
        <v>669</v>
      </c>
      <c r="M90" t="s">
        <v>7494</v>
      </c>
      <c r="P90" t="s">
        <v>7694</v>
      </c>
    </row>
    <row r="91" spans="2:16">
      <c r="B91" t="str">
        <f t="shared" si="23"/>
        <v>TO</v>
      </c>
      <c r="C91" t="str">
        <f t="shared" si="24"/>
        <v>KB</v>
      </c>
      <c r="D91" t="s">
        <v>7322</v>
      </c>
      <c r="E91" s="5">
        <v>2</v>
      </c>
      <c r="F91" s="4" t="s">
        <v>7772</v>
      </c>
      <c r="G91" t="s">
        <v>7720</v>
      </c>
      <c r="H91" s="432" t="s">
        <v>7725</v>
      </c>
      <c r="I91" s="489">
        <v>46169</v>
      </c>
      <c r="J91" t="s">
        <v>1434</v>
      </c>
      <c r="K91" t="s">
        <v>7774</v>
      </c>
      <c r="L91" t="s">
        <v>669</v>
      </c>
      <c r="M91" t="s">
        <v>7494</v>
      </c>
      <c r="P91" t="s">
        <v>7694</v>
      </c>
    </row>
    <row r="92" spans="2:16">
      <c r="B92" t="str">
        <f t="shared" si="23"/>
        <v>TO</v>
      </c>
      <c r="C92" t="str">
        <f t="shared" si="24"/>
        <v>KB</v>
      </c>
      <c r="D92" t="s">
        <v>7322</v>
      </c>
      <c r="E92" s="5">
        <v>2</v>
      </c>
      <c r="F92" s="4" t="s">
        <v>7713</v>
      </c>
      <c r="G92" t="s">
        <v>7726</v>
      </c>
      <c r="H92" s="432" t="s">
        <v>7731</v>
      </c>
      <c r="I92" s="489">
        <v>46160</v>
      </c>
      <c r="J92" t="s">
        <v>1434</v>
      </c>
      <c r="K92" t="s">
        <v>7774</v>
      </c>
      <c r="L92" t="s">
        <v>669</v>
      </c>
      <c r="M92" t="s">
        <v>7494</v>
      </c>
      <c r="P92" t="s">
        <v>7694</v>
      </c>
    </row>
    <row r="93" spans="2:16">
      <c r="B93" t="str">
        <f t="shared" ref="B93:B96" si="29">MID(F93,11,2)</f>
        <v>TO</v>
      </c>
      <c r="C93" t="str">
        <f t="shared" ref="C93:C96" si="30">MID(F93,14,2)</f>
        <v>KB</v>
      </c>
      <c r="D93" t="s">
        <v>7322</v>
      </c>
      <c r="E93" s="5">
        <v>2</v>
      </c>
      <c r="F93" s="4" t="s">
        <v>7713</v>
      </c>
      <c r="G93" t="s">
        <v>7727</v>
      </c>
      <c r="H93" s="432" t="s">
        <v>7732</v>
      </c>
      <c r="I93" s="489">
        <v>46153</v>
      </c>
      <c r="J93" t="s">
        <v>1434</v>
      </c>
      <c r="K93" t="s">
        <v>7774</v>
      </c>
      <c r="L93" t="s">
        <v>669</v>
      </c>
      <c r="M93" t="s">
        <v>7494</v>
      </c>
      <c r="P93" t="s">
        <v>7694</v>
      </c>
    </row>
    <row r="94" spans="2:16">
      <c r="B94" t="str">
        <f t="shared" si="29"/>
        <v>TO</v>
      </c>
      <c r="C94" t="str">
        <f t="shared" si="30"/>
        <v>KB</v>
      </c>
      <c r="D94" t="s">
        <v>7322</v>
      </c>
      <c r="E94" s="5">
        <v>2</v>
      </c>
      <c r="F94" s="4" t="s">
        <v>7713</v>
      </c>
      <c r="G94" t="s">
        <v>7728</v>
      </c>
      <c r="H94" s="432" t="s">
        <v>7733</v>
      </c>
      <c r="I94" s="489">
        <v>46146</v>
      </c>
      <c r="J94" t="s">
        <v>1434</v>
      </c>
      <c r="K94" t="s">
        <v>7774</v>
      </c>
      <c r="L94" t="s">
        <v>669</v>
      </c>
      <c r="M94" t="s">
        <v>7494</v>
      </c>
      <c r="P94" t="s">
        <v>7694</v>
      </c>
    </row>
    <row r="95" spans="2:16">
      <c r="B95" t="str">
        <f t="shared" si="29"/>
        <v>TO</v>
      </c>
      <c r="C95" t="str">
        <f t="shared" si="30"/>
        <v>KB</v>
      </c>
      <c r="D95" t="s">
        <v>7322</v>
      </c>
      <c r="E95" s="5">
        <v>2</v>
      </c>
      <c r="F95" s="4" t="s">
        <v>7713</v>
      </c>
      <c r="G95" t="s">
        <v>7729</v>
      </c>
      <c r="H95" s="432" t="s">
        <v>7734</v>
      </c>
      <c r="I95" s="489">
        <v>46146</v>
      </c>
      <c r="J95" t="s">
        <v>1434</v>
      </c>
      <c r="K95" t="s">
        <v>7774</v>
      </c>
      <c r="L95" t="s">
        <v>669</v>
      </c>
      <c r="M95" t="s">
        <v>7494</v>
      </c>
      <c r="P95" t="s">
        <v>7694</v>
      </c>
    </row>
    <row r="96" spans="2:16">
      <c r="B96" t="str">
        <f t="shared" si="29"/>
        <v>TO</v>
      </c>
      <c r="C96" t="str">
        <f t="shared" si="30"/>
        <v>KB</v>
      </c>
      <c r="D96" t="s">
        <v>7322</v>
      </c>
      <c r="E96" s="5">
        <v>2</v>
      </c>
      <c r="F96" s="4" t="s">
        <v>7713</v>
      </c>
      <c r="G96" t="s">
        <v>7730</v>
      </c>
      <c r="H96" s="432" t="s">
        <v>7735</v>
      </c>
      <c r="I96" s="489">
        <v>46140</v>
      </c>
      <c r="J96" t="s">
        <v>1434</v>
      </c>
      <c r="K96" t="s">
        <v>7774</v>
      </c>
      <c r="L96" t="s">
        <v>669</v>
      </c>
      <c r="M96" t="s">
        <v>7494</v>
      </c>
      <c r="P96" t="s">
        <v>7694</v>
      </c>
    </row>
    <row r="97" spans="2:16">
      <c r="B97" t="str">
        <f t="shared" ref="B97:B101" si="31">MID(F97,11,2)</f>
        <v>TO</v>
      </c>
      <c r="C97" t="str">
        <f t="shared" ref="C97:C101" si="32">MID(F97,14,2)</f>
        <v>KB</v>
      </c>
      <c r="D97" t="s">
        <v>7322</v>
      </c>
      <c r="E97" s="5">
        <v>2</v>
      </c>
      <c r="F97" s="4" t="s">
        <v>7773</v>
      </c>
      <c r="G97" s="306" t="s">
        <v>7738</v>
      </c>
      <c r="H97" s="432" t="s">
        <v>7741</v>
      </c>
      <c r="I97" s="489">
        <v>46136</v>
      </c>
      <c r="J97" t="s">
        <v>1434</v>
      </c>
      <c r="K97" t="s">
        <v>7774</v>
      </c>
      <c r="L97" t="s">
        <v>669</v>
      </c>
      <c r="M97" t="s">
        <v>7494</v>
      </c>
      <c r="P97" t="s">
        <v>7694</v>
      </c>
    </row>
    <row r="98" spans="2:16">
      <c r="B98" t="str">
        <f t="shared" si="31"/>
        <v>TO</v>
      </c>
      <c r="C98" t="str">
        <f t="shared" si="32"/>
        <v>KB</v>
      </c>
      <c r="D98" t="s">
        <v>7322</v>
      </c>
      <c r="E98" s="5">
        <v>2</v>
      </c>
      <c r="F98" s="4" t="s">
        <v>7714</v>
      </c>
      <c r="G98" s="306" t="s">
        <v>7797</v>
      </c>
      <c r="H98" s="432" t="s">
        <v>7742</v>
      </c>
      <c r="I98" s="489">
        <v>46130</v>
      </c>
      <c r="J98" t="s">
        <v>1434</v>
      </c>
      <c r="K98" t="s">
        <v>7774</v>
      </c>
      <c r="L98" t="s">
        <v>669</v>
      </c>
      <c r="M98" t="s">
        <v>7494</v>
      </c>
      <c r="P98" t="s">
        <v>7694</v>
      </c>
    </row>
    <row r="99" spans="2:16">
      <c r="B99" t="str">
        <f t="shared" si="31"/>
        <v>TO</v>
      </c>
      <c r="C99" t="str">
        <f t="shared" si="32"/>
        <v>KB</v>
      </c>
      <c r="D99" t="s">
        <v>7322</v>
      </c>
      <c r="E99" s="5">
        <v>2</v>
      </c>
      <c r="F99" s="4" t="s">
        <v>7714</v>
      </c>
      <c r="G99" s="306" t="s">
        <v>7739</v>
      </c>
      <c r="H99" s="432" t="s">
        <v>7743</v>
      </c>
      <c r="I99" s="489">
        <v>46130</v>
      </c>
      <c r="J99" t="s">
        <v>1434</v>
      </c>
      <c r="K99" t="s">
        <v>7774</v>
      </c>
      <c r="L99" t="s">
        <v>669</v>
      </c>
      <c r="M99" t="s">
        <v>7494</v>
      </c>
      <c r="P99" t="s">
        <v>7694</v>
      </c>
    </row>
    <row r="100" spans="2:16">
      <c r="B100" t="str">
        <f t="shared" si="31"/>
        <v>TO</v>
      </c>
      <c r="C100" t="str">
        <f t="shared" si="32"/>
        <v>KB</v>
      </c>
      <c r="D100" t="s">
        <v>7322</v>
      </c>
      <c r="E100" s="5">
        <v>2</v>
      </c>
      <c r="F100" s="4" t="s">
        <v>7714</v>
      </c>
      <c r="G100" s="306" t="s">
        <v>7740</v>
      </c>
      <c r="H100" s="432" t="s">
        <v>7744</v>
      </c>
      <c r="I100" s="489">
        <v>46130</v>
      </c>
      <c r="J100" t="s">
        <v>1434</v>
      </c>
      <c r="K100" t="s">
        <v>7774</v>
      </c>
      <c r="L100" t="s">
        <v>669</v>
      </c>
      <c r="M100" t="s">
        <v>7494</v>
      </c>
      <c r="P100" t="s">
        <v>7694</v>
      </c>
    </row>
    <row r="101" spans="2:16">
      <c r="B101" t="str">
        <f t="shared" si="31"/>
        <v>TO</v>
      </c>
      <c r="C101" t="str">
        <f t="shared" si="32"/>
        <v>KB</v>
      </c>
      <c r="D101" t="s">
        <v>7322</v>
      </c>
      <c r="E101" s="5">
        <v>2</v>
      </c>
      <c r="F101" s="4" t="s">
        <v>7714</v>
      </c>
      <c r="G101" s="306" t="s">
        <v>2636</v>
      </c>
      <c r="H101" s="432" t="s">
        <v>7745</v>
      </c>
      <c r="I101" s="489">
        <v>46129</v>
      </c>
      <c r="J101" t="s">
        <v>1434</v>
      </c>
      <c r="K101" t="s">
        <v>7774</v>
      </c>
      <c r="L101" t="s">
        <v>669</v>
      </c>
      <c r="M101" t="s">
        <v>7494</v>
      </c>
      <c r="P101" t="s">
        <v>7694</v>
      </c>
    </row>
    <row r="102" spans="2:16">
      <c r="B102" t="str">
        <f t="shared" si="23"/>
        <v>TO</v>
      </c>
      <c r="C102" t="str">
        <f t="shared" si="24"/>
        <v>KB</v>
      </c>
      <c r="D102" t="s">
        <v>7322</v>
      </c>
      <c r="E102" s="5">
        <v>2</v>
      </c>
      <c r="F102" s="4" t="s">
        <v>7714</v>
      </c>
      <c r="G102" t="s">
        <v>7746</v>
      </c>
      <c r="H102" s="432" t="s">
        <v>7750</v>
      </c>
      <c r="I102" s="489">
        <v>46129</v>
      </c>
      <c r="J102" t="s">
        <v>1434</v>
      </c>
      <c r="K102" t="s">
        <v>7774</v>
      </c>
      <c r="L102" t="s">
        <v>669</v>
      </c>
      <c r="M102" t="s">
        <v>7494</v>
      </c>
      <c r="P102" t="s">
        <v>7694</v>
      </c>
    </row>
    <row r="103" spans="2:16">
      <c r="B103" t="str">
        <f t="shared" si="23"/>
        <v>TO</v>
      </c>
      <c r="C103" t="str">
        <f t="shared" si="24"/>
        <v>KB</v>
      </c>
      <c r="D103" t="s">
        <v>7322</v>
      </c>
      <c r="E103" s="5">
        <v>2</v>
      </c>
      <c r="F103" s="4" t="s">
        <v>7795</v>
      </c>
      <c r="G103" t="s">
        <v>7747</v>
      </c>
      <c r="H103" s="432" t="s">
        <v>7751</v>
      </c>
      <c r="I103" s="489">
        <v>46127</v>
      </c>
      <c r="J103" t="s">
        <v>1434</v>
      </c>
      <c r="K103" t="s">
        <v>7774</v>
      </c>
      <c r="L103" t="s">
        <v>669</v>
      </c>
      <c r="M103" t="s">
        <v>7494</v>
      </c>
      <c r="P103" t="s">
        <v>7694</v>
      </c>
    </row>
    <row r="104" spans="2:16">
      <c r="B104" t="str">
        <f t="shared" si="23"/>
        <v>TO</v>
      </c>
      <c r="C104" t="str">
        <f t="shared" si="24"/>
        <v>KB</v>
      </c>
      <c r="D104" t="s">
        <v>7322</v>
      </c>
      <c r="E104" s="5">
        <v>2</v>
      </c>
      <c r="F104" s="4" t="s">
        <v>7715</v>
      </c>
      <c r="G104" t="s">
        <v>7748</v>
      </c>
      <c r="H104" s="432" t="s">
        <v>7752</v>
      </c>
      <c r="I104" s="489">
        <v>46122</v>
      </c>
      <c r="J104" t="s">
        <v>1434</v>
      </c>
      <c r="K104" t="s">
        <v>7774</v>
      </c>
      <c r="L104" t="s">
        <v>669</v>
      </c>
      <c r="M104" t="s">
        <v>7494</v>
      </c>
      <c r="P104" t="s">
        <v>7694</v>
      </c>
    </row>
    <row r="105" spans="2:16">
      <c r="B105" t="str">
        <f t="shared" si="23"/>
        <v>TO</v>
      </c>
      <c r="C105" t="str">
        <f t="shared" si="24"/>
        <v>KB</v>
      </c>
      <c r="D105" t="s">
        <v>7322</v>
      </c>
      <c r="E105" s="5">
        <v>2</v>
      </c>
      <c r="F105" s="4" t="s">
        <v>7715</v>
      </c>
      <c r="G105" t="s">
        <v>7279</v>
      </c>
      <c r="H105" s="432" t="s">
        <v>7753</v>
      </c>
      <c r="I105" s="489">
        <v>46122</v>
      </c>
      <c r="J105" t="s">
        <v>1434</v>
      </c>
      <c r="K105" t="s">
        <v>7774</v>
      </c>
      <c r="L105" t="s">
        <v>669</v>
      </c>
      <c r="M105" t="s">
        <v>7494</v>
      </c>
      <c r="P105" t="s">
        <v>7694</v>
      </c>
    </row>
    <row r="106" spans="2:16">
      <c r="B106" t="str">
        <f t="shared" si="23"/>
        <v>TO</v>
      </c>
      <c r="C106" t="str">
        <f t="shared" si="24"/>
        <v>KB</v>
      </c>
      <c r="D106" t="s">
        <v>7322</v>
      </c>
      <c r="E106" s="5">
        <v>2</v>
      </c>
      <c r="F106" s="4" t="s">
        <v>7715</v>
      </c>
      <c r="G106" t="s">
        <v>7749</v>
      </c>
      <c r="H106" s="432" t="s">
        <v>7600</v>
      </c>
      <c r="I106" s="489">
        <v>46122</v>
      </c>
      <c r="J106" t="s">
        <v>1434</v>
      </c>
      <c r="K106" t="s">
        <v>7774</v>
      </c>
      <c r="L106" t="s">
        <v>669</v>
      </c>
      <c r="M106" t="s">
        <v>7494</v>
      </c>
      <c r="P106" t="s">
        <v>7694</v>
      </c>
    </row>
    <row r="107" spans="2:16">
      <c r="B107" t="str">
        <f t="shared" ref="B107:B114" si="33">MID(F107,11,2)</f>
        <v>TO</v>
      </c>
      <c r="C107" t="str">
        <f t="shared" ref="C107:C114" si="34">MID(F107,14,2)</f>
        <v>KB</v>
      </c>
      <c r="D107" t="s">
        <v>7322</v>
      </c>
      <c r="E107" s="5">
        <v>2</v>
      </c>
      <c r="F107" s="4" t="s">
        <v>7715</v>
      </c>
      <c r="G107" s="306" t="s">
        <v>7182</v>
      </c>
      <c r="H107" s="432" t="s">
        <v>7761</v>
      </c>
      <c r="I107" s="489">
        <v>46122</v>
      </c>
      <c r="J107" t="s">
        <v>1434</v>
      </c>
      <c r="K107" t="s">
        <v>7774</v>
      </c>
      <c r="L107" t="s">
        <v>669</v>
      </c>
      <c r="M107" t="s">
        <v>7494</v>
      </c>
      <c r="P107" t="s">
        <v>7694</v>
      </c>
    </row>
    <row r="108" spans="2:16">
      <c r="B108" t="str">
        <f t="shared" si="33"/>
        <v>TO</v>
      </c>
      <c r="C108" t="str">
        <f t="shared" si="34"/>
        <v>KB</v>
      </c>
      <c r="D108" t="s">
        <v>7322</v>
      </c>
      <c r="E108" s="5">
        <v>2</v>
      </c>
      <c r="F108" s="4" t="s">
        <v>7715</v>
      </c>
      <c r="G108" s="306" t="s">
        <v>7754</v>
      </c>
      <c r="H108" s="432" t="s">
        <v>7762</v>
      </c>
      <c r="I108" s="489">
        <v>46122</v>
      </c>
      <c r="J108" t="s">
        <v>1434</v>
      </c>
      <c r="K108" t="s">
        <v>7774</v>
      </c>
      <c r="L108" t="s">
        <v>669</v>
      </c>
      <c r="M108" t="s">
        <v>7494</v>
      </c>
      <c r="P108" t="s">
        <v>7694</v>
      </c>
    </row>
    <row r="109" spans="2:16">
      <c r="B109" t="str">
        <f t="shared" si="33"/>
        <v>TO</v>
      </c>
      <c r="C109" t="str">
        <f t="shared" si="34"/>
        <v>KB</v>
      </c>
      <c r="D109" t="s">
        <v>7322</v>
      </c>
      <c r="E109" s="5">
        <v>2</v>
      </c>
      <c r="F109" s="4" t="s">
        <v>7736</v>
      </c>
      <c r="G109" s="306" t="s">
        <v>7755</v>
      </c>
      <c r="H109" s="432" t="s">
        <v>7763</v>
      </c>
      <c r="I109" s="489">
        <v>46119</v>
      </c>
      <c r="J109" t="s">
        <v>1434</v>
      </c>
      <c r="K109" t="s">
        <v>7774</v>
      </c>
      <c r="L109" t="s">
        <v>669</v>
      </c>
      <c r="M109" t="s">
        <v>7494</v>
      </c>
      <c r="P109" t="s">
        <v>7694</v>
      </c>
    </row>
    <row r="110" spans="2:16">
      <c r="B110" t="str">
        <f t="shared" si="33"/>
        <v>TO</v>
      </c>
      <c r="C110" t="str">
        <f t="shared" si="34"/>
        <v>KB</v>
      </c>
      <c r="D110" t="s">
        <v>7322</v>
      </c>
      <c r="E110" s="5">
        <v>2</v>
      </c>
      <c r="F110" s="4" t="s">
        <v>7736</v>
      </c>
      <c r="G110" s="306" t="s">
        <v>7756</v>
      </c>
      <c r="H110" s="432" t="s">
        <v>7764</v>
      </c>
      <c r="I110" s="489">
        <v>46111</v>
      </c>
      <c r="J110" t="s">
        <v>1434</v>
      </c>
      <c r="K110" t="s">
        <v>7774</v>
      </c>
      <c r="L110" t="s">
        <v>669</v>
      </c>
      <c r="M110" t="s">
        <v>7494</v>
      </c>
      <c r="P110" t="s">
        <v>7694</v>
      </c>
    </row>
    <row r="111" spans="2:16">
      <c r="B111" t="str">
        <f t="shared" si="33"/>
        <v>TO</v>
      </c>
      <c r="C111" t="str">
        <f t="shared" si="34"/>
        <v>KB</v>
      </c>
      <c r="D111" t="s">
        <v>7322</v>
      </c>
      <c r="E111" s="5">
        <v>2</v>
      </c>
      <c r="F111" s="4" t="s">
        <v>7736</v>
      </c>
      <c r="G111" s="306" t="s">
        <v>7757</v>
      </c>
      <c r="H111" s="432" t="s">
        <v>7765</v>
      </c>
      <c r="I111" s="489">
        <v>46105</v>
      </c>
      <c r="J111" t="s">
        <v>1434</v>
      </c>
      <c r="K111" t="s">
        <v>7774</v>
      </c>
      <c r="L111" t="s">
        <v>669</v>
      </c>
      <c r="M111" t="s">
        <v>7494</v>
      </c>
      <c r="P111" t="s">
        <v>7694</v>
      </c>
    </row>
    <row r="112" spans="2:16">
      <c r="B112" t="str">
        <f t="shared" si="33"/>
        <v>TO</v>
      </c>
      <c r="C112" t="str">
        <f t="shared" si="34"/>
        <v>KB</v>
      </c>
      <c r="D112" t="s">
        <v>7322</v>
      </c>
      <c r="E112" s="5">
        <v>2</v>
      </c>
      <c r="F112" s="4" t="s">
        <v>7736</v>
      </c>
      <c r="G112" s="306" t="s">
        <v>7758</v>
      </c>
      <c r="H112" s="432" t="s">
        <v>7766</v>
      </c>
      <c r="I112" s="489">
        <v>46100</v>
      </c>
      <c r="J112" t="s">
        <v>1434</v>
      </c>
      <c r="K112" t="s">
        <v>7774</v>
      </c>
      <c r="L112" t="s">
        <v>669</v>
      </c>
      <c r="M112" t="s">
        <v>7494</v>
      </c>
      <c r="P112" t="s">
        <v>7694</v>
      </c>
    </row>
    <row r="113" spans="2:16">
      <c r="B113" t="str">
        <f t="shared" si="33"/>
        <v>TO</v>
      </c>
      <c r="C113" t="str">
        <f t="shared" si="34"/>
        <v>KB</v>
      </c>
      <c r="D113" t="s">
        <v>7322</v>
      </c>
      <c r="E113" s="5">
        <v>2</v>
      </c>
      <c r="F113" s="4" t="s">
        <v>7736</v>
      </c>
      <c r="G113" s="306" t="s">
        <v>7759</v>
      </c>
      <c r="H113" s="432" t="s">
        <v>7767</v>
      </c>
      <c r="I113" s="489">
        <v>46100</v>
      </c>
      <c r="J113" t="s">
        <v>1434</v>
      </c>
      <c r="K113" t="s">
        <v>7774</v>
      </c>
      <c r="L113" t="s">
        <v>669</v>
      </c>
      <c r="M113" t="s">
        <v>7494</v>
      </c>
      <c r="P113" t="s">
        <v>7694</v>
      </c>
    </row>
    <row r="114" spans="2:16">
      <c r="B114" t="str">
        <f t="shared" si="33"/>
        <v>TO</v>
      </c>
      <c r="C114" t="str">
        <f t="shared" si="34"/>
        <v>KB</v>
      </c>
      <c r="D114" t="s">
        <v>7322</v>
      </c>
      <c r="E114" s="5">
        <v>2</v>
      </c>
      <c r="F114" s="4" t="s">
        <v>7736</v>
      </c>
      <c r="G114" s="306" t="s">
        <v>7760</v>
      </c>
      <c r="H114" s="432" t="s">
        <v>7768</v>
      </c>
      <c r="I114" s="489">
        <v>46090</v>
      </c>
      <c r="J114" t="s">
        <v>1434</v>
      </c>
      <c r="K114" t="s">
        <v>7774</v>
      </c>
      <c r="L114" t="s">
        <v>669</v>
      </c>
      <c r="M114" t="s">
        <v>7494</v>
      </c>
      <c r="P114" t="s">
        <v>7694</v>
      </c>
    </row>
    <row r="115" spans="2:16">
      <c r="B115" t="str">
        <f t="shared" si="23"/>
        <v/>
      </c>
      <c r="C115" t="str">
        <f t="shared" si="24"/>
        <v/>
      </c>
      <c r="D115" t="s">
        <v>7323</v>
      </c>
      <c r="E115" s="5"/>
      <c r="G115" s="479" t="s">
        <v>625</v>
      </c>
      <c r="H115" s="432" t="s">
        <v>7607</v>
      </c>
      <c r="L115"/>
      <c r="M115"/>
    </row>
    <row r="116" spans="2:16">
      <c r="B116" t="str">
        <f t="shared" ref="B116" si="35">MID(F116,11,2)</f>
        <v>MH</v>
      </c>
      <c r="C116" t="str">
        <f t="shared" ref="C116" si="36">MID(F116,14,2)</f>
        <v>KB</v>
      </c>
      <c r="D116" t="s">
        <v>7323</v>
      </c>
      <c r="E116" s="5"/>
      <c r="F116" s="4" t="s">
        <v>7793</v>
      </c>
      <c r="G116" s="479" t="s">
        <v>7786</v>
      </c>
      <c r="H116" s="432" t="s">
        <v>7601</v>
      </c>
      <c r="J116" t="s">
        <v>659</v>
      </c>
      <c r="K116" t="s">
        <v>7791</v>
      </c>
      <c r="L116" t="s">
        <v>669</v>
      </c>
      <c r="M116"/>
    </row>
    <row r="117" spans="2:16" ht="36">
      <c r="B117" t="str">
        <f t="shared" si="23"/>
        <v>MH</v>
      </c>
      <c r="C117" t="str">
        <f t="shared" si="24"/>
        <v>KB</v>
      </c>
      <c r="D117" t="s">
        <v>7323</v>
      </c>
      <c r="E117" s="5"/>
      <c r="F117" s="4" t="s">
        <v>7789</v>
      </c>
      <c r="H117" s="432" t="s">
        <v>7790</v>
      </c>
      <c r="J117" t="s">
        <v>1434</v>
      </c>
      <c r="K117" t="s">
        <v>7791</v>
      </c>
      <c r="L117"/>
      <c r="M117"/>
    </row>
    <row r="118" spans="2:16">
      <c r="B118" t="str">
        <f t="shared" si="23"/>
        <v>MH</v>
      </c>
      <c r="C118" t="str">
        <f t="shared" si="24"/>
        <v>KB</v>
      </c>
      <c r="D118" t="s">
        <v>7802</v>
      </c>
      <c r="E118" s="5"/>
      <c r="F118" s="4" t="s">
        <v>7811</v>
      </c>
      <c r="G118" s="306" t="s">
        <v>7810</v>
      </c>
      <c r="H118" s="432" t="s">
        <v>7809</v>
      </c>
      <c r="J118" t="s">
        <v>659</v>
      </c>
      <c r="L118"/>
      <c r="M118"/>
    </row>
    <row r="119" spans="2:16">
      <c r="B119" t="str">
        <f t="shared" si="23"/>
        <v/>
      </c>
      <c r="C119" t="str">
        <f t="shared" si="24"/>
        <v/>
      </c>
      <c r="E119" s="5"/>
      <c r="L119"/>
      <c r="M119"/>
    </row>
    <row r="120" spans="2:16">
      <c r="B120" t="str">
        <f t="shared" si="23"/>
        <v/>
      </c>
      <c r="C120" t="str">
        <f t="shared" si="24"/>
        <v/>
      </c>
      <c r="E120" s="5"/>
      <c r="L120"/>
      <c r="M120"/>
    </row>
    <row r="121" spans="2:16">
      <c r="B121" t="str">
        <f t="shared" si="23"/>
        <v/>
      </c>
      <c r="C121" t="str">
        <f t="shared" si="24"/>
        <v/>
      </c>
      <c r="E121" s="5"/>
      <c r="L121"/>
      <c r="M121"/>
    </row>
    <row r="122" spans="2:16">
      <c r="B122" t="str">
        <f t="shared" si="23"/>
        <v/>
      </c>
      <c r="C122" t="str">
        <f t="shared" si="24"/>
        <v/>
      </c>
      <c r="E122" s="5"/>
      <c r="L122"/>
      <c r="M122"/>
    </row>
    <row r="123" spans="2:16">
      <c r="B123" t="str">
        <f t="shared" si="23"/>
        <v/>
      </c>
      <c r="C123" t="str">
        <f t="shared" si="24"/>
        <v/>
      </c>
      <c r="E123" s="5"/>
      <c r="L123"/>
      <c r="M123"/>
    </row>
    <row r="124" spans="2:16">
      <c r="B124" t="str">
        <f t="shared" si="23"/>
        <v/>
      </c>
      <c r="C124" t="str">
        <f t="shared" si="24"/>
        <v/>
      </c>
      <c r="E124" s="5"/>
      <c r="L124"/>
      <c r="M124"/>
    </row>
    <row r="125" spans="2:16">
      <c r="B125" t="str">
        <f t="shared" si="23"/>
        <v/>
      </c>
      <c r="C125" t="str">
        <f t="shared" si="24"/>
        <v/>
      </c>
      <c r="E125" s="5"/>
      <c r="L125"/>
      <c r="M125"/>
    </row>
    <row r="126" spans="2:16">
      <c r="B126" t="str">
        <f t="shared" si="23"/>
        <v/>
      </c>
      <c r="C126" t="str">
        <f t="shared" si="24"/>
        <v/>
      </c>
      <c r="E126" s="5"/>
      <c r="L126"/>
      <c r="M126"/>
    </row>
    <row r="127" spans="2:16">
      <c r="B127" t="str">
        <f t="shared" si="23"/>
        <v/>
      </c>
      <c r="C127" t="str">
        <f t="shared" si="24"/>
        <v/>
      </c>
      <c r="E127" s="5"/>
      <c r="L127"/>
      <c r="M127"/>
    </row>
    <row r="128" spans="2:16">
      <c r="B128" t="str">
        <f t="shared" si="23"/>
        <v/>
      </c>
      <c r="C128" t="str">
        <f t="shared" si="24"/>
        <v/>
      </c>
      <c r="E128" s="5"/>
      <c r="L128"/>
      <c r="M128"/>
    </row>
    <row r="129" spans="2:13">
      <c r="B129" t="str">
        <f t="shared" si="23"/>
        <v/>
      </c>
      <c r="C129" t="str">
        <f t="shared" si="24"/>
        <v/>
      </c>
      <c r="E129" s="5"/>
      <c r="L129"/>
      <c r="M129"/>
    </row>
    <row r="130" spans="2:13">
      <c r="B130" t="str">
        <f t="shared" si="23"/>
        <v/>
      </c>
      <c r="C130" t="str">
        <f t="shared" si="24"/>
        <v/>
      </c>
      <c r="E130" s="5"/>
      <c r="L130"/>
      <c r="M130"/>
    </row>
    <row r="131" spans="2:13">
      <c r="B131" t="str">
        <f t="shared" si="23"/>
        <v/>
      </c>
      <c r="C131" t="str">
        <f t="shared" si="24"/>
        <v/>
      </c>
      <c r="E131" s="5"/>
      <c r="L131"/>
      <c r="M131"/>
    </row>
    <row r="132" spans="2:13">
      <c r="B132" t="str">
        <f t="shared" si="23"/>
        <v/>
      </c>
      <c r="C132" t="str">
        <f t="shared" si="24"/>
        <v/>
      </c>
      <c r="E132" s="5"/>
      <c r="L132"/>
      <c r="M132"/>
    </row>
    <row r="133" spans="2:13">
      <c r="B133" t="str">
        <f t="shared" si="23"/>
        <v/>
      </c>
      <c r="C133" t="str">
        <f t="shared" si="24"/>
        <v/>
      </c>
      <c r="E133" s="5"/>
      <c r="L133"/>
      <c r="M133"/>
    </row>
    <row r="134" spans="2:13">
      <c r="B134" t="str">
        <f t="shared" ref="B134:B197" si="37">MID(F134,11,2)</f>
        <v/>
      </c>
      <c r="C134" t="str">
        <f t="shared" ref="C134:C197" si="38">MID(F134,14,2)</f>
        <v/>
      </c>
      <c r="E134" s="5"/>
      <c r="L134"/>
      <c r="M134"/>
    </row>
    <row r="135" spans="2:13">
      <c r="B135" t="str">
        <f t="shared" si="37"/>
        <v/>
      </c>
      <c r="C135" t="str">
        <f t="shared" si="38"/>
        <v/>
      </c>
      <c r="E135" s="5"/>
      <c r="L135"/>
      <c r="M135"/>
    </row>
    <row r="136" spans="2:13">
      <c r="B136" t="str">
        <f t="shared" si="37"/>
        <v/>
      </c>
      <c r="C136" t="str">
        <f t="shared" si="38"/>
        <v/>
      </c>
      <c r="E136" s="5"/>
      <c r="L136"/>
      <c r="M136"/>
    </row>
    <row r="137" spans="2:13">
      <c r="B137" t="str">
        <f t="shared" si="37"/>
        <v/>
      </c>
      <c r="C137" t="str">
        <f t="shared" si="38"/>
        <v/>
      </c>
      <c r="E137" s="5"/>
      <c r="L137"/>
      <c r="M137"/>
    </row>
    <row r="138" spans="2:13">
      <c r="B138" t="str">
        <f t="shared" si="37"/>
        <v/>
      </c>
      <c r="C138" t="str">
        <f t="shared" si="38"/>
        <v/>
      </c>
      <c r="E138" s="5"/>
      <c r="L138"/>
      <c r="M138"/>
    </row>
    <row r="139" spans="2:13">
      <c r="B139" t="str">
        <f t="shared" si="37"/>
        <v/>
      </c>
      <c r="C139" t="str">
        <f t="shared" si="38"/>
        <v/>
      </c>
      <c r="E139" s="5"/>
      <c r="L139"/>
      <c r="M139"/>
    </row>
    <row r="140" spans="2:13">
      <c r="B140" t="str">
        <f t="shared" si="37"/>
        <v/>
      </c>
      <c r="C140" t="str">
        <f t="shared" si="38"/>
        <v/>
      </c>
      <c r="E140" s="5"/>
      <c r="L140"/>
      <c r="M140"/>
    </row>
    <row r="141" spans="2:13">
      <c r="B141" t="str">
        <f t="shared" si="37"/>
        <v/>
      </c>
      <c r="C141" t="str">
        <f t="shared" si="38"/>
        <v/>
      </c>
      <c r="E141" s="5"/>
      <c r="L141"/>
      <c r="M141"/>
    </row>
    <row r="142" spans="2:13">
      <c r="B142" t="str">
        <f t="shared" si="37"/>
        <v/>
      </c>
      <c r="C142" t="str">
        <f t="shared" si="38"/>
        <v/>
      </c>
      <c r="E142" s="5"/>
      <c r="L142"/>
      <c r="M142"/>
    </row>
    <row r="143" spans="2:13">
      <c r="B143" t="str">
        <f t="shared" si="37"/>
        <v/>
      </c>
      <c r="C143" t="str">
        <f t="shared" si="38"/>
        <v/>
      </c>
      <c r="E143" s="5"/>
      <c r="L143"/>
      <c r="M143"/>
    </row>
    <row r="144" spans="2:13">
      <c r="B144" t="str">
        <f t="shared" si="37"/>
        <v/>
      </c>
      <c r="C144" t="str">
        <f t="shared" si="38"/>
        <v/>
      </c>
      <c r="E144" s="5"/>
      <c r="L144"/>
      <c r="M144"/>
    </row>
    <row r="145" spans="2:13">
      <c r="B145" t="str">
        <f t="shared" si="37"/>
        <v/>
      </c>
      <c r="C145" t="str">
        <f t="shared" si="38"/>
        <v/>
      </c>
      <c r="E145" s="5"/>
      <c r="L145"/>
      <c r="M145"/>
    </row>
    <row r="146" spans="2:13">
      <c r="B146" t="str">
        <f t="shared" si="37"/>
        <v/>
      </c>
      <c r="C146" t="str">
        <f t="shared" si="38"/>
        <v/>
      </c>
      <c r="E146" s="5"/>
      <c r="L146"/>
      <c r="M146"/>
    </row>
    <row r="147" spans="2:13">
      <c r="B147" t="str">
        <f t="shared" si="37"/>
        <v/>
      </c>
      <c r="C147" t="str">
        <f t="shared" si="38"/>
        <v/>
      </c>
      <c r="E147" s="5"/>
      <c r="L147"/>
      <c r="M147"/>
    </row>
    <row r="148" spans="2:13">
      <c r="B148" t="str">
        <f t="shared" si="37"/>
        <v/>
      </c>
      <c r="C148" t="str">
        <f t="shared" si="38"/>
        <v/>
      </c>
      <c r="E148" s="5"/>
      <c r="L148"/>
      <c r="M148"/>
    </row>
    <row r="149" spans="2:13">
      <c r="B149" t="str">
        <f t="shared" si="37"/>
        <v/>
      </c>
      <c r="C149" t="str">
        <f t="shared" si="38"/>
        <v/>
      </c>
      <c r="E149" s="5"/>
      <c r="L149"/>
      <c r="M149"/>
    </row>
    <row r="150" spans="2:13">
      <c r="B150" t="str">
        <f t="shared" si="37"/>
        <v/>
      </c>
      <c r="C150" t="str">
        <f t="shared" si="38"/>
        <v/>
      </c>
      <c r="E150" s="5"/>
      <c r="L150"/>
      <c r="M150"/>
    </row>
    <row r="151" spans="2:13">
      <c r="B151" t="str">
        <f t="shared" si="37"/>
        <v/>
      </c>
      <c r="C151" t="str">
        <f t="shared" si="38"/>
        <v/>
      </c>
      <c r="E151" s="5"/>
      <c r="L151"/>
      <c r="M151"/>
    </row>
    <row r="152" spans="2:13">
      <c r="B152" t="str">
        <f t="shared" si="37"/>
        <v/>
      </c>
      <c r="C152" t="str">
        <f t="shared" si="38"/>
        <v/>
      </c>
      <c r="E152" s="5"/>
      <c r="L152"/>
      <c r="M152"/>
    </row>
    <row r="153" spans="2:13">
      <c r="B153" t="str">
        <f t="shared" si="37"/>
        <v/>
      </c>
      <c r="C153" t="str">
        <f t="shared" si="38"/>
        <v/>
      </c>
      <c r="E153" s="5"/>
      <c r="L153"/>
      <c r="M153"/>
    </row>
    <row r="154" spans="2:13">
      <c r="B154" t="str">
        <f t="shared" si="37"/>
        <v/>
      </c>
      <c r="C154" t="str">
        <f t="shared" si="38"/>
        <v/>
      </c>
      <c r="E154" s="5"/>
      <c r="L154"/>
      <c r="M154"/>
    </row>
    <row r="155" spans="2:13">
      <c r="B155" t="str">
        <f t="shared" si="37"/>
        <v/>
      </c>
      <c r="C155" t="str">
        <f t="shared" si="38"/>
        <v/>
      </c>
      <c r="E155" s="5"/>
      <c r="L155"/>
      <c r="M155"/>
    </row>
    <row r="156" spans="2:13">
      <c r="B156" t="str">
        <f t="shared" si="37"/>
        <v/>
      </c>
      <c r="C156" t="str">
        <f t="shared" si="38"/>
        <v/>
      </c>
      <c r="E156" s="5"/>
      <c r="L156"/>
      <c r="M156"/>
    </row>
    <row r="157" spans="2:13">
      <c r="B157" t="str">
        <f t="shared" si="37"/>
        <v/>
      </c>
      <c r="C157" t="str">
        <f t="shared" si="38"/>
        <v/>
      </c>
      <c r="E157" s="5"/>
      <c r="L157"/>
      <c r="M157"/>
    </row>
    <row r="158" spans="2:13">
      <c r="B158" t="str">
        <f t="shared" si="37"/>
        <v/>
      </c>
      <c r="C158" t="str">
        <f t="shared" si="38"/>
        <v/>
      </c>
      <c r="E158" s="5"/>
      <c r="L158"/>
      <c r="M158"/>
    </row>
    <row r="159" spans="2:13">
      <c r="B159" t="str">
        <f t="shared" si="37"/>
        <v/>
      </c>
      <c r="C159" t="str">
        <f t="shared" si="38"/>
        <v/>
      </c>
      <c r="E159" s="5"/>
      <c r="L159"/>
      <c r="M159"/>
    </row>
    <row r="160" spans="2:13">
      <c r="B160" t="str">
        <f t="shared" si="37"/>
        <v/>
      </c>
      <c r="C160" t="str">
        <f t="shared" si="38"/>
        <v/>
      </c>
      <c r="E160" s="5"/>
      <c r="L160"/>
      <c r="M160"/>
    </row>
    <row r="161" spans="2:13">
      <c r="B161" t="str">
        <f t="shared" si="37"/>
        <v/>
      </c>
      <c r="C161" t="str">
        <f t="shared" si="38"/>
        <v/>
      </c>
      <c r="E161" s="5"/>
      <c r="L161"/>
      <c r="M161"/>
    </row>
    <row r="162" spans="2:13">
      <c r="B162" t="str">
        <f t="shared" si="37"/>
        <v/>
      </c>
      <c r="C162" t="str">
        <f t="shared" si="38"/>
        <v/>
      </c>
      <c r="E162" s="5"/>
      <c r="L162"/>
      <c r="M162"/>
    </row>
    <row r="163" spans="2:13">
      <c r="B163" t="str">
        <f t="shared" si="37"/>
        <v/>
      </c>
      <c r="C163" t="str">
        <f t="shared" si="38"/>
        <v/>
      </c>
      <c r="E163" s="5"/>
      <c r="L163"/>
      <c r="M163"/>
    </row>
    <row r="164" spans="2:13">
      <c r="B164" t="str">
        <f t="shared" si="37"/>
        <v/>
      </c>
      <c r="C164" t="str">
        <f t="shared" si="38"/>
        <v/>
      </c>
      <c r="E164" s="5"/>
      <c r="L164"/>
      <c r="M164"/>
    </row>
    <row r="165" spans="2:13">
      <c r="B165" t="str">
        <f t="shared" si="37"/>
        <v/>
      </c>
      <c r="C165" t="str">
        <f t="shared" si="38"/>
        <v/>
      </c>
      <c r="E165" s="5"/>
      <c r="L165"/>
      <c r="M165"/>
    </row>
    <row r="166" spans="2:13">
      <c r="B166" t="str">
        <f t="shared" si="37"/>
        <v/>
      </c>
      <c r="C166" t="str">
        <f t="shared" si="38"/>
        <v/>
      </c>
      <c r="E166" s="5"/>
      <c r="L166"/>
      <c r="M166"/>
    </row>
    <row r="167" spans="2:13">
      <c r="B167" t="str">
        <f t="shared" si="37"/>
        <v/>
      </c>
      <c r="C167" t="str">
        <f t="shared" si="38"/>
        <v/>
      </c>
      <c r="E167" s="5"/>
      <c r="L167"/>
      <c r="M167"/>
    </row>
    <row r="168" spans="2:13">
      <c r="B168" t="str">
        <f t="shared" si="37"/>
        <v/>
      </c>
      <c r="C168" t="str">
        <f t="shared" si="38"/>
        <v/>
      </c>
      <c r="E168" s="5"/>
      <c r="L168"/>
      <c r="M168"/>
    </row>
    <row r="169" spans="2:13">
      <c r="B169" t="str">
        <f t="shared" si="37"/>
        <v/>
      </c>
      <c r="C169" t="str">
        <f t="shared" si="38"/>
        <v/>
      </c>
      <c r="E169" s="5"/>
      <c r="L169"/>
      <c r="M169"/>
    </row>
    <row r="170" spans="2:13">
      <c r="B170" t="str">
        <f t="shared" si="37"/>
        <v/>
      </c>
      <c r="C170" t="str">
        <f t="shared" si="38"/>
        <v/>
      </c>
      <c r="E170" s="5"/>
      <c r="L170"/>
      <c r="M170"/>
    </row>
    <row r="171" spans="2:13">
      <c r="B171" t="str">
        <f t="shared" si="37"/>
        <v/>
      </c>
      <c r="C171" t="str">
        <f t="shared" si="38"/>
        <v/>
      </c>
      <c r="E171" s="5"/>
      <c r="L171"/>
      <c r="M171"/>
    </row>
    <row r="172" spans="2:13">
      <c r="B172" t="str">
        <f t="shared" si="37"/>
        <v/>
      </c>
      <c r="C172" t="str">
        <f t="shared" si="38"/>
        <v/>
      </c>
      <c r="E172" s="5"/>
      <c r="L172"/>
      <c r="M172"/>
    </row>
    <row r="173" spans="2:13">
      <c r="B173" t="str">
        <f t="shared" si="37"/>
        <v/>
      </c>
      <c r="C173" t="str">
        <f t="shared" si="38"/>
        <v/>
      </c>
      <c r="E173" s="5"/>
      <c r="L173"/>
      <c r="M173"/>
    </row>
    <row r="174" spans="2:13">
      <c r="B174" t="str">
        <f t="shared" si="37"/>
        <v/>
      </c>
      <c r="C174" t="str">
        <f t="shared" si="38"/>
        <v/>
      </c>
      <c r="E174" s="5"/>
      <c r="L174"/>
      <c r="M174"/>
    </row>
    <row r="175" spans="2:13">
      <c r="B175" t="str">
        <f t="shared" si="37"/>
        <v/>
      </c>
      <c r="C175" t="str">
        <f t="shared" si="38"/>
        <v/>
      </c>
      <c r="E175" s="5"/>
      <c r="L175"/>
      <c r="M175"/>
    </row>
    <row r="176" spans="2:13">
      <c r="B176" t="str">
        <f t="shared" si="37"/>
        <v/>
      </c>
      <c r="C176" t="str">
        <f t="shared" si="38"/>
        <v/>
      </c>
      <c r="E176" s="5"/>
      <c r="L176"/>
      <c r="M176"/>
    </row>
    <row r="177" spans="2:13">
      <c r="B177" t="str">
        <f t="shared" si="37"/>
        <v/>
      </c>
      <c r="C177" t="str">
        <f t="shared" si="38"/>
        <v/>
      </c>
      <c r="E177" s="5"/>
      <c r="L177"/>
      <c r="M177"/>
    </row>
    <row r="178" spans="2:13">
      <c r="B178" t="str">
        <f t="shared" si="37"/>
        <v/>
      </c>
      <c r="C178" t="str">
        <f t="shared" si="38"/>
        <v/>
      </c>
      <c r="E178" s="5"/>
      <c r="L178"/>
      <c r="M178"/>
    </row>
    <row r="179" spans="2:13">
      <c r="B179" t="str">
        <f t="shared" si="37"/>
        <v/>
      </c>
      <c r="C179" t="str">
        <f t="shared" si="38"/>
        <v/>
      </c>
      <c r="E179" s="5"/>
      <c r="L179"/>
      <c r="M179"/>
    </row>
    <row r="180" spans="2:13">
      <c r="B180" t="str">
        <f t="shared" si="37"/>
        <v/>
      </c>
      <c r="C180" t="str">
        <f t="shared" si="38"/>
        <v/>
      </c>
      <c r="E180" s="5"/>
      <c r="L180"/>
      <c r="M180"/>
    </row>
    <row r="181" spans="2:13">
      <c r="B181" t="str">
        <f t="shared" si="37"/>
        <v/>
      </c>
      <c r="C181" t="str">
        <f t="shared" si="38"/>
        <v/>
      </c>
      <c r="E181" s="5"/>
      <c r="L181"/>
      <c r="M181"/>
    </row>
    <row r="182" spans="2:13">
      <c r="B182" t="str">
        <f t="shared" si="37"/>
        <v/>
      </c>
      <c r="C182" t="str">
        <f t="shared" si="38"/>
        <v/>
      </c>
      <c r="E182" s="5"/>
      <c r="L182"/>
      <c r="M182"/>
    </row>
    <row r="183" spans="2:13">
      <c r="B183" t="str">
        <f t="shared" si="37"/>
        <v/>
      </c>
      <c r="C183" t="str">
        <f t="shared" si="38"/>
        <v/>
      </c>
      <c r="E183" s="5"/>
      <c r="L183"/>
      <c r="M183"/>
    </row>
    <row r="184" spans="2:13">
      <c r="B184" t="str">
        <f t="shared" si="37"/>
        <v/>
      </c>
      <c r="C184" t="str">
        <f t="shared" si="38"/>
        <v/>
      </c>
      <c r="E184" s="5"/>
      <c r="L184"/>
      <c r="M184"/>
    </row>
    <row r="185" spans="2:13">
      <c r="B185" t="str">
        <f t="shared" si="37"/>
        <v/>
      </c>
      <c r="C185" t="str">
        <f t="shared" si="38"/>
        <v/>
      </c>
      <c r="E185" s="5"/>
      <c r="L185"/>
      <c r="M185"/>
    </row>
    <row r="186" spans="2:13">
      <c r="B186" t="str">
        <f t="shared" si="37"/>
        <v/>
      </c>
      <c r="C186" t="str">
        <f t="shared" si="38"/>
        <v/>
      </c>
      <c r="E186" s="5"/>
      <c r="L186"/>
      <c r="M186"/>
    </row>
    <row r="187" spans="2:13">
      <c r="B187" t="str">
        <f t="shared" si="37"/>
        <v/>
      </c>
      <c r="C187" t="str">
        <f t="shared" si="38"/>
        <v/>
      </c>
      <c r="E187" s="5"/>
      <c r="L187"/>
      <c r="M187"/>
    </row>
    <row r="188" spans="2:13">
      <c r="B188" t="str">
        <f t="shared" si="37"/>
        <v/>
      </c>
      <c r="C188" t="str">
        <f t="shared" si="38"/>
        <v/>
      </c>
      <c r="E188" s="5"/>
      <c r="L188"/>
      <c r="M188"/>
    </row>
    <row r="189" spans="2:13">
      <c r="B189" t="str">
        <f t="shared" si="37"/>
        <v/>
      </c>
      <c r="C189" t="str">
        <f t="shared" si="38"/>
        <v/>
      </c>
      <c r="E189" s="5"/>
      <c r="L189"/>
      <c r="M189"/>
    </row>
    <row r="190" spans="2:13">
      <c r="B190" t="str">
        <f t="shared" si="37"/>
        <v/>
      </c>
      <c r="C190" t="str">
        <f t="shared" si="38"/>
        <v/>
      </c>
      <c r="E190" s="5"/>
      <c r="L190"/>
      <c r="M190"/>
    </row>
    <row r="191" spans="2:13">
      <c r="B191" t="str">
        <f t="shared" si="37"/>
        <v/>
      </c>
      <c r="C191" t="str">
        <f t="shared" si="38"/>
        <v/>
      </c>
      <c r="E191" s="5"/>
      <c r="L191"/>
      <c r="M191"/>
    </row>
    <row r="192" spans="2:13">
      <c r="B192" t="str">
        <f t="shared" si="37"/>
        <v/>
      </c>
      <c r="C192" t="str">
        <f t="shared" si="38"/>
        <v/>
      </c>
      <c r="E192" s="5"/>
      <c r="L192"/>
      <c r="M192"/>
    </row>
    <row r="193" spans="2:13">
      <c r="B193" t="str">
        <f t="shared" si="37"/>
        <v/>
      </c>
      <c r="C193" t="str">
        <f t="shared" si="38"/>
        <v/>
      </c>
      <c r="E193" s="5"/>
      <c r="L193"/>
      <c r="M193"/>
    </row>
    <row r="194" spans="2:13">
      <c r="B194" t="str">
        <f t="shared" si="37"/>
        <v/>
      </c>
      <c r="C194" t="str">
        <f t="shared" si="38"/>
        <v/>
      </c>
      <c r="E194" s="5"/>
      <c r="L194"/>
      <c r="M194"/>
    </row>
    <row r="195" spans="2:13">
      <c r="B195" t="str">
        <f t="shared" si="37"/>
        <v/>
      </c>
      <c r="C195" t="str">
        <f t="shared" si="38"/>
        <v/>
      </c>
      <c r="E195" s="5"/>
      <c r="L195"/>
      <c r="M195"/>
    </row>
    <row r="196" spans="2:13">
      <c r="B196" t="str">
        <f t="shared" si="37"/>
        <v/>
      </c>
      <c r="C196" t="str">
        <f t="shared" si="38"/>
        <v/>
      </c>
      <c r="E196" s="5"/>
      <c r="L196"/>
      <c r="M196"/>
    </row>
    <row r="197" spans="2:13">
      <c r="B197" t="str">
        <f t="shared" si="37"/>
        <v/>
      </c>
      <c r="C197" t="str">
        <f t="shared" si="38"/>
        <v/>
      </c>
      <c r="E197" s="5"/>
      <c r="L197"/>
      <c r="M197"/>
    </row>
    <row r="198" spans="2:13">
      <c r="B198" t="str">
        <f t="shared" ref="B198:B260" si="39">MID(F198,11,2)</f>
        <v/>
      </c>
      <c r="C198" t="str">
        <f t="shared" ref="C198:C260" si="40">MID(F198,14,2)</f>
        <v/>
      </c>
      <c r="E198" s="5"/>
      <c r="L198"/>
      <c r="M198"/>
    </row>
    <row r="199" spans="2:13">
      <c r="B199" t="str">
        <f t="shared" si="39"/>
        <v/>
      </c>
      <c r="C199" t="str">
        <f t="shared" si="40"/>
        <v/>
      </c>
      <c r="E199" s="5"/>
      <c r="L199"/>
      <c r="M199"/>
    </row>
    <row r="200" spans="2:13">
      <c r="B200" t="str">
        <f t="shared" si="39"/>
        <v/>
      </c>
      <c r="C200" t="str">
        <f t="shared" si="40"/>
        <v/>
      </c>
      <c r="E200" s="5"/>
      <c r="L200"/>
      <c r="M200"/>
    </row>
    <row r="201" spans="2:13">
      <c r="B201" t="str">
        <f t="shared" si="39"/>
        <v/>
      </c>
      <c r="C201" t="str">
        <f t="shared" si="40"/>
        <v/>
      </c>
      <c r="E201" s="5"/>
      <c r="L201"/>
      <c r="M201"/>
    </row>
    <row r="202" spans="2:13">
      <c r="B202" t="str">
        <f t="shared" si="39"/>
        <v/>
      </c>
      <c r="C202" t="str">
        <f t="shared" si="40"/>
        <v/>
      </c>
      <c r="E202" s="5"/>
      <c r="L202"/>
      <c r="M202"/>
    </row>
    <row r="203" spans="2:13">
      <c r="B203" t="str">
        <f t="shared" si="39"/>
        <v/>
      </c>
      <c r="C203" t="str">
        <f t="shared" si="40"/>
        <v/>
      </c>
      <c r="E203" s="5"/>
      <c r="L203"/>
      <c r="M203"/>
    </row>
    <row r="204" spans="2:13">
      <c r="B204" t="str">
        <f t="shared" si="39"/>
        <v/>
      </c>
      <c r="C204" t="str">
        <f t="shared" si="40"/>
        <v/>
      </c>
      <c r="E204" s="5"/>
      <c r="L204"/>
      <c r="M204"/>
    </row>
    <row r="205" spans="2:13">
      <c r="B205" t="str">
        <f t="shared" si="39"/>
        <v/>
      </c>
      <c r="C205" t="str">
        <f t="shared" si="40"/>
        <v/>
      </c>
      <c r="E205" s="5"/>
      <c r="L205"/>
      <c r="M205"/>
    </row>
    <row r="206" spans="2:13">
      <c r="B206" t="str">
        <f t="shared" si="39"/>
        <v/>
      </c>
      <c r="C206" t="str">
        <f t="shared" si="40"/>
        <v/>
      </c>
      <c r="E206" s="5"/>
      <c r="L206"/>
      <c r="M206"/>
    </row>
    <row r="207" spans="2:13">
      <c r="B207" t="str">
        <f t="shared" si="39"/>
        <v/>
      </c>
      <c r="C207" t="str">
        <f t="shared" si="40"/>
        <v/>
      </c>
      <c r="E207" s="5"/>
      <c r="L207"/>
      <c r="M207"/>
    </row>
    <row r="208" spans="2:13">
      <c r="B208" t="str">
        <f t="shared" si="39"/>
        <v/>
      </c>
      <c r="C208" t="str">
        <f t="shared" si="40"/>
        <v/>
      </c>
      <c r="E208" s="5"/>
      <c r="L208"/>
      <c r="M208"/>
    </row>
    <row r="209" spans="2:13">
      <c r="B209" t="str">
        <f t="shared" si="39"/>
        <v/>
      </c>
      <c r="C209" t="str">
        <f t="shared" si="40"/>
        <v/>
      </c>
      <c r="E209" s="5"/>
      <c r="L209"/>
      <c r="M209"/>
    </row>
    <row r="210" spans="2:13">
      <c r="B210" t="str">
        <f t="shared" si="39"/>
        <v/>
      </c>
      <c r="C210" t="str">
        <f t="shared" si="40"/>
        <v/>
      </c>
      <c r="E210" s="5"/>
      <c r="L210"/>
      <c r="M210"/>
    </row>
    <row r="211" spans="2:13">
      <c r="B211" t="str">
        <f t="shared" si="39"/>
        <v/>
      </c>
      <c r="C211" t="str">
        <f t="shared" si="40"/>
        <v/>
      </c>
      <c r="E211" s="5"/>
      <c r="L211"/>
      <c r="M211"/>
    </row>
    <row r="212" spans="2:13">
      <c r="B212" t="str">
        <f t="shared" si="39"/>
        <v/>
      </c>
      <c r="C212" t="str">
        <f t="shared" si="40"/>
        <v/>
      </c>
      <c r="E212" s="5"/>
      <c r="L212"/>
      <c r="M212"/>
    </row>
    <row r="213" spans="2:13">
      <c r="B213" t="str">
        <f t="shared" si="39"/>
        <v/>
      </c>
      <c r="C213" t="str">
        <f t="shared" si="40"/>
        <v/>
      </c>
      <c r="E213" s="5"/>
      <c r="L213"/>
      <c r="M213"/>
    </row>
    <row r="214" spans="2:13">
      <c r="B214" t="str">
        <f t="shared" si="39"/>
        <v/>
      </c>
      <c r="C214" t="str">
        <f t="shared" si="40"/>
        <v/>
      </c>
      <c r="E214" s="5"/>
      <c r="L214"/>
      <c r="M214"/>
    </row>
    <row r="215" spans="2:13">
      <c r="B215" t="str">
        <f t="shared" si="39"/>
        <v/>
      </c>
      <c r="C215" t="str">
        <f t="shared" si="40"/>
        <v/>
      </c>
      <c r="E215" s="5"/>
      <c r="L215"/>
      <c r="M215"/>
    </row>
    <row r="216" spans="2:13">
      <c r="B216" t="str">
        <f t="shared" si="39"/>
        <v/>
      </c>
      <c r="C216" t="str">
        <f t="shared" si="40"/>
        <v/>
      </c>
      <c r="E216" s="5"/>
      <c r="L216"/>
      <c r="M216"/>
    </row>
    <row r="217" spans="2:13">
      <c r="B217" t="str">
        <f t="shared" si="39"/>
        <v/>
      </c>
      <c r="C217" t="str">
        <f t="shared" si="40"/>
        <v/>
      </c>
      <c r="E217" s="5"/>
      <c r="L217"/>
      <c r="M217"/>
    </row>
    <row r="218" spans="2:13">
      <c r="B218" t="str">
        <f t="shared" si="39"/>
        <v/>
      </c>
      <c r="C218" t="str">
        <f t="shared" si="40"/>
        <v/>
      </c>
      <c r="E218" s="5"/>
      <c r="L218"/>
      <c r="M218"/>
    </row>
    <row r="219" spans="2:13">
      <c r="B219" t="str">
        <f t="shared" si="39"/>
        <v/>
      </c>
      <c r="C219" t="str">
        <f t="shared" si="40"/>
        <v/>
      </c>
      <c r="E219" s="5"/>
      <c r="L219"/>
      <c r="M219"/>
    </row>
    <row r="220" spans="2:13">
      <c r="B220" t="str">
        <f t="shared" si="39"/>
        <v/>
      </c>
      <c r="C220" t="str">
        <f t="shared" si="40"/>
        <v/>
      </c>
      <c r="E220" s="5"/>
      <c r="L220"/>
      <c r="M220"/>
    </row>
    <row r="221" spans="2:13">
      <c r="B221" t="str">
        <f t="shared" si="39"/>
        <v/>
      </c>
      <c r="C221" t="str">
        <f t="shared" si="40"/>
        <v/>
      </c>
      <c r="E221" s="5"/>
      <c r="L221"/>
      <c r="M221"/>
    </row>
    <row r="222" spans="2:13">
      <c r="B222" t="str">
        <f t="shared" si="39"/>
        <v/>
      </c>
      <c r="C222" t="str">
        <f t="shared" si="40"/>
        <v/>
      </c>
      <c r="E222" s="5"/>
      <c r="L222"/>
      <c r="M222"/>
    </row>
    <row r="223" spans="2:13">
      <c r="B223" t="str">
        <f t="shared" si="39"/>
        <v/>
      </c>
      <c r="C223" t="str">
        <f t="shared" si="40"/>
        <v/>
      </c>
      <c r="E223" s="5"/>
      <c r="L223"/>
      <c r="M223"/>
    </row>
    <row r="224" spans="2:13">
      <c r="B224" t="str">
        <f t="shared" si="39"/>
        <v/>
      </c>
      <c r="C224" t="str">
        <f t="shared" si="40"/>
        <v/>
      </c>
      <c r="E224" s="5"/>
      <c r="L224"/>
      <c r="M224"/>
    </row>
    <row r="225" spans="2:13">
      <c r="B225" t="str">
        <f t="shared" si="39"/>
        <v/>
      </c>
      <c r="C225" t="str">
        <f t="shared" si="40"/>
        <v/>
      </c>
      <c r="E225" s="5"/>
      <c r="L225"/>
      <c r="M225"/>
    </row>
    <row r="226" spans="2:13">
      <c r="B226" t="str">
        <f t="shared" si="39"/>
        <v/>
      </c>
      <c r="C226" t="str">
        <f t="shared" si="40"/>
        <v/>
      </c>
      <c r="E226" s="5"/>
      <c r="L226"/>
      <c r="M226"/>
    </row>
    <row r="227" spans="2:13">
      <c r="B227" t="str">
        <f t="shared" si="39"/>
        <v/>
      </c>
      <c r="C227" t="str">
        <f t="shared" si="40"/>
        <v/>
      </c>
      <c r="E227" s="5"/>
      <c r="L227"/>
      <c r="M227"/>
    </row>
    <row r="228" spans="2:13">
      <c r="B228" t="str">
        <f t="shared" si="39"/>
        <v/>
      </c>
      <c r="C228" t="str">
        <f t="shared" si="40"/>
        <v/>
      </c>
      <c r="E228" s="5"/>
      <c r="L228"/>
      <c r="M228"/>
    </row>
    <row r="229" spans="2:13">
      <c r="B229" t="str">
        <f t="shared" si="39"/>
        <v/>
      </c>
      <c r="C229" t="str">
        <f t="shared" si="40"/>
        <v/>
      </c>
      <c r="E229" s="5"/>
      <c r="L229"/>
      <c r="M229"/>
    </row>
    <row r="230" spans="2:13">
      <c r="B230" t="str">
        <f t="shared" si="39"/>
        <v/>
      </c>
      <c r="C230" t="str">
        <f t="shared" si="40"/>
        <v/>
      </c>
      <c r="E230" s="5"/>
      <c r="L230"/>
      <c r="M230"/>
    </row>
    <row r="231" spans="2:13">
      <c r="B231" t="str">
        <f t="shared" si="39"/>
        <v/>
      </c>
      <c r="C231" t="str">
        <f t="shared" si="40"/>
        <v/>
      </c>
      <c r="E231" s="5"/>
      <c r="L231"/>
      <c r="M231"/>
    </row>
    <row r="232" spans="2:13">
      <c r="B232" t="str">
        <f t="shared" si="39"/>
        <v/>
      </c>
      <c r="C232" t="str">
        <f t="shared" si="40"/>
        <v/>
      </c>
      <c r="E232" s="5"/>
      <c r="L232"/>
      <c r="M232"/>
    </row>
    <row r="233" spans="2:13">
      <c r="B233" t="str">
        <f t="shared" si="39"/>
        <v/>
      </c>
      <c r="C233" t="str">
        <f t="shared" si="40"/>
        <v/>
      </c>
      <c r="E233" s="5"/>
      <c r="L233"/>
      <c r="M233"/>
    </row>
    <row r="234" spans="2:13">
      <c r="B234" t="str">
        <f t="shared" si="39"/>
        <v/>
      </c>
      <c r="C234" t="str">
        <f t="shared" si="40"/>
        <v/>
      </c>
      <c r="E234" s="5"/>
      <c r="L234"/>
      <c r="M234"/>
    </row>
    <row r="235" spans="2:13">
      <c r="B235" t="str">
        <f t="shared" si="39"/>
        <v/>
      </c>
      <c r="C235" t="str">
        <f t="shared" si="40"/>
        <v/>
      </c>
      <c r="E235" s="5"/>
      <c r="L235"/>
      <c r="M235"/>
    </row>
    <row r="236" spans="2:13">
      <c r="B236" t="str">
        <f t="shared" si="39"/>
        <v/>
      </c>
      <c r="C236" t="str">
        <f t="shared" si="40"/>
        <v/>
      </c>
      <c r="E236" s="5"/>
      <c r="L236"/>
      <c r="M236"/>
    </row>
    <row r="237" spans="2:13">
      <c r="B237" t="str">
        <f t="shared" si="39"/>
        <v/>
      </c>
      <c r="C237" t="str">
        <f t="shared" si="40"/>
        <v/>
      </c>
      <c r="E237" s="5"/>
      <c r="L237"/>
      <c r="M237"/>
    </row>
    <row r="238" spans="2:13">
      <c r="B238" t="str">
        <f t="shared" si="39"/>
        <v/>
      </c>
      <c r="C238" t="str">
        <f t="shared" si="40"/>
        <v/>
      </c>
      <c r="E238" s="5"/>
      <c r="L238"/>
      <c r="M238"/>
    </row>
    <row r="239" spans="2:13">
      <c r="B239" t="str">
        <f t="shared" si="39"/>
        <v/>
      </c>
      <c r="C239" t="str">
        <f t="shared" si="40"/>
        <v/>
      </c>
      <c r="E239" s="5"/>
      <c r="L239"/>
      <c r="M239"/>
    </row>
    <row r="240" spans="2:13">
      <c r="B240" t="str">
        <f t="shared" si="39"/>
        <v/>
      </c>
      <c r="C240" t="str">
        <f t="shared" si="40"/>
        <v/>
      </c>
      <c r="E240" s="5"/>
      <c r="L240"/>
      <c r="M240"/>
    </row>
    <row r="241" spans="2:13">
      <c r="B241" t="str">
        <f t="shared" si="39"/>
        <v/>
      </c>
      <c r="C241" t="str">
        <f t="shared" si="40"/>
        <v/>
      </c>
      <c r="E241" s="5"/>
      <c r="L241"/>
      <c r="M241"/>
    </row>
    <row r="242" spans="2:13">
      <c r="B242" t="str">
        <f t="shared" si="39"/>
        <v/>
      </c>
      <c r="C242" t="str">
        <f t="shared" si="40"/>
        <v/>
      </c>
      <c r="E242" s="5"/>
      <c r="L242"/>
      <c r="M242"/>
    </row>
    <row r="243" spans="2:13">
      <c r="B243" t="str">
        <f t="shared" si="39"/>
        <v/>
      </c>
      <c r="C243" t="str">
        <f t="shared" si="40"/>
        <v/>
      </c>
      <c r="E243" s="5"/>
      <c r="L243"/>
      <c r="M243"/>
    </row>
    <row r="244" spans="2:13">
      <c r="B244" t="str">
        <f t="shared" si="39"/>
        <v/>
      </c>
      <c r="C244" t="str">
        <f t="shared" si="40"/>
        <v/>
      </c>
      <c r="E244" s="5"/>
      <c r="L244"/>
      <c r="M244"/>
    </row>
    <row r="245" spans="2:13">
      <c r="B245" t="str">
        <f t="shared" si="39"/>
        <v/>
      </c>
      <c r="C245" t="str">
        <f t="shared" si="40"/>
        <v/>
      </c>
      <c r="E245" s="5"/>
      <c r="L245"/>
      <c r="M245"/>
    </row>
    <row r="246" spans="2:13">
      <c r="B246" t="str">
        <f t="shared" si="39"/>
        <v/>
      </c>
      <c r="C246" t="str">
        <f t="shared" si="40"/>
        <v/>
      </c>
      <c r="E246" s="5"/>
      <c r="L246"/>
      <c r="M246"/>
    </row>
    <row r="247" spans="2:13">
      <c r="B247" t="str">
        <f t="shared" si="39"/>
        <v/>
      </c>
      <c r="C247" t="str">
        <f t="shared" si="40"/>
        <v/>
      </c>
      <c r="E247" s="5"/>
      <c r="L247"/>
      <c r="M247"/>
    </row>
    <row r="248" spans="2:13">
      <c r="B248" t="str">
        <f t="shared" si="39"/>
        <v/>
      </c>
      <c r="C248" t="str">
        <f t="shared" si="40"/>
        <v/>
      </c>
      <c r="E248" s="5"/>
      <c r="L248"/>
      <c r="M248"/>
    </row>
    <row r="249" spans="2:13">
      <c r="B249" t="str">
        <f t="shared" si="39"/>
        <v/>
      </c>
      <c r="C249" t="str">
        <f t="shared" si="40"/>
        <v/>
      </c>
      <c r="E249" s="5"/>
      <c r="L249"/>
      <c r="M249"/>
    </row>
    <row r="250" spans="2:13">
      <c r="B250" t="str">
        <f t="shared" si="39"/>
        <v/>
      </c>
      <c r="C250" t="str">
        <f t="shared" si="40"/>
        <v/>
      </c>
      <c r="E250" s="5"/>
      <c r="L250"/>
      <c r="M250"/>
    </row>
    <row r="251" spans="2:13">
      <c r="B251" t="str">
        <f t="shared" si="39"/>
        <v/>
      </c>
      <c r="C251" t="str">
        <f t="shared" si="40"/>
        <v/>
      </c>
      <c r="E251" s="5"/>
      <c r="L251"/>
      <c r="M251"/>
    </row>
    <row r="252" spans="2:13">
      <c r="B252" t="str">
        <f t="shared" si="39"/>
        <v/>
      </c>
      <c r="C252" t="str">
        <f t="shared" si="40"/>
        <v/>
      </c>
      <c r="E252" s="5"/>
      <c r="L252"/>
      <c r="M252"/>
    </row>
    <row r="253" spans="2:13">
      <c r="B253" t="str">
        <f t="shared" si="39"/>
        <v/>
      </c>
      <c r="C253" t="str">
        <f t="shared" si="40"/>
        <v/>
      </c>
      <c r="E253" s="5"/>
      <c r="L253"/>
      <c r="M253"/>
    </row>
    <row r="254" spans="2:13">
      <c r="B254" t="str">
        <f t="shared" si="39"/>
        <v/>
      </c>
      <c r="C254" t="str">
        <f t="shared" si="40"/>
        <v/>
      </c>
      <c r="E254" s="5"/>
      <c r="L254"/>
      <c r="M254"/>
    </row>
    <row r="255" spans="2:13">
      <c r="B255" t="str">
        <f t="shared" si="39"/>
        <v/>
      </c>
      <c r="C255" t="str">
        <f t="shared" si="40"/>
        <v/>
      </c>
      <c r="E255" s="5"/>
      <c r="L255"/>
      <c r="M255"/>
    </row>
    <row r="256" spans="2:13">
      <c r="B256" t="str">
        <f t="shared" si="39"/>
        <v/>
      </c>
      <c r="C256" t="str">
        <f t="shared" si="40"/>
        <v/>
      </c>
      <c r="E256" s="5"/>
      <c r="L256"/>
      <c r="M256"/>
    </row>
    <row r="257" spans="2:13">
      <c r="B257" t="str">
        <f t="shared" si="39"/>
        <v/>
      </c>
      <c r="C257" t="str">
        <f t="shared" si="40"/>
        <v/>
      </c>
      <c r="E257" s="5"/>
      <c r="L257"/>
      <c r="M257"/>
    </row>
    <row r="258" spans="2:13">
      <c r="B258" t="str">
        <f t="shared" si="39"/>
        <v/>
      </c>
      <c r="C258" t="str">
        <f t="shared" si="40"/>
        <v/>
      </c>
      <c r="E258" s="5"/>
      <c r="L258"/>
      <c r="M258"/>
    </row>
    <row r="259" spans="2:13">
      <c r="B259" t="str">
        <f t="shared" si="39"/>
        <v/>
      </c>
      <c r="C259" t="str">
        <f t="shared" si="40"/>
        <v/>
      </c>
      <c r="E259" s="5"/>
      <c r="L259"/>
      <c r="M259"/>
    </row>
    <row r="260" spans="2:13">
      <c r="B260" t="str">
        <f t="shared" si="39"/>
        <v/>
      </c>
      <c r="C260" t="str">
        <f t="shared" si="40"/>
        <v/>
      </c>
      <c r="E260" s="5"/>
      <c r="L260"/>
      <c r="M260"/>
    </row>
    <row r="261" spans="2:13">
      <c r="L261"/>
      <c r="M261"/>
    </row>
    <row r="262" spans="2:13">
      <c r="L262"/>
      <c r="M262"/>
    </row>
    <row r="263" spans="2:13">
      <c r="L263"/>
      <c r="M263"/>
    </row>
    <row r="264" spans="2:13">
      <c r="L264"/>
      <c r="M264"/>
    </row>
    <row r="265" spans="2:13">
      <c r="L265"/>
      <c r="M265"/>
    </row>
    <row r="266" spans="2:13">
      <c r="L266"/>
      <c r="M266"/>
    </row>
    <row r="267" spans="2:13">
      <c r="L267"/>
      <c r="M267"/>
    </row>
    <row r="268" spans="2:13">
      <c r="L268"/>
      <c r="M268"/>
    </row>
    <row r="269" spans="2:13">
      <c r="L269"/>
      <c r="M269"/>
    </row>
    <row r="270" spans="2:13">
      <c r="L270"/>
      <c r="M270"/>
    </row>
    <row r="271" spans="2:13">
      <c r="L271"/>
      <c r="M271"/>
    </row>
    <row r="272" spans="2:13">
      <c r="L272"/>
      <c r="M272"/>
    </row>
    <row r="273" spans="12:13">
      <c r="L273"/>
      <c r="M273"/>
    </row>
    <row r="274" spans="12:13">
      <c r="L274"/>
      <c r="M274"/>
    </row>
    <row r="275" spans="12:13">
      <c r="L275"/>
      <c r="M275"/>
    </row>
    <row r="276" spans="12:13">
      <c r="L276"/>
      <c r="M276"/>
    </row>
    <row r="277" spans="12:13">
      <c r="L277"/>
      <c r="M277"/>
    </row>
    <row r="278" spans="12:13">
      <c r="L278"/>
      <c r="M278"/>
    </row>
    <row r="279" spans="12:13">
      <c r="L279"/>
      <c r="M279"/>
    </row>
    <row r="280" spans="12:13">
      <c r="L280"/>
      <c r="M280"/>
    </row>
    <row r="281" spans="12:13">
      <c r="L281"/>
      <c r="M281"/>
    </row>
    <row r="282" spans="12:13">
      <c r="L282"/>
      <c r="M282"/>
    </row>
    <row r="283" spans="12:13">
      <c r="L283"/>
      <c r="M283"/>
    </row>
    <row r="284" spans="12:13">
      <c r="L284"/>
      <c r="M284"/>
    </row>
    <row r="285" spans="12:13">
      <c r="L285"/>
      <c r="M285"/>
    </row>
    <row r="286" spans="12:13">
      <c r="L286"/>
      <c r="M286"/>
    </row>
    <row r="287" spans="12:13">
      <c r="L287"/>
      <c r="M287"/>
    </row>
    <row r="288" spans="12:13">
      <c r="L288"/>
      <c r="M288"/>
    </row>
    <row r="289" spans="12:13">
      <c r="L289"/>
      <c r="M289"/>
    </row>
    <row r="290" spans="12:13">
      <c r="L290"/>
      <c r="M290"/>
    </row>
    <row r="291" spans="12:13">
      <c r="L291"/>
      <c r="M291"/>
    </row>
    <row r="292" spans="12:13">
      <c r="L292"/>
      <c r="M292"/>
    </row>
    <row r="293" spans="12:13">
      <c r="L293"/>
      <c r="M293"/>
    </row>
    <row r="294" spans="12:13">
      <c r="L294"/>
      <c r="M294"/>
    </row>
    <row r="295" spans="12:13">
      <c r="L295"/>
      <c r="M295"/>
    </row>
    <row r="296" spans="12:13">
      <c r="L296"/>
      <c r="M296"/>
    </row>
    <row r="297" spans="12:13">
      <c r="L297"/>
      <c r="M297"/>
    </row>
    <row r="298" spans="12:13">
      <c r="L298"/>
      <c r="M298"/>
    </row>
    <row r="299" spans="12:13">
      <c r="L299"/>
      <c r="M299"/>
    </row>
    <row r="300" spans="12:13">
      <c r="L300"/>
      <c r="M300"/>
    </row>
    <row r="301" spans="12:13">
      <c r="L301"/>
      <c r="M301"/>
    </row>
    <row r="302" spans="12:13">
      <c r="L302"/>
      <c r="M302"/>
    </row>
    <row r="303" spans="12:13">
      <c r="L303"/>
      <c r="M303"/>
    </row>
    <row r="304" spans="12:13">
      <c r="L304"/>
      <c r="M304"/>
    </row>
    <row r="305" spans="12:13">
      <c r="L305"/>
      <c r="M305"/>
    </row>
    <row r="306" spans="12:13">
      <c r="L306"/>
      <c r="M306"/>
    </row>
    <row r="307" spans="12:13">
      <c r="L307"/>
      <c r="M307"/>
    </row>
    <row r="308" spans="12:13">
      <c r="L308"/>
      <c r="M308"/>
    </row>
    <row r="309" spans="12:13">
      <c r="L309"/>
      <c r="M309"/>
    </row>
    <row r="310" spans="12:13">
      <c r="L310"/>
      <c r="M310"/>
    </row>
    <row r="311" spans="12:13">
      <c r="L311"/>
      <c r="M311"/>
    </row>
    <row r="312" spans="12:13">
      <c r="L312"/>
      <c r="M312"/>
    </row>
    <row r="313" spans="12:13">
      <c r="L313"/>
      <c r="M313"/>
    </row>
    <row r="314" spans="12:13">
      <c r="L314"/>
      <c r="M314"/>
    </row>
    <row r="315" spans="12:13">
      <c r="L315"/>
      <c r="M315"/>
    </row>
    <row r="316" spans="12:13">
      <c r="L316"/>
      <c r="M316"/>
    </row>
    <row r="317" spans="12:13">
      <c r="L317"/>
      <c r="M317"/>
    </row>
    <row r="318" spans="12:13">
      <c r="L318"/>
      <c r="M318"/>
    </row>
    <row r="319" spans="12:13">
      <c r="L319"/>
      <c r="M319"/>
    </row>
    <row r="320" spans="12:13">
      <c r="L320"/>
      <c r="M320"/>
    </row>
    <row r="321" spans="12:13">
      <c r="L321"/>
      <c r="M321"/>
    </row>
    <row r="322" spans="12:13">
      <c r="L322"/>
      <c r="M322"/>
    </row>
    <row r="323" spans="12:13">
      <c r="L323"/>
      <c r="M323"/>
    </row>
    <row r="324" spans="12:13">
      <c r="L324"/>
      <c r="M324"/>
    </row>
    <row r="325" spans="12:13">
      <c r="L325"/>
      <c r="M325"/>
    </row>
    <row r="326" spans="12:13">
      <c r="L326"/>
      <c r="M326"/>
    </row>
    <row r="327" spans="12:13">
      <c r="L327"/>
      <c r="M327"/>
    </row>
    <row r="328" spans="12:13">
      <c r="L328"/>
      <c r="M328"/>
    </row>
    <row r="329" spans="12:13">
      <c r="L329"/>
      <c r="M329"/>
    </row>
    <row r="330" spans="12:13">
      <c r="L330"/>
      <c r="M330"/>
    </row>
    <row r="331" spans="12:13">
      <c r="L331"/>
      <c r="M331"/>
    </row>
    <row r="332" spans="12:13">
      <c r="L332"/>
      <c r="M332"/>
    </row>
    <row r="333" spans="12:13">
      <c r="L333"/>
      <c r="M333"/>
    </row>
    <row r="334" spans="12:13">
      <c r="L334"/>
      <c r="M334"/>
    </row>
    <row r="335" spans="12:13">
      <c r="L335"/>
      <c r="M335"/>
    </row>
    <row r="336" spans="12:13">
      <c r="L336"/>
      <c r="M336"/>
    </row>
    <row r="337" spans="12:13">
      <c r="L337"/>
      <c r="M337"/>
    </row>
    <row r="338" spans="12:13">
      <c r="L338"/>
      <c r="M338"/>
    </row>
    <row r="339" spans="12:13">
      <c r="L339"/>
      <c r="M339"/>
    </row>
    <row r="340" spans="12:13">
      <c r="L340"/>
      <c r="M340"/>
    </row>
    <row r="341" spans="12:13">
      <c r="L341"/>
      <c r="M341"/>
    </row>
    <row r="342" spans="12:13">
      <c r="L342"/>
      <c r="M342"/>
    </row>
    <row r="343" spans="12:13">
      <c r="L343"/>
      <c r="M343"/>
    </row>
    <row r="344" spans="12:13">
      <c r="L344"/>
      <c r="M344"/>
    </row>
    <row r="345" spans="12:13">
      <c r="L345"/>
      <c r="M345"/>
    </row>
    <row r="346" spans="12:13">
      <c r="L346"/>
      <c r="M346"/>
    </row>
    <row r="347" spans="12:13">
      <c r="L347"/>
      <c r="M347"/>
    </row>
    <row r="348" spans="12:13">
      <c r="L348"/>
      <c r="M348"/>
    </row>
    <row r="349" spans="12:13">
      <c r="L349"/>
      <c r="M349"/>
    </row>
    <row r="350" spans="12:13">
      <c r="L350"/>
      <c r="M350"/>
    </row>
    <row r="351" spans="12:13">
      <c r="L351"/>
      <c r="M351"/>
    </row>
    <row r="352" spans="12:13">
      <c r="L352"/>
      <c r="M352"/>
    </row>
    <row r="353" spans="12:13">
      <c r="L353"/>
      <c r="M353"/>
    </row>
    <row r="354" spans="12:13">
      <c r="L354"/>
      <c r="M354"/>
    </row>
    <row r="355" spans="12:13">
      <c r="L355"/>
      <c r="M355"/>
    </row>
    <row r="356" spans="12:13">
      <c r="L356"/>
      <c r="M356"/>
    </row>
    <row r="357" spans="12:13">
      <c r="L357"/>
      <c r="M357"/>
    </row>
    <row r="358" spans="12:13">
      <c r="L358"/>
      <c r="M358"/>
    </row>
    <row r="359" spans="12:13">
      <c r="L359"/>
      <c r="M359"/>
    </row>
    <row r="360" spans="12:13">
      <c r="L360"/>
      <c r="M360"/>
    </row>
    <row r="361" spans="12:13">
      <c r="L361"/>
      <c r="M361"/>
    </row>
    <row r="362" spans="12:13">
      <c r="L362"/>
      <c r="M362"/>
    </row>
    <row r="363" spans="12:13">
      <c r="L363"/>
      <c r="M363"/>
    </row>
    <row r="364" spans="12:13">
      <c r="L364"/>
      <c r="M364"/>
    </row>
    <row r="365" spans="12:13">
      <c r="L365"/>
      <c r="M365"/>
    </row>
    <row r="366" spans="12:13">
      <c r="L366"/>
      <c r="M366"/>
    </row>
    <row r="367" spans="12:13">
      <c r="L367"/>
      <c r="M367"/>
    </row>
    <row r="368" spans="12:13">
      <c r="L368"/>
      <c r="M368"/>
    </row>
    <row r="369" spans="12:13">
      <c r="L369"/>
      <c r="M369"/>
    </row>
    <row r="370" spans="12:13">
      <c r="L370"/>
      <c r="M370"/>
    </row>
    <row r="371" spans="12:13">
      <c r="L371"/>
      <c r="M371"/>
    </row>
    <row r="372" spans="12:13">
      <c r="L372"/>
      <c r="M372"/>
    </row>
    <row r="373" spans="12:13">
      <c r="L373"/>
      <c r="M373"/>
    </row>
    <row r="374" spans="12:13">
      <c r="L374"/>
      <c r="M374"/>
    </row>
    <row r="375" spans="12:13">
      <c r="L375"/>
      <c r="M375"/>
    </row>
    <row r="376" spans="12:13">
      <c r="L376"/>
      <c r="M376"/>
    </row>
    <row r="377" spans="12:13">
      <c r="L377"/>
      <c r="M377"/>
    </row>
    <row r="378" spans="12:13">
      <c r="L378"/>
      <c r="M378"/>
    </row>
    <row r="379" spans="12:13">
      <c r="L379"/>
      <c r="M379"/>
    </row>
    <row r="380" spans="12:13">
      <c r="L380"/>
      <c r="M380"/>
    </row>
    <row r="381" spans="12:13">
      <c r="L381"/>
      <c r="M381"/>
    </row>
    <row r="382" spans="12:13">
      <c r="L382"/>
      <c r="M382"/>
    </row>
    <row r="383" spans="12:13">
      <c r="L383"/>
      <c r="M383"/>
    </row>
    <row r="384" spans="12:13">
      <c r="L384"/>
      <c r="M384"/>
    </row>
    <row r="385" spans="12:13">
      <c r="L385"/>
      <c r="M385"/>
    </row>
    <row r="386" spans="12:13">
      <c r="L386"/>
      <c r="M386"/>
    </row>
    <row r="387" spans="12:13">
      <c r="L387"/>
      <c r="M387"/>
    </row>
    <row r="388" spans="12:13">
      <c r="L388"/>
      <c r="M388"/>
    </row>
    <row r="389" spans="12:13">
      <c r="L389"/>
      <c r="M389"/>
    </row>
    <row r="390" spans="12:13">
      <c r="L390"/>
      <c r="M390"/>
    </row>
    <row r="391" spans="12:13">
      <c r="L391"/>
      <c r="M391"/>
    </row>
    <row r="392" spans="12:13">
      <c r="L392"/>
      <c r="M392"/>
    </row>
    <row r="393" spans="12:13">
      <c r="L393"/>
      <c r="M393"/>
    </row>
    <row r="394" spans="12:13">
      <c r="L394"/>
      <c r="M394"/>
    </row>
    <row r="395" spans="12:13">
      <c r="L395"/>
      <c r="M395"/>
    </row>
    <row r="396" spans="12:13">
      <c r="L396"/>
      <c r="M396"/>
    </row>
    <row r="397" spans="12:13">
      <c r="L397"/>
      <c r="M397"/>
    </row>
    <row r="398" spans="12:13">
      <c r="L398"/>
      <c r="M398"/>
    </row>
    <row r="399" spans="12:13">
      <c r="L399"/>
      <c r="M399"/>
    </row>
    <row r="400" spans="12:13">
      <c r="L400"/>
      <c r="M400"/>
    </row>
    <row r="401" spans="12:13">
      <c r="L401"/>
      <c r="M401"/>
    </row>
    <row r="402" spans="12:13">
      <c r="L402"/>
      <c r="M402"/>
    </row>
    <row r="403" spans="12:13">
      <c r="L403"/>
      <c r="M403"/>
    </row>
    <row r="404" spans="12:13">
      <c r="L404"/>
      <c r="M404"/>
    </row>
    <row r="405" spans="12:13">
      <c r="L405"/>
      <c r="M405"/>
    </row>
    <row r="406" spans="12:13">
      <c r="L406"/>
      <c r="M406"/>
    </row>
    <row r="407" spans="12:13">
      <c r="L407"/>
      <c r="M407"/>
    </row>
    <row r="408" spans="12:13">
      <c r="L408"/>
      <c r="M408"/>
    </row>
    <row r="409" spans="12:13">
      <c r="L409"/>
      <c r="M409"/>
    </row>
    <row r="410" spans="12:13">
      <c r="L410"/>
      <c r="M410"/>
    </row>
    <row r="411" spans="12:13">
      <c r="L411"/>
      <c r="M411"/>
    </row>
    <row r="412" spans="12:13">
      <c r="L412"/>
      <c r="M412"/>
    </row>
    <row r="413" spans="12:13">
      <c r="L413"/>
      <c r="M413"/>
    </row>
    <row r="414" spans="12:13">
      <c r="L414"/>
      <c r="M414"/>
    </row>
    <row r="415" spans="12:13">
      <c r="L415"/>
      <c r="M415"/>
    </row>
    <row r="416" spans="12:13">
      <c r="L416"/>
      <c r="M416"/>
    </row>
    <row r="417" spans="12:13">
      <c r="L417"/>
      <c r="M417"/>
    </row>
    <row r="418" spans="12:13">
      <c r="L418"/>
      <c r="M418"/>
    </row>
    <row r="419" spans="12:13">
      <c r="L419"/>
      <c r="M419"/>
    </row>
    <row r="420" spans="12:13">
      <c r="L420"/>
      <c r="M420"/>
    </row>
    <row r="421" spans="12:13">
      <c r="L421"/>
      <c r="M421"/>
    </row>
    <row r="422" spans="12:13">
      <c r="L422"/>
      <c r="M422"/>
    </row>
    <row r="423" spans="12:13">
      <c r="L423"/>
      <c r="M423"/>
    </row>
    <row r="424" spans="12:13">
      <c r="L424"/>
      <c r="M424"/>
    </row>
    <row r="425" spans="12:13">
      <c r="L425"/>
      <c r="M425"/>
    </row>
    <row r="426" spans="12:13">
      <c r="L426"/>
      <c r="M426"/>
    </row>
    <row r="427" spans="12:13">
      <c r="L427"/>
      <c r="M427"/>
    </row>
    <row r="428" spans="12:13">
      <c r="L428"/>
      <c r="M428"/>
    </row>
    <row r="429" spans="12:13">
      <c r="L429"/>
      <c r="M429"/>
    </row>
    <row r="430" spans="12:13">
      <c r="L430"/>
      <c r="M430"/>
    </row>
    <row r="431" spans="12:13">
      <c r="L431"/>
      <c r="M431"/>
    </row>
    <row r="432" spans="12:13">
      <c r="L432"/>
      <c r="M432"/>
    </row>
    <row r="433" spans="12:13">
      <c r="L433"/>
      <c r="M433"/>
    </row>
    <row r="434" spans="12:13">
      <c r="L434"/>
      <c r="M434"/>
    </row>
    <row r="435" spans="12:13">
      <c r="L435"/>
      <c r="M435"/>
    </row>
    <row r="436" spans="12:13">
      <c r="L436"/>
      <c r="M436"/>
    </row>
    <row r="437" spans="12:13">
      <c r="L437"/>
      <c r="M437"/>
    </row>
    <row r="438" spans="12:13">
      <c r="L438"/>
      <c r="M438"/>
    </row>
    <row r="439" spans="12:13">
      <c r="L439"/>
      <c r="M439"/>
    </row>
    <row r="440" spans="12:13">
      <c r="L440"/>
      <c r="M440"/>
    </row>
    <row r="441" spans="12:13">
      <c r="L441"/>
      <c r="M441"/>
    </row>
    <row r="442" spans="12:13">
      <c r="L442"/>
      <c r="M442"/>
    </row>
    <row r="443" spans="12:13">
      <c r="L443"/>
      <c r="M443"/>
    </row>
    <row r="444" spans="12:13">
      <c r="L444"/>
      <c r="M444"/>
    </row>
    <row r="445" spans="12:13">
      <c r="L445"/>
      <c r="M445"/>
    </row>
    <row r="446" spans="12:13">
      <c r="L446"/>
      <c r="M446"/>
    </row>
    <row r="447" spans="12:13">
      <c r="L447"/>
      <c r="M447"/>
    </row>
    <row r="448" spans="12:13">
      <c r="L448"/>
      <c r="M448"/>
    </row>
    <row r="449" spans="2:13">
      <c r="L449"/>
      <c r="M449"/>
    </row>
    <row r="450" spans="2:13">
      <c r="L450"/>
      <c r="M450"/>
    </row>
    <row r="451" spans="2:13">
      <c r="L451"/>
      <c r="M451"/>
    </row>
    <row r="452" spans="2:13">
      <c r="L452"/>
      <c r="M452"/>
    </row>
    <row r="453" spans="2:13">
      <c r="L453"/>
      <c r="M453"/>
    </row>
    <row r="454" spans="2:13">
      <c r="L454"/>
      <c r="M454"/>
    </row>
    <row r="455" spans="2:13">
      <c r="L455"/>
      <c r="M455"/>
    </row>
    <row r="456" spans="2:13">
      <c r="L456"/>
      <c r="M456"/>
    </row>
    <row r="457" spans="2:13">
      <c r="L457"/>
      <c r="M457"/>
    </row>
    <row r="458" spans="2:13">
      <c r="L458"/>
      <c r="M458"/>
    </row>
    <row r="459" spans="2:13">
      <c r="L459"/>
      <c r="M459"/>
    </row>
    <row r="460" spans="2:13">
      <c r="L460"/>
      <c r="M460"/>
    </row>
    <row r="461" spans="2:13">
      <c r="L461"/>
      <c r="M461"/>
    </row>
    <row r="462" spans="2:13">
      <c r="L462"/>
      <c r="M462"/>
    </row>
    <row r="463" spans="2:13">
      <c r="L463"/>
      <c r="M463"/>
    </row>
    <row r="464" spans="2:13">
      <c r="B464" t="str">
        <f t="shared" ref="B464" si="41">MID(F464,8,2)</f>
        <v/>
      </c>
      <c r="C464" t="str">
        <f t="shared" ref="C464" si="42">MID(F464,11,2)</f>
        <v/>
      </c>
      <c r="E464" s="5"/>
      <c r="L464"/>
      <c r="M464"/>
    </row>
    <row r="465" spans="12:13">
      <c r="L465"/>
      <c r="M465"/>
    </row>
    <row r="466" spans="12:13">
      <c r="L466"/>
      <c r="M466"/>
    </row>
    <row r="467" spans="12:13">
      <c r="L467"/>
      <c r="M467"/>
    </row>
    <row r="468" spans="12:13">
      <c r="L468"/>
      <c r="M468"/>
    </row>
    <row r="469" spans="12:13">
      <c r="L469"/>
      <c r="M469"/>
    </row>
    <row r="470" spans="12:13">
      <c r="L470"/>
      <c r="M470"/>
    </row>
    <row r="471" spans="12:13">
      <c r="L471"/>
      <c r="M471"/>
    </row>
    <row r="472" spans="12:13">
      <c r="L472"/>
      <c r="M472"/>
    </row>
    <row r="473" spans="12:13">
      <c r="L473"/>
      <c r="M473"/>
    </row>
    <row r="474" spans="12:13">
      <c r="L474"/>
      <c r="M474"/>
    </row>
    <row r="475" spans="12:13">
      <c r="L475"/>
      <c r="M475"/>
    </row>
    <row r="476" spans="12:13">
      <c r="L476"/>
      <c r="M476"/>
    </row>
    <row r="477" spans="12:13">
      <c r="L477"/>
      <c r="M477"/>
    </row>
    <row r="478" spans="12:13">
      <c r="L478"/>
      <c r="M478"/>
    </row>
    <row r="479" spans="12:13">
      <c r="L479"/>
      <c r="M479"/>
    </row>
    <row r="480" spans="12:13">
      <c r="L480"/>
      <c r="M480"/>
    </row>
    <row r="481" spans="12:13">
      <c r="L481"/>
      <c r="M481"/>
    </row>
    <row r="482" spans="12:13">
      <c r="L482"/>
      <c r="M482"/>
    </row>
    <row r="483" spans="12:13">
      <c r="L483"/>
      <c r="M483"/>
    </row>
    <row r="484" spans="12:13">
      <c r="L484"/>
      <c r="M484"/>
    </row>
    <row r="485" spans="12:13">
      <c r="L485"/>
      <c r="M485"/>
    </row>
    <row r="486" spans="12:13">
      <c r="L486"/>
      <c r="M486"/>
    </row>
    <row r="487" spans="12:13">
      <c r="L487"/>
      <c r="M487"/>
    </row>
    <row r="488" spans="12:13">
      <c r="L488"/>
      <c r="M488"/>
    </row>
    <row r="489" spans="12:13">
      <c r="L489"/>
      <c r="M489"/>
    </row>
    <row r="490" spans="12:13">
      <c r="L490"/>
      <c r="M490"/>
    </row>
    <row r="491" spans="12:13">
      <c r="L491"/>
      <c r="M491"/>
    </row>
    <row r="492" spans="12:13">
      <c r="L492"/>
      <c r="M492"/>
    </row>
    <row r="493" spans="12:13">
      <c r="L493"/>
      <c r="M493"/>
    </row>
    <row r="494" spans="12:13">
      <c r="L494"/>
      <c r="M494"/>
    </row>
    <row r="495" spans="12:13">
      <c r="L495"/>
      <c r="M495"/>
    </row>
    <row r="496" spans="12:13">
      <c r="L496"/>
      <c r="M496"/>
    </row>
    <row r="497" spans="12:13">
      <c r="L497"/>
      <c r="M497"/>
    </row>
    <row r="498" spans="12:13">
      <c r="L498"/>
      <c r="M498"/>
    </row>
    <row r="499" spans="12:13">
      <c r="L499"/>
      <c r="M499"/>
    </row>
    <row r="500" spans="12:13">
      <c r="L500"/>
      <c r="M500"/>
    </row>
    <row r="501" spans="12:13">
      <c r="L501"/>
      <c r="M501"/>
    </row>
    <row r="502" spans="12:13">
      <c r="L502"/>
      <c r="M502"/>
    </row>
    <row r="503" spans="12:13">
      <c r="L503"/>
      <c r="M503"/>
    </row>
    <row r="504" spans="12:13">
      <c r="L504"/>
      <c r="M504"/>
    </row>
    <row r="505" spans="12:13">
      <c r="L505"/>
      <c r="M505"/>
    </row>
    <row r="506" spans="12:13">
      <c r="L506"/>
      <c r="M506"/>
    </row>
    <row r="507" spans="12:13">
      <c r="L507"/>
      <c r="M507"/>
    </row>
    <row r="508" spans="12:13">
      <c r="L508"/>
      <c r="M508"/>
    </row>
    <row r="509" spans="12:13">
      <c r="L509"/>
      <c r="M509"/>
    </row>
    <row r="510" spans="12:13">
      <c r="L510"/>
      <c r="M510"/>
    </row>
    <row r="511" spans="12:13">
      <c r="L511"/>
      <c r="M511"/>
    </row>
    <row r="512" spans="12:13">
      <c r="L512"/>
      <c r="M512"/>
    </row>
    <row r="513" spans="12:13">
      <c r="L513"/>
      <c r="M513"/>
    </row>
    <row r="514" spans="12:13">
      <c r="L514"/>
      <c r="M514"/>
    </row>
    <row r="515" spans="12:13">
      <c r="L515"/>
      <c r="M515"/>
    </row>
    <row r="516" spans="12:13">
      <c r="L516"/>
      <c r="M516"/>
    </row>
    <row r="517" spans="12:13">
      <c r="L517"/>
      <c r="M517"/>
    </row>
    <row r="518" spans="12:13">
      <c r="L518"/>
      <c r="M518"/>
    </row>
    <row r="519" spans="12:13">
      <c r="L519"/>
      <c r="M519"/>
    </row>
    <row r="520" spans="12:13">
      <c r="L520"/>
      <c r="M520"/>
    </row>
    <row r="521" spans="12:13">
      <c r="L521"/>
      <c r="M521"/>
    </row>
    <row r="522" spans="12:13">
      <c r="L522"/>
      <c r="M522"/>
    </row>
    <row r="523" spans="12:13">
      <c r="L523"/>
      <c r="M523"/>
    </row>
    <row r="524" spans="12:13">
      <c r="L524"/>
      <c r="M524"/>
    </row>
    <row r="525" spans="12:13">
      <c r="L525"/>
      <c r="M525"/>
    </row>
    <row r="526" spans="12:13">
      <c r="L526"/>
      <c r="M526"/>
    </row>
    <row r="527" spans="12:13">
      <c r="L527"/>
      <c r="M527"/>
    </row>
    <row r="528" spans="12:13">
      <c r="L528"/>
      <c r="M528"/>
    </row>
    <row r="529" spans="12:13">
      <c r="L529"/>
      <c r="M529"/>
    </row>
    <row r="530" spans="12:13">
      <c r="L530"/>
      <c r="M530"/>
    </row>
    <row r="531" spans="12:13">
      <c r="L531"/>
      <c r="M531"/>
    </row>
    <row r="532" spans="12:13">
      <c r="L532"/>
      <c r="M532"/>
    </row>
    <row r="533" spans="12:13">
      <c r="L533"/>
      <c r="M533"/>
    </row>
    <row r="534" spans="12:13">
      <c r="L534"/>
      <c r="M534"/>
    </row>
    <row r="535" spans="12:13">
      <c r="L535"/>
      <c r="M535"/>
    </row>
    <row r="536" spans="12:13">
      <c r="L536"/>
      <c r="M536"/>
    </row>
    <row r="537" spans="12:13">
      <c r="L537"/>
      <c r="M537"/>
    </row>
    <row r="538" spans="12:13">
      <c r="L538"/>
      <c r="M538"/>
    </row>
    <row r="539" spans="12:13">
      <c r="L539"/>
      <c r="M539"/>
    </row>
    <row r="540" spans="12:13">
      <c r="L540"/>
      <c r="M540"/>
    </row>
    <row r="541" spans="12:13">
      <c r="L541"/>
      <c r="M541"/>
    </row>
    <row r="542" spans="12:13">
      <c r="L542"/>
      <c r="M542"/>
    </row>
    <row r="543" spans="12:13">
      <c r="L543"/>
      <c r="M543"/>
    </row>
    <row r="544" spans="12:13">
      <c r="L544"/>
      <c r="M544"/>
    </row>
    <row r="545" spans="12:13">
      <c r="L545"/>
      <c r="M545"/>
    </row>
    <row r="546" spans="12:13">
      <c r="L546"/>
      <c r="M546"/>
    </row>
    <row r="547" spans="12:13">
      <c r="L547"/>
      <c r="M547"/>
    </row>
    <row r="548" spans="12:13">
      <c r="L548"/>
      <c r="M548"/>
    </row>
    <row r="549" spans="12:13">
      <c r="L549"/>
      <c r="M549"/>
    </row>
    <row r="550" spans="12:13">
      <c r="L550"/>
      <c r="M550"/>
    </row>
    <row r="551" spans="12:13">
      <c r="L551"/>
      <c r="M551"/>
    </row>
    <row r="552" spans="12:13">
      <c r="L552"/>
      <c r="M552"/>
    </row>
    <row r="553" spans="12:13">
      <c r="L553"/>
      <c r="M553"/>
    </row>
    <row r="554" spans="12:13">
      <c r="L554"/>
      <c r="M554"/>
    </row>
    <row r="555" spans="12:13">
      <c r="L555"/>
      <c r="M555"/>
    </row>
    <row r="556" spans="12:13">
      <c r="L556"/>
      <c r="M556"/>
    </row>
    <row r="557" spans="12:13">
      <c r="L557"/>
      <c r="M557"/>
    </row>
    <row r="558" spans="12:13">
      <c r="L558"/>
      <c r="M558"/>
    </row>
    <row r="559" spans="12:13">
      <c r="L559"/>
      <c r="M559"/>
    </row>
    <row r="560" spans="12:13">
      <c r="L560"/>
      <c r="M560"/>
    </row>
    <row r="561" spans="12:13">
      <c r="L561"/>
      <c r="M561"/>
    </row>
    <row r="562" spans="12:13">
      <c r="L562"/>
      <c r="M562"/>
    </row>
    <row r="563" spans="12:13">
      <c r="L563"/>
      <c r="M563"/>
    </row>
    <row r="564" spans="12:13">
      <c r="L564"/>
      <c r="M564"/>
    </row>
    <row r="565" spans="12:13">
      <c r="L565"/>
      <c r="M565"/>
    </row>
    <row r="566" spans="12:13">
      <c r="L566"/>
      <c r="M566"/>
    </row>
    <row r="567" spans="12:13">
      <c r="L567"/>
      <c r="M567"/>
    </row>
    <row r="568" spans="12:13">
      <c r="L568"/>
      <c r="M568"/>
    </row>
    <row r="569" spans="12:13">
      <c r="L569"/>
      <c r="M569"/>
    </row>
    <row r="570" spans="12:13">
      <c r="L570"/>
      <c r="M570"/>
    </row>
    <row r="571" spans="12:13">
      <c r="L571"/>
      <c r="M571"/>
    </row>
    <row r="572" spans="12:13">
      <c r="L572"/>
      <c r="M572"/>
    </row>
    <row r="573" spans="12:13">
      <c r="L573"/>
      <c r="M573"/>
    </row>
    <row r="574" spans="12:13">
      <c r="L574"/>
      <c r="M574"/>
    </row>
    <row r="575" spans="12:13">
      <c r="L575"/>
      <c r="M575"/>
    </row>
    <row r="576" spans="12:13">
      <c r="L576"/>
      <c r="M576"/>
    </row>
    <row r="577" spans="12:13">
      <c r="L577"/>
      <c r="M577"/>
    </row>
    <row r="578" spans="12:13">
      <c r="L578"/>
      <c r="M578"/>
    </row>
    <row r="579" spans="12:13">
      <c r="L579"/>
      <c r="M579"/>
    </row>
    <row r="580" spans="12:13">
      <c r="L580"/>
      <c r="M580"/>
    </row>
    <row r="581" spans="12:13">
      <c r="L581"/>
      <c r="M581"/>
    </row>
    <row r="582" spans="12:13">
      <c r="L582"/>
      <c r="M582"/>
    </row>
    <row r="583" spans="12:13">
      <c r="L583"/>
      <c r="M583"/>
    </row>
    <row r="584" spans="12:13">
      <c r="L584"/>
      <c r="M584"/>
    </row>
    <row r="585" spans="12:13">
      <c r="L585"/>
      <c r="M585"/>
    </row>
    <row r="586" spans="12:13">
      <c r="L586"/>
      <c r="M586"/>
    </row>
    <row r="587" spans="12:13">
      <c r="L587"/>
      <c r="M587"/>
    </row>
    <row r="588" spans="12:13">
      <c r="L588"/>
      <c r="M588"/>
    </row>
    <row r="589" spans="12:13">
      <c r="L589"/>
      <c r="M589"/>
    </row>
    <row r="590" spans="12:13">
      <c r="L590"/>
      <c r="M590"/>
    </row>
    <row r="591" spans="12:13">
      <c r="L591"/>
      <c r="M591"/>
    </row>
    <row r="592" spans="12:13">
      <c r="L592"/>
      <c r="M592"/>
    </row>
    <row r="593" spans="12:13">
      <c r="L593"/>
      <c r="M593"/>
    </row>
    <row r="594" spans="12:13">
      <c r="L594"/>
      <c r="M594"/>
    </row>
    <row r="595" spans="12:13">
      <c r="L595"/>
      <c r="M595"/>
    </row>
    <row r="596" spans="12:13">
      <c r="L596"/>
      <c r="M596"/>
    </row>
    <row r="597" spans="12:13">
      <c r="L597"/>
      <c r="M597"/>
    </row>
    <row r="598" spans="12:13">
      <c r="L598"/>
      <c r="M598"/>
    </row>
    <row r="599" spans="12:13">
      <c r="L599"/>
      <c r="M599"/>
    </row>
    <row r="600" spans="12:13">
      <c r="L600"/>
      <c r="M600"/>
    </row>
    <row r="601" spans="12:13">
      <c r="L601"/>
      <c r="M601"/>
    </row>
    <row r="602" spans="12:13">
      <c r="L602"/>
      <c r="M602"/>
    </row>
    <row r="603" spans="12:13">
      <c r="L603"/>
      <c r="M603"/>
    </row>
    <row r="604" spans="12:13">
      <c r="L604"/>
      <c r="M604"/>
    </row>
    <row r="605" spans="12:13">
      <c r="L605"/>
      <c r="M605"/>
    </row>
    <row r="606" spans="12:13">
      <c r="L606"/>
      <c r="M606"/>
    </row>
    <row r="607" spans="12:13">
      <c r="L607"/>
      <c r="M607"/>
    </row>
    <row r="608" spans="12:13">
      <c r="L608"/>
      <c r="M608"/>
    </row>
    <row r="609" spans="12:13">
      <c r="L609"/>
      <c r="M609"/>
    </row>
    <row r="610" spans="12:13">
      <c r="L610"/>
      <c r="M610"/>
    </row>
    <row r="611" spans="12:13">
      <c r="L611"/>
      <c r="M611"/>
    </row>
    <row r="612" spans="12:13">
      <c r="L612"/>
      <c r="M612"/>
    </row>
    <row r="613" spans="12:13">
      <c r="L613"/>
      <c r="M613"/>
    </row>
    <row r="614" spans="12:13">
      <c r="L614"/>
      <c r="M614"/>
    </row>
    <row r="615" spans="12:13">
      <c r="L615"/>
      <c r="M615"/>
    </row>
    <row r="616" spans="12:13">
      <c r="L616"/>
      <c r="M616"/>
    </row>
    <row r="617" spans="12:13">
      <c r="L617"/>
      <c r="M617"/>
    </row>
    <row r="618" spans="12:13">
      <c r="L618"/>
      <c r="M618"/>
    </row>
    <row r="619" spans="12:13">
      <c r="L619"/>
      <c r="M619"/>
    </row>
    <row r="620" spans="12:13">
      <c r="L620"/>
      <c r="M620"/>
    </row>
    <row r="621" spans="12:13">
      <c r="L621"/>
      <c r="M621"/>
    </row>
    <row r="622" spans="12:13">
      <c r="L622"/>
      <c r="M622"/>
    </row>
    <row r="623" spans="12:13">
      <c r="L623"/>
      <c r="M623"/>
    </row>
    <row r="624" spans="12:13">
      <c r="L624"/>
      <c r="M624"/>
    </row>
    <row r="625" spans="12:13">
      <c r="L625"/>
      <c r="M625"/>
    </row>
    <row r="626" spans="12:13">
      <c r="L626"/>
      <c r="M626"/>
    </row>
    <row r="627" spans="12:13">
      <c r="L627"/>
      <c r="M627"/>
    </row>
    <row r="628" spans="12:13">
      <c r="L628"/>
      <c r="M628"/>
    </row>
    <row r="629" spans="12:13">
      <c r="L629"/>
      <c r="M629"/>
    </row>
    <row r="630" spans="12:13">
      <c r="L630"/>
      <c r="M630"/>
    </row>
    <row r="631" spans="12:13">
      <c r="L631"/>
      <c r="M631"/>
    </row>
    <row r="632" spans="12:13">
      <c r="L632"/>
      <c r="M632"/>
    </row>
    <row r="633" spans="12:13">
      <c r="L633"/>
      <c r="M633"/>
    </row>
    <row r="634" spans="12:13">
      <c r="L634"/>
      <c r="M634"/>
    </row>
    <row r="635" spans="12:13">
      <c r="L635"/>
      <c r="M635"/>
    </row>
    <row r="636" spans="12:13">
      <c r="L636"/>
      <c r="M636"/>
    </row>
    <row r="637" spans="12:13">
      <c r="L637"/>
      <c r="M637"/>
    </row>
    <row r="638" spans="12:13">
      <c r="L638"/>
      <c r="M638"/>
    </row>
    <row r="639" spans="12:13">
      <c r="L639"/>
      <c r="M639"/>
    </row>
    <row r="640" spans="12:13">
      <c r="L640"/>
      <c r="M640"/>
    </row>
    <row r="641" spans="12:13">
      <c r="L641"/>
      <c r="M641"/>
    </row>
    <row r="642" spans="12:13">
      <c r="L642"/>
      <c r="M642"/>
    </row>
    <row r="643" spans="12:13">
      <c r="L643"/>
      <c r="M643"/>
    </row>
    <row r="644" spans="12:13">
      <c r="L644"/>
      <c r="M644"/>
    </row>
    <row r="645" spans="12:13">
      <c r="L645"/>
      <c r="M645"/>
    </row>
    <row r="646" spans="12:13">
      <c r="L646"/>
      <c r="M646"/>
    </row>
    <row r="647" spans="12:13">
      <c r="L647"/>
      <c r="M647"/>
    </row>
    <row r="648" spans="12:13">
      <c r="L648"/>
      <c r="M648"/>
    </row>
    <row r="649" spans="12:13">
      <c r="L649"/>
      <c r="M649"/>
    </row>
    <row r="650" spans="12:13">
      <c r="L650"/>
      <c r="M650"/>
    </row>
    <row r="651" spans="12:13">
      <c r="L651"/>
      <c r="M651"/>
    </row>
    <row r="652" spans="12:13">
      <c r="L652"/>
      <c r="M652"/>
    </row>
    <row r="653" spans="12:13">
      <c r="L653"/>
      <c r="M653"/>
    </row>
    <row r="654" spans="12:13">
      <c r="L654"/>
      <c r="M654"/>
    </row>
    <row r="655" spans="12:13">
      <c r="L655"/>
      <c r="M655"/>
    </row>
    <row r="656" spans="12:13">
      <c r="L656"/>
      <c r="M656"/>
    </row>
    <row r="657" spans="12:13">
      <c r="L657"/>
      <c r="M657"/>
    </row>
    <row r="658" spans="12:13">
      <c r="L658"/>
      <c r="M658"/>
    </row>
    <row r="659" spans="12:13">
      <c r="L659"/>
      <c r="M659"/>
    </row>
    <row r="660" spans="12:13">
      <c r="L660"/>
      <c r="M660"/>
    </row>
    <row r="661" spans="12:13">
      <c r="L661"/>
      <c r="M661"/>
    </row>
    <row r="662" spans="12:13">
      <c r="L662"/>
      <c r="M662"/>
    </row>
    <row r="663" spans="12:13">
      <c r="L663"/>
      <c r="M663"/>
    </row>
    <row r="664" spans="12:13">
      <c r="L664"/>
      <c r="M664"/>
    </row>
    <row r="665" spans="12:13">
      <c r="L665"/>
      <c r="M665"/>
    </row>
    <row r="666" spans="12:13">
      <c r="L666"/>
      <c r="M666"/>
    </row>
    <row r="667" spans="12:13">
      <c r="L667"/>
      <c r="M667"/>
    </row>
    <row r="668" spans="12:13">
      <c r="L668"/>
      <c r="M668"/>
    </row>
    <row r="669" spans="12:13">
      <c r="L669"/>
      <c r="M669"/>
    </row>
    <row r="670" spans="12:13">
      <c r="L670"/>
      <c r="M670"/>
    </row>
    <row r="671" spans="12:13">
      <c r="L671"/>
      <c r="M671"/>
    </row>
    <row r="672" spans="12:13">
      <c r="L672"/>
      <c r="M672"/>
    </row>
    <row r="673" spans="12:13">
      <c r="L673"/>
      <c r="M673"/>
    </row>
    <row r="674" spans="12:13">
      <c r="L674"/>
      <c r="M674"/>
    </row>
    <row r="675" spans="12:13">
      <c r="L675"/>
      <c r="M675"/>
    </row>
    <row r="676" spans="12:13">
      <c r="L676"/>
      <c r="M676"/>
    </row>
    <row r="677" spans="12:13">
      <c r="L677"/>
      <c r="M677"/>
    </row>
    <row r="678" spans="12:13">
      <c r="L678"/>
      <c r="M678"/>
    </row>
    <row r="679" spans="12:13">
      <c r="L679"/>
      <c r="M679"/>
    </row>
    <row r="680" spans="12:13">
      <c r="L680"/>
      <c r="M680"/>
    </row>
    <row r="681" spans="12:13">
      <c r="L681"/>
      <c r="M681"/>
    </row>
    <row r="682" spans="12:13">
      <c r="L682"/>
      <c r="M682"/>
    </row>
    <row r="683" spans="12:13">
      <c r="L683"/>
      <c r="M683"/>
    </row>
    <row r="684" spans="12:13">
      <c r="L684"/>
      <c r="M684"/>
    </row>
    <row r="685" spans="12:13">
      <c r="L685"/>
      <c r="M685"/>
    </row>
    <row r="686" spans="12:13">
      <c r="L686"/>
      <c r="M686"/>
    </row>
    <row r="687" spans="12:13">
      <c r="L687"/>
      <c r="M687"/>
    </row>
    <row r="688" spans="12:13">
      <c r="L688"/>
      <c r="M688"/>
    </row>
    <row r="689" spans="12:13">
      <c r="L689"/>
      <c r="M689"/>
    </row>
    <row r="690" spans="12:13">
      <c r="L690"/>
      <c r="M690"/>
    </row>
    <row r="691" spans="12:13">
      <c r="L691"/>
      <c r="M691"/>
    </row>
    <row r="692" spans="12:13">
      <c r="L692"/>
      <c r="M692"/>
    </row>
    <row r="693" spans="12:13">
      <c r="L693"/>
      <c r="M693"/>
    </row>
    <row r="694" spans="12:13">
      <c r="L694"/>
      <c r="M694"/>
    </row>
    <row r="695" spans="12:13">
      <c r="L695"/>
      <c r="M695"/>
    </row>
    <row r="696" spans="12:13">
      <c r="L696"/>
      <c r="M696"/>
    </row>
    <row r="697" spans="12:13">
      <c r="L697"/>
      <c r="M697"/>
    </row>
    <row r="698" spans="12:13">
      <c r="L698"/>
      <c r="M698"/>
    </row>
    <row r="699" spans="12:13">
      <c r="L699"/>
      <c r="M699"/>
    </row>
    <row r="700" spans="12:13">
      <c r="L700"/>
      <c r="M700"/>
    </row>
    <row r="701" spans="12:13">
      <c r="L701"/>
      <c r="M701"/>
    </row>
    <row r="702" spans="12:13">
      <c r="L702"/>
      <c r="M702"/>
    </row>
    <row r="703" spans="12:13">
      <c r="L703"/>
      <c r="M703"/>
    </row>
    <row r="704" spans="12:13">
      <c r="L704"/>
      <c r="M704"/>
    </row>
    <row r="705" spans="12:13">
      <c r="L705"/>
      <c r="M705"/>
    </row>
    <row r="706" spans="12:13">
      <c r="L706"/>
      <c r="M706"/>
    </row>
    <row r="707" spans="12:13">
      <c r="L707"/>
      <c r="M707"/>
    </row>
    <row r="708" spans="12:13">
      <c r="L708"/>
      <c r="M708"/>
    </row>
    <row r="709" spans="12:13">
      <c r="L709"/>
      <c r="M709"/>
    </row>
    <row r="710" spans="12:13">
      <c r="L710"/>
      <c r="M710"/>
    </row>
    <row r="711" spans="12:13">
      <c r="L711"/>
      <c r="M711"/>
    </row>
    <row r="712" spans="12:13">
      <c r="L712"/>
      <c r="M712"/>
    </row>
    <row r="713" spans="12:13">
      <c r="L713"/>
      <c r="M713"/>
    </row>
    <row r="714" spans="12:13">
      <c r="L714"/>
      <c r="M714"/>
    </row>
    <row r="715" spans="12:13">
      <c r="L715"/>
      <c r="M715"/>
    </row>
    <row r="716" spans="12:13">
      <c r="L716"/>
      <c r="M716"/>
    </row>
    <row r="717" spans="12:13">
      <c r="L717"/>
      <c r="M717"/>
    </row>
    <row r="718" spans="12:13">
      <c r="L718"/>
      <c r="M718"/>
    </row>
    <row r="719" spans="12:13">
      <c r="L719"/>
      <c r="M719"/>
    </row>
    <row r="720" spans="12:13">
      <c r="L720"/>
      <c r="M720"/>
    </row>
    <row r="721" spans="12:13">
      <c r="L721"/>
      <c r="M721"/>
    </row>
    <row r="722" spans="12:13">
      <c r="L722"/>
      <c r="M722"/>
    </row>
    <row r="723" spans="12:13">
      <c r="L723"/>
      <c r="M723"/>
    </row>
    <row r="724" spans="12:13">
      <c r="L724"/>
      <c r="M724"/>
    </row>
    <row r="725" spans="12:13">
      <c r="L725"/>
      <c r="M725"/>
    </row>
    <row r="726" spans="12:13">
      <c r="L726"/>
      <c r="M726"/>
    </row>
    <row r="727" spans="12:13">
      <c r="L727"/>
      <c r="M727"/>
    </row>
    <row r="728" spans="12:13">
      <c r="L728"/>
      <c r="M728"/>
    </row>
    <row r="729" spans="12:13">
      <c r="L729"/>
      <c r="M729"/>
    </row>
    <row r="730" spans="12:13">
      <c r="L730"/>
      <c r="M730"/>
    </row>
    <row r="731" spans="12:13">
      <c r="L731"/>
      <c r="M731"/>
    </row>
    <row r="732" spans="12:13">
      <c r="L732"/>
      <c r="M732"/>
    </row>
    <row r="733" spans="12:13">
      <c r="L733"/>
      <c r="M733"/>
    </row>
    <row r="734" spans="12:13">
      <c r="L734"/>
      <c r="M734"/>
    </row>
    <row r="735" spans="12:13">
      <c r="L735"/>
      <c r="M735"/>
    </row>
    <row r="736" spans="12:13">
      <c r="L736"/>
      <c r="M736"/>
    </row>
    <row r="737" spans="12:13">
      <c r="L737"/>
      <c r="M737"/>
    </row>
    <row r="738" spans="12:13">
      <c r="L738"/>
      <c r="M738"/>
    </row>
    <row r="739" spans="12:13">
      <c r="L739"/>
      <c r="M739"/>
    </row>
    <row r="740" spans="12:13">
      <c r="L740"/>
      <c r="M740"/>
    </row>
    <row r="741" spans="12:13">
      <c r="L741"/>
      <c r="M741"/>
    </row>
    <row r="742" spans="12:13">
      <c r="L742"/>
      <c r="M742"/>
    </row>
    <row r="743" spans="12:13">
      <c r="L743"/>
      <c r="M743"/>
    </row>
    <row r="744" spans="12:13">
      <c r="L744"/>
      <c r="M744"/>
    </row>
    <row r="745" spans="12:13">
      <c r="L745"/>
      <c r="M745"/>
    </row>
    <row r="746" spans="12:13">
      <c r="L746"/>
      <c r="M746"/>
    </row>
    <row r="747" spans="12:13">
      <c r="L747"/>
      <c r="M747"/>
    </row>
    <row r="748" spans="12:13">
      <c r="L748"/>
      <c r="M748"/>
    </row>
    <row r="749" spans="12:13">
      <c r="L749"/>
      <c r="M749"/>
    </row>
    <row r="750" spans="12:13">
      <c r="L750"/>
      <c r="M750"/>
    </row>
    <row r="751" spans="12:13">
      <c r="L751"/>
      <c r="M751"/>
    </row>
    <row r="752" spans="12:13">
      <c r="L752"/>
      <c r="M752"/>
    </row>
    <row r="753" spans="12:13">
      <c r="L753"/>
      <c r="M753"/>
    </row>
    <row r="754" spans="12:13">
      <c r="L754"/>
      <c r="M754"/>
    </row>
    <row r="755" spans="12:13">
      <c r="L755"/>
      <c r="M755"/>
    </row>
    <row r="756" spans="12:13">
      <c r="L756"/>
      <c r="M756"/>
    </row>
    <row r="757" spans="12:13">
      <c r="L757"/>
      <c r="M757"/>
    </row>
    <row r="758" spans="12:13">
      <c r="L758"/>
      <c r="M758"/>
    </row>
    <row r="759" spans="12:13">
      <c r="L759"/>
      <c r="M759"/>
    </row>
    <row r="760" spans="12:13">
      <c r="L760"/>
      <c r="M760"/>
    </row>
    <row r="761" spans="12:13">
      <c r="L761"/>
      <c r="M761"/>
    </row>
    <row r="762" spans="12:13">
      <c r="L762"/>
      <c r="M762"/>
    </row>
    <row r="763" spans="12:13">
      <c r="L763"/>
      <c r="M763"/>
    </row>
    <row r="764" spans="12:13">
      <c r="L764"/>
      <c r="M764"/>
    </row>
    <row r="765" spans="12:13">
      <c r="L765"/>
      <c r="M765"/>
    </row>
    <row r="766" spans="12:13">
      <c r="L766"/>
      <c r="M766"/>
    </row>
    <row r="767" spans="12:13">
      <c r="L767"/>
      <c r="M767"/>
    </row>
    <row r="768" spans="12:13">
      <c r="L768"/>
      <c r="M768"/>
    </row>
    <row r="769" spans="12:13">
      <c r="L769"/>
      <c r="M769"/>
    </row>
    <row r="770" spans="12:13">
      <c r="L770"/>
      <c r="M770"/>
    </row>
    <row r="771" spans="12:13">
      <c r="L771"/>
      <c r="M771"/>
    </row>
    <row r="772" spans="12:13">
      <c r="L772"/>
      <c r="M772"/>
    </row>
    <row r="773" spans="12:13">
      <c r="L773"/>
      <c r="M773"/>
    </row>
    <row r="774" spans="12:13">
      <c r="L774"/>
      <c r="M774"/>
    </row>
    <row r="775" spans="12:13">
      <c r="L775"/>
      <c r="M775"/>
    </row>
    <row r="776" spans="12:13">
      <c r="L776"/>
      <c r="M776"/>
    </row>
    <row r="777" spans="12:13">
      <c r="L777"/>
      <c r="M777"/>
    </row>
    <row r="778" spans="12:13">
      <c r="L778"/>
      <c r="M778"/>
    </row>
    <row r="779" spans="12:13">
      <c r="L779"/>
      <c r="M779"/>
    </row>
    <row r="780" spans="12:13">
      <c r="L780"/>
      <c r="M780"/>
    </row>
    <row r="781" spans="12:13">
      <c r="L781"/>
      <c r="M781"/>
    </row>
    <row r="782" spans="12:13">
      <c r="L782"/>
      <c r="M782"/>
    </row>
    <row r="783" spans="12:13">
      <c r="L783"/>
      <c r="M783"/>
    </row>
    <row r="784" spans="12:13">
      <c r="L784"/>
      <c r="M784"/>
    </row>
    <row r="785" spans="12:13">
      <c r="L785"/>
      <c r="M785"/>
    </row>
    <row r="786" spans="12:13">
      <c r="L786"/>
      <c r="M786"/>
    </row>
    <row r="787" spans="12:13">
      <c r="L787"/>
      <c r="M787"/>
    </row>
    <row r="788" spans="12:13">
      <c r="L788"/>
      <c r="M788"/>
    </row>
    <row r="789" spans="12:13">
      <c r="L789"/>
      <c r="M789"/>
    </row>
    <row r="790" spans="12:13">
      <c r="L790"/>
      <c r="M790"/>
    </row>
    <row r="791" spans="12:13">
      <c r="L791"/>
      <c r="M791"/>
    </row>
    <row r="792" spans="12:13">
      <c r="L792"/>
      <c r="M792"/>
    </row>
    <row r="793" spans="12:13">
      <c r="L793"/>
      <c r="M793"/>
    </row>
    <row r="794" spans="12:13">
      <c r="L794"/>
      <c r="M794"/>
    </row>
    <row r="795" spans="12:13">
      <c r="L795"/>
      <c r="M795"/>
    </row>
    <row r="796" spans="12:13">
      <c r="L796"/>
      <c r="M796"/>
    </row>
    <row r="797" spans="12:13">
      <c r="L797"/>
      <c r="M797"/>
    </row>
    <row r="798" spans="12:13">
      <c r="L798"/>
      <c r="M798"/>
    </row>
    <row r="799" spans="12:13">
      <c r="L799"/>
      <c r="M799"/>
    </row>
    <row r="800" spans="12:13">
      <c r="L800"/>
      <c r="M800"/>
    </row>
    <row r="801" spans="12:13">
      <c r="L801"/>
      <c r="M801"/>
    </row>
    <row r="802" spans="12:13">
      <c r="L802"/>
      <c r="M802"/>
    </row>
    <row r="803" spans="12:13">
      <c r="L803"/>
      <c r="M803"/>
    </row>
    <row r="804" spans="12:13">
      <c r="L804"/>
      <c r="M804"/>
    </row>
    <row r="805" spans="12:13">
      <c r="L805"/>
      <c r="M805"/>
    </row>
    <row r="806" spans="12:13">
      <c r="L806"/>
      <c r="M806"/>
    </row>
    <row r="807" spans="12:13">
      <c r="L807"/>
      <c r="M807"/>
    </row>
    <row r="808" spans="12:13">
      <c r="L808"/>
      <c r="M808"/>
    </row>
    <row r="809" spans="12:13">
      <c r="L809"/>
      <c r="M809"/>
    </row>
    <row r="810" spans="12:13">
      <c r="L810"/>
      <c r="M810"/>
    </row>
    <row r="811" spans="12:13">
      <c r="L811"/>
      <c r="M811"/>
    </row>
    <row r="812" spans="12:13">
      <c r="L812"/>
      <c r="M812"/>
    </row>
    <row r="813" spans="12:13">
      <c r="L813"/>
      <c r="M813"/>
    </row>
    <row r="814" spans="12:13">
      <c r="L814"/>
      <c r="M814"/>
    </row>
    <row r="815" spans="12:13">
      <c r="L815"/>
      <c r="M815"/>
    </row>
    <row r="816" spans="12:13">
      <c r="L816"/>
      <c r="M816"/>
    </row>
    <row r="817" spans="12:13">
      <c r="L817"/>
      <c r="M817"/>
    </row>
    <row r="818" spans="12:13">
      <c r="L818"/>
      <c r="M818"/>
    </row>
    <row r="819" spans="12:13">
      <c r="L819"/>
      <c r="M819"/>
    </row>
    <row r="820" spans="12:13">
      <c r="L820"/>
      <c r="M820"/>
    </row>
    <row r="821" spans="12:13">
      <c r="L821"/>
      <c r="M821"/>
    </row>
    <row r="822" spans="12:13">
      <c r="L822"/>
      <c r="M822"/>
    </row>
    <row r="823" spans="12:13">
      <c r="L823"/>
      <c r="M823"/>
    </row>
    <row r="824" spans="12:13">
      <c r="L824"/>
      <c r="M824"/>
    </row>
    <row r="825" spans="12:13">
      <c r="L825"/>
      <c r="M825"/>
    </row>
    <row r="826" spans="12:13">
      <c r="L826"/>
      <c r="M826"/>
    </row>
    <row r="827" spans="12:13">
      <c r="L827"/>
      <c r="M827"/>
    </row>
    <row r="828" spans="12:13">
      <c r="L828"/>
      <c r="M828"/>
    </row>
    <row r="829" spans="12:13">
      <c r="L829"/>
      <c r="M829"/>
    </row>
    <row r="830" spans="12:13">
      <c r="L830"/>
      <c r="M830"/>
    </row>
    <row r="831" spans="12:13">
      <c r="L831"/>
      <c r="M831"/>
    </row>
    <row r="832" spans="12:13">
      <c r="L832"/>
      <c r="M832"/>
    </row>
    <row r="833" spans="12:13">
      <c r="L833"/>
      <c r="M833"/>
    </row>
    <row r="834" spans="12:13">
      <c r="L834"/>
      <c r="M834"/>
    </row>
    <row r="835" spans="12:13">
      <c r="L835"/>
      <c r="M835"/>
    </row>
    <row r="836" spans="12:13">
      <c r="L836"/>
      <c r="M836"/>
    </row>
    <row r="837" spans="12:13">
      <c r="L837"/>
      <c r="M837"/>
    </row>
    <row r="838" spans="12:13">
      <c r="L838"/>
      <c r="M838"/>
    </row>
    <row r="839" spans="12:13"/>
    <row r="840" spans="12:13"/>
    <row r="841" spans="12:13"/>
    <row r="842" spans="12:13"/>
    <row r="843" spans="12:13"/>
    <row r="844" spans="12:13"/>
    <row r="845" spans="12:13"/>
    <row r="846" spans="12:13"/>
    <row r="847" spans="12:13"/>
    <row r="848" spans="12:13"/>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sheetData>
  <autoFilter ref="A1:P815" xr:uid="{1843C5B5-098C-4DCE-B60C-CA6C68EFC877}"/>
  <phoneticPr fontId="5"/>
  <conditionalFormatting sqref="E1:E1048576">
    <cfRule type="cellIs" dxfId="55" priority="13" operator="equal">
      <formula>1</formula>
    </cfRule>
  </conditionalFormatting>
  <conditionalFormatting sqref="E2:E260">
    <cfRule type="cellIs" dxfId="54" priority="22" operator="equal">
      <formula>2</formula>
    </cfRule>
  </conditionalFormatting>
  <conditionalFormatting sqref="E464">
    <cfRule type="cellIs" dxfId="53" priority="122" operator="equal">
      <formula>2</formula>
    </cfRule>
  </conditionalFormatting>
  <conditionalFormatting sqref="G1 G7:G1048576">
    <cfRule type="duplicateValues" dxfId="52" priority="133"/>
    <cfRule type="duplicateValues" dxfId="51" priority="134"/>
  </conditionalFormatting>
  <conditionalFormatting sqref="G1:G1048576">
    <cfRule type="duplicateValues" dxfId="50" priority="8"/>
  </conditionalFormatting>
  <conditionalFormatting sqref="G2:G5">
    <cfRule type="duplicateValues" dxfId="49" priority="24"/>
    <cfRule type="duplicateValues" dxfId="48" priority="25"/>
  </conditionalFormatting>
  <conditionalFormatting sqref="G6">
    <cfRule type="duplicateValues" dxfId="47" priority="41"/>
    <cfRule type="duplicateValues" dxfId="46" priority="42"/>
  </conditionalFormatting>
  <conditionalFormatting sqref="H1 H7:H1048576">
    <cfRule type="duplicateValues" dxfId="45" priority="1474"/>
  </conditionalFormatting>
  <conditionalFormatting sqref="H1:H1048576">
    <cfRule type="duplicateValues" dxfId="44" priority="7"/>
  </conditionalFormatting>
  <conditionalFormatting sqref="H2:H5">
    <cfRule type="duplicateValues" dxfId="43" priority="23"/>
  </conditionalFormatting>
  <conditionalFormatting sqref="H6">
    <cfRule type="duplicateValues" dxfId="42" priority="40"/>
  </conditionalFormatting>
  <conditionalFormatting sqref="K1:K1048576">
    <cfRule type="containsText" dxfId="8" priority="10" operator="containsText" text="Review">
      <formula>NOT(ISERROR(SEARCH("Review",K1)))</formula>
    </cfRule>
    <cfRule type="cellIs" dxfId="7" priority="15" operator="equal">
      <formula>"XTM Finished"</formula>
    </cfRule>
    <cfRule type="cellIs" dxfId="6" priority="16" operator="equal">
      <formula>"Waiting for Approval"</formula>
    </cfRule>
    <cfRule type="cellIs" dxfId="5" priority="17" operator="equal">
      <formula>"Waiting for old JA Publishing"</formula>
    </cfRule>
    <cfRule type="cellIs" dxfId="4" priority="18" operator="equal">
      <formula>"Assinged to MH"</formula>
    </cfRule>
    <cfRule type="cellIs" dxfId="3" priority="19" operator="equal">
      <formula>"To be relocalized"</formula>
    </cfRule>
    <cfRule type="cellIs" dxfId="2" priority="20" operator="equal">
      <formula>"Needs followup"</formula>
    </cfRule>
    <cfRule type="cellIs" dxfId="1" priority="21" operator="equal">
      <formula>"Waiting for EN Publishing"</formula>
    </cfRule>
  </conditionalFormatting>
  <conditionalFormatting sqref="K2:L838">
    <cfRule type="cellIs" dxfId="0" priority="14" operator="equal">
      <formula>"Pending"</formula>
    </cfRule>
  </conditionalFormatting>
  <conditionalFormatting sqref="K1:M1 K839:M1048576">
    <cfRule type="cellIs" dxfId="41" priority="109" operator="equal">
      <formula>"Pending"</formula>
    </cfRule>
  </conditionalFormatting>
  <conditionalFormatting sqref="L839:M1048576 L2:L838">
    <cfRule type="containsText" dxfId="40" priority="9" operator="containsText" text="Needs Mintlify relocalization">
      <formula>NOT(ISERROR(SEARCH("Needs Mintlify relocalization",L2)))</formula>
    </cfRule>
    <cfRule type="cellIs" dxfId="39" priority="12" operator="equal">
      <formula>"EN Draft"</formula>
    </cfRule>
  </conditionalFormatting>
  <conditionalFormatting sqref="L1:M1">
    <cfRule type="containsText" dxfId="38" priority="43" operator="containsText" text="Needs Mintlify relocalization">
      <formula>NOT(ISERROR(SEARCH("Needs Mintlify relocalization",L1)))</formula>
    </cfRule>
    <cfRule type="cellIs" dxfId="37" priority="60" operator="equal">
      <formula>"EN Draft"</formula>
    </cfRule>
  </conditionalFormatting>
  <conditionalFormatting sqref="M2:M45 N7:N45 M46:N48 N49:N60 N62:N66 N71:N1048576 M49:M838">
    <cfRule type="cellIs" dxfId="36" priority="11" operator="equal">
      <formula>"Urgent"</formula>
    </cfRule>
  </conditionalFormatting>
  <conditionalFormatting sqref="N1">
    <cfRule type="cellIs" dxfId="35" priority="50" operator="equal">
      <formula>"Urgent"</formula>
    </cfRule>
  </conditionalFormatting>
  <dataValidations count="2">
    <dataValidation type="list" allowBlank="1" sqref="E464 E2:E260" xr:uid="{5CA7FF91-5C4A-46DB-8A62-49B4D238B183}">
      <formula1>"1,2,3,4,5"</formula1>
    </dataValidation>
    <dataValidation type="list" allowBlank="1" sqref="J1" xr:uid="{C9CCEEA3-EF83-46B4-9FF1-8BCAB22EF232}">
      <formula1>"New,Update"</formula1>
    </dataValidation>
  </dataValidations>
  <hyperlinks>
    <hyperlink ref="N67" r:id="rId1" display="https://domosoftware-my.sharepoint.com/:x:/g/personal/masaaki_hori_domo_com/IQDKAOkm3uUAQp3yXlM2DzxkATgPJrxb0f9aGUmNmujB8bc?e=OUkfSJ&amp;nav=MTJfJEMkODQ6JEgkODZfezQ5QjExODQ0LUY5MjUtNDk0OS1BOTk4LUY4OERDNUZEOTU0Mn0" xr:uid="{F3250387-55DA-4C46-B681-3B4315349B77}"/>
    <hyperlink ref="N68:N70" r:id="rId2" display="https://domosoftware-my.sharepoint.com/:x:/g/personal/masaaki_hori_domo_com/IQDKAOkm3uUAQp3yXlM2DzxkATgPJrxb0f9aGUmNmujB8bc?e=OUkfSJ&amp;nav=MTJfJEMkODQ6JEgkODZfezQ5QjExODQ0LUY5MjUtNDk0OS1BOTk4LUY4OERDNUZEOTU0Mn0" xr:uid="{B3FED262-1260-4B9A-82A1-4B0FD084BAAC}"/>
    <hyperlink ref="N61" r:id="rId3" display="https://domosoftware-my.sharepoint.com/:x:/g/personal/masaaki_hori_domo_com/IQDKAOkm3uUAQp3yXlM2DzxkATgPJrxb0f9aGUmNmujB8bc?e=OUkfSJ&amp;nav=MTJfJEMkODQ6JEgkODZfezQ5QjExODQ0LUY5MjUtNDk0OS1BOTk4LUY4OERDNUZEOTU0Mn0" xr:uid="{D547A132-EAD5-40DE-8699-36FC1BFFFCEF}"/>
  </hyperlinks>
  <pageMargins left="0.7" right="0.7" top="0.75" bottom="0.75" header="0.3" footer="0.3"/>
  <pageSetup paperSize="9" orientation="portrait" horizontalDpi="300" verticalDpi="300" r:id="rId4"/>
  <legacyDrawing r:id="rId5"/>
  <extLst>
    <ext xmlns:x14="http://schemas.microsoft.com/office/spreadsheetml/2009/9/main" uri="{CCE6A557-97BC-4b89-ADB6-D9C93CAAB3DF}">
      <x14:dataValidations xmlns:xm="http://schemas.microsoft.com/office/excel/2006/main" count="8">
        <x14:dataValidation type="list" allowBlank="1" xr:uid="{2D9C70A9-EF9B-4EF1-89E9-2971C72652D7}">
          <x14:formula1>
            <xm:f>List!$O$2:$O$5</xm:f>
          </x14:formula1>
          <xm:sqref>J464 J2:J459</xm:sqref>
        </x14:dataValidation>
        <x14:dataValidation type="list" allowBlank="1" xr:uid="{280B1D44-33EF-479A-AF15-E938F74C3B1A}">
          <x14:formula1>
            <xm:f>List!$N$2:$N$23</xm:f>
          </x14:formula1>
          <xm:sqref>N7:N8 M2:M838</xm:sqref>
        </x14:dataValidation>
        <x14:dataValidation type="list" xr:uid="{57E9D265-53B4-4C98-B434-0C814AD4D200}">
          <x14:formula1>
            <xm:f>List!$N$2:$N$24</xm:f>
          </x14:formula1>
          <xm:sqref>M3</xm:sqref>
        </x14:dataValidation>
        <x14:dataValidation type="list" xr:uid="{1BB68EF4-E773-4350-97C1-DF5C08268AE4}">
          <x14:formula1>
            <xm:f>List!$M$7:$M$20</xm:f>
          </x14:formula1>
          <xm:sqref>N7:N8 M2 M4:M838</xm:sqref>
        </x14:dataValidation>
        <x14:dataValidation type="list" allowBlank="1" xr:uid="{D151E3B6-C5A1-48E7-9D20-0C02F3432215}">
          <x14:formula1>
            <xm:f>List!$A$2:$A$9</xm:f>
          </x14:formula1>
          <xm:sqref>D464:D1048576 D2:D459</xm:sqref>
        </x14:dataValidation>
        <x14:dataValidation type="list" allowBlank="1" xr:uid="{A227A419-7EC3-41FA-A850-7E03047BA830}">
          <x14:formula1>
            <xm:f>List!$J$2:$J$6</xm:f>
          </x14:formula1>
          <xm:sqref>B2:B260</xm:sqref>
        </x14:dataValidation>
        <x14:dataValidation type="list" allowBlank="1" xr:uid="{0E4D5A05-E837-4220-8508-5A5D8D53CF8B}">
          <x14:formula1>
            <xm:f>List!$M$2:$M$26</xm:f>
          </x14:formula1>
          <xm:sqref>L2:L838</xm:sqref>
        </x14:dataValidation>
        <x14:dataValidation type="list" allowBlank="1" xr:uid="{28C04034-0B30-40C6-BCF5-F3399B3AF1AD}">
          <x14:formula1>
            <xm:f>List!$L$2:$L$25</xm:f>
          </x14:formula1>
          <xm:sqref>K2:K838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983F1-ECD3-4477-A60E-83340AA9E43F}">
  <sheetPr>
    <tabColor rgb="FFFFC000"/>
  </sheetPr>
  <dimension ref="A6:A7"/>
  <sheetViews>
    <sheetView workbookViewId="0"/>
  </sheetViews>
  <sheetFormatPr defaultRowHeight="18"/>
  <cols>
    <col min="1" max="4" width="46.796875" customWidth="1"/>
  </cols>
  <sheetData>
    <row r="6" spans="1:1" ht="27.6">
      <c r="A6" s="487" t="s">
        <v>7671</v>
      </c>
    </row>
    <row r="7" spans="1:1" ht="27.6">
      <c r="A7" s="487" t="s">
        <v>7672</v>
      </c>
    </row>
  </sheetData>
  <phoneticPr fontId="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EAC0D-1B8B-41CF-9E4A-91DDBB4A40ED}">
  <dimension ref="G2:L43"/>
  <sheetViews>
    <sheetView workbookViewId="0"/>
  </sheetViews>
  <sheetFormatPr defaultRowHeight="18"/>
  <cols>
    <col min="1" max="1" width="5.09765625" customWidth="1"/>
    <col min="2" max="2" width="4.8984375" customWidth="1"/>
    <col min="3" max="3" width="3.69921875" customWidth="1"/>
    <col min="4" max="4" width="10.69921875" customWidth="1"/>
    <col min="5" max="5" width="4.09765625" customWidth="1"/>
    <col min="6" max="6" width="6.8984375" customWidth="1"/>
    <col min="7" max="7" width="47.69921875" customWidth="1"/>
    <col min="8" max="8" width="41.796875" customWidth="1"/>
    <col min="9" max="9" width="16.796875" customWidth="1"/>
    <col min="10" max="10" width="6.8984375" customWidth="1"/>
    <col min="11" max="11" width="8.09765625" customWidth="1"/>
    <col min="12" max="12" width="15.5" customWidth="1"/>
    <col min="13" max="13" width="19" customWidth="1"/>
    <col min="14" max="14" width="34.3984375" customWidth="1"/>
    <col min="15" max="15" width="47.3984375" customWidth="1"/>
  </cols>
  <sheetData>
    <row r="2" spans="7:12">
      <c r="G2" s="490" t="s">
        <v>7585</v>
      </c>
      <c r="H2" s="491" t="s">
        <v>4527</v>
      </c>
      <c r="I2" s="492" t="s">
        <v>7560</v>
      </c>
      <c r="J2" s="492"/>
      <c r="K2" s="493" t="s">
        <v>659</v>
      </c>
      <c r="L2" s="493" t="s">
        <v>3224</v>
      </c>
    </row>
    <row r="3" spans="7:12">
      <c r="G3" s="490" t="s">
        <v>7585</v>
      </c>
      <c r="H3" s="491" t="s">
        <v>3219</v>
      </c>
      <c r="I3" s="492" t="s">
        <v>7561</v>
      </c>
      <c r="J3" s="492"/>
      <c r="K3" s="493" t="s">
        <v>659</v>
      </c>
      <c r="L3" s="493" t="s">
        <v>3224</v>
      </c>
    </row>
    <row r="4" spans="7:12">
      <c r="G4" s="490" t="s">
        <v>7585</v>
      </c>
      <c r="H4" s="491" t="s">
        <v>1710</v>
      </c>
      <c r="I4" s="492" t="s">
        <v>7562</v>
      </c>
      <c r="J4" s="492"/>
      <c r="K4" s="493" t="s">
        <v>659</v>
      </c>
      <c r="L4" s="493" t="s">
        <v>3224</v>
      </c>
    </row>
    <row r="5" spans="7:12">
      <c r="G5" s="490" t="s">
        <v>7585</v>
      </c>
      <c r="H5" s="491" t="s">
        <v>1709</v>
      </c>
      <c r="I5" s="492" t="s">
        <v>7563</v>
      </c>
      <c r="J5" s="492"/>
      <c r="K5" s="493" t="s">
        <v>659</v>
      </c>
      <c r="L5" s="493" t="s">
        <v>3224</v>
      </c>
    </row>
    <row r="6" spans="7:12">
      <c r="G6" s="490" t="s">
        <v>7585</v>
      </c>
      <c r="H6" s="491" t="s">
        <v>1706</v>
      </c>
      <c r="I6" s="492" t="s">
        <v>7564</v>
      </c>
      <c r="J6" s="492"/>
      <c r="K6" s="493" t="s">
        <v>659</v>
      </c>
      <c r="L6" s="493" t="s">
        <v>3224</v>
      </c>
    </row>
    <row r="7" spans="7:12">
      <c r="G7" s="490" t="s">
        <v>7585</v>
      </c>
      <c r="H7" s="491" t="s">
        <v>1705</v>
      </c>
      <c r="I7" s="492" t="s">
        <v>7565</v>
      </c>
      <c r="J7" s="492"/>
      <c r="K7" s="493" t="s">
        <v>659</v>
      </c>
      <c r="L7" s="493" t="s">
        <v>3224</v>
      </c>
    </row>
    <row r="8" spans="7:12">
      <c r="G8" s="490" t="s">
        <v>7585</v>
      </c>
      <c r="H8" s="491" t="s">
        <v>1704</v>
      </c>
      <c r="I8" s="492" t="s">
        <v>7566</v>
      </c>
      <c r="J8" s="492"/>
      <c r="K8" s="493" t="s">
        <v>659</v>
      </c>
      <c r="L8" s="493" t="s">
        <v>3224</v>
      </c>
    </row>
    <row r="9" spans="7:12">
      <c r="G9" s="490" t="s">
        <v>7585</v>
      </c>
      <c r="H9" s="491" t="s">
        <v>1702</v>
      </c>
      <c r="I9" s="492" t="s">
        <v>7567</v>
      </c>
      <c r="J9" s="492"/>
      <c r="K9" s="493" t="s">
        <v>659</v>
      </c>
      <c r="L9" s="493" t="s">
        <v>3224</v>
      </c>
    </row>
    <row r="10" spans="7:12">
      <c r="G10" s="490" t="s">
        <v>7585</v>
      </c>
      <c r="H10" s="491" t="s">
        <v>3216</v>
      </c>
      <c r="I10" s="492" t="s">
        <v>7568</v>
      </c>
      <c r="J10" s="492"/>
      <c r="K10" s="493" t="s">
        <v>659</v>
      </c>
      <c r="L10" s="493" t="s">
        <v>3224</v>
      </c>
    </row>
    <row r="11" spans="7:12">
      <c r="G11" s="490" t="s">
        <v>7585</v>
      </c>
      <c r="H11" s="491" t="s">
        <v>3214</v>
      </c>
      <c r="I11" s="492" t="s">
        <v>7569</v>
      </c>
      <c r="J11" s="492"/>
      <c r="K11" s="493" t="s">
        <v>659</v>
      </c>
      <c r="L11" s="493" t="s">
        <v>3224</v>
      </c>
    </row>
    <row r="12" spans="7:12">
      <c r="G12" s="490" t="s">
        <v>7585</v>
      </c>
      <c r="H12" s="491" t="s">
        <v>2241</v>
      </c>
      <c r="I12" s="492" t="s">
        <v>7570</v>
      </c>
      <c r="J12" s="492"/>
      <c r="K12" s="493" t="s">
        <v>659</v>
      </c>
      <c r="L12" s="493" t="s">
        <v>3224</v>
      </c>
    </row>
    <row r="13" spans="7:12">
      <c r="G13" s="490" t="s">
        <v>7585</v>
      </c>
      <c r="H13" s="491" t="s">
        <v>2259</v>
      </c>
      <c r="I13" s="492" t="s">
        <v>7571</v>
      </c>
      <c r="J13" s="492"/>
      <c r="K13" s="493" t="s">
        <v>659</v>
      </c>
      <c r="L13" s="493" t="s">
        <v>3224</v>
      </c>
    </row>
    <row r="14" spans="7:12">
      <c r="G14" s="490" t="s">
        <v>7585</v>
      </c>
      <c r="H14" s="491" t="s">
        <v>2254</v>
      </c>
      <c r="I14" s="492" t="s">
        <v>7572</v>
      </c>
      <c r="J14" s="492"/>
      <c r="K14" s="493" t="s">
        <v>659</v>
      </c>
      <c r="L14" s="493" t="s">
        <v>3224</v>
      </c>
    </row>
    <row r="15" spans="7:12">
      <c r="G15" s="490" t="s">
        <v>7585</v>
      </c>
      <c r="H15" s="491" t="s">
        <v>2248</v>
      </c>
      <c r="I15" s="492" t="s">
        <v>7573</v>
      </c>
      <c r="J15" s="492"/>
      <c r="K15" s="493" t="s">
        <v>659</v>
      </c>
      <c r="L15" s="493" t="s">
        <v>3224</v>
      </c>
    </row>
    <row r="16" spans="7:12">
      <c r="G16" s="490" t="s">
        <v>7585</v>
      </c>
      <c r="H16" s="491" t="s">
        <v>1682</v>
      </c>
      <c r="I16" s="492" t="s">
        <v>7592</v>
      </c>
      <c r="J16" s="492"/>
      <c r="K16" s="493" t="s">
        <v>659</v>
      </c>
      <c r="L16" s="493" t="s">
        <v>3224</v>
      </c>
    </row>
    <row r="17" spans="7:12">
      <c r="G17" s="490" t="s">
        <v>7585</v>
      </c>
      <c r="H17" s="491" t="s">
        <v>272</v>
      </c>
      <c r="I17" s="492" t="s">
        <v>7574</v>
      </c>
      <c r="J17" s="492"/>
      <c r="K17" s="493" t="s">
        <v>659</v>
      </c>
      <c r="L17" s="493" t="s">
        <v>3224</v>
      </c>
    </row>
    <row r="18" spans="7:12" ht="36">
      <c r="G18" s="490" t="s">
        <v>7585</v>
      </c>
      <c r="H18" s="491" t="s">
        <v>255</v>
      </c>
      <c r="I18" s="492" t="s">
        <v>7575</v>
      </c>
      <c r="J18" s="492"/>
      <c r="K18" s="493" t="s">
        <v>659</v>
      </c>
      <c r="L18" s="493" t="s">
        <v>3224</v>
      </c>
    </row>
    <row r="19" spans="7:12" ht="36">
      <c r="G19" s="490" t="s">
        <v>7585</v>
      </c>
      <c r="H19" s="491" t="s">
        <v>589</v>
      </c>
      <c r="I19" s="492" t="s">
        <v>7576</v>
      </c>
      <c r="J19" s="492"/>
      <c r="K19" s="493" t="s">
        <v>659</v>
      </c>
      <c r="L19" s="493" t="s">
        <v>3224</v>
      </c>
    </row>
    <row r="20" spans="7:12">
      <c r="G20" s="490" t="s">
        <v>7585</v>
      </c>
      <c r="H20" s="491" t="s">
        <v>2252</v>
      </c>
      <c r="I20" s="492" t="s">
        <v>7577</v>
      </c>
      <c r="J20" s="492"/>
      <c r="K20" s="493" t="s">
        <v>659</v>
      </c>
      <c r="L20" s="493" t="s">
        <v>3224</v>
      </c>
    </row>
    <row r="21" spans="7:12">
      <c r="G21" s="490" t="s">
        <v>7585</v>
      </c>
      <c r="H21" s="491" t="s">
        <v>7629</v>
      </c>
      <c r="I21" s="492" t="s">
        <v>7578</v>
      </c>
      <c r="J21" s="492"/>
      <c r="K21" s="493" t="s">
        <v>659</v>
      </c>
      <c r="L21" s="493" t="s">
        <v>3224</v>
      </c>
    </row>
    <row r="22" spans="7:12">
      <c r="G22" s="490" t="s">
        <v>7585</v>
      </c>
      <c r="H22" s="491" t="s">
        <v>7630</v>
      </c>
      <c r="I22" s="492" t="s">
        <v>7579</v>
      </c>
      <c r="J22" s="492"/>
      <c r="K22" s="493" t="s">
        <v>659</v>
      </c>
      <c r="L22" s="493" t="s">
        <v>3224</v>
      </c>
    </row>
    <row r="23" spans="7:12">
      <c r="G23" s="490" t="s">
        <v>7585</v>
      </c>
      <c r="H23" s="491" t="s">
        <v>1061</v>
      </c>
      <c r="I23" s="492" t="s">
        <v>7580</v>
      </c>
      <c r="J23" s="492"/>
      <c r="K23" s="493" t="s">
        <v>659</v>
      </c>
      <c r="L23" s="493" t="s">
        <v>3224</v>
      </c>
    </row>
    <row r="24" spans="7:12">
      <c r="G24" s="490" t="s">
        <v>7585</v>
      </c>
      <c r="H24" s="491" t="s">
        <v>1062</v>
      </c>
      <c r="I24" s="492" t="s">
        <v>7581</v>
      </c>
      <c r="J24" s="492"/>
      <c r="K24" s="493" t="s">
        <v>659</v>
      </c>
      <c r="L24" s="493" t="s">
        <v>3224</v>
      </c>
    </row>
    <row r="25" spans="7:12">
      <c r="G25" s="4" t="s">
        <v>7626</v>
      </c>
      <c r="H25" s="479" t="s">
        <v>7142</v>
      </c>
      <c r="I25" s="432" t="s">
        <v>7600</v>
      </c>
      <c r="J25" s="432"/>
      <c r="K25" t="s">
        <v>659</v>
      </c>
      <c r="L25" t="s">
        <v>3224</v>
      </c>
    </row>
    <row r="26" spans="7:12">
      <c r="G26" s="4" t="s">
        <v>7623</v>
      </c>
      <c r="H26" s="306" t="s">
        <v>7621</v>
      </c>
      <c r="I26" s="432" t="s">
        <v>7608</v>
      </c>
      <c r="J26" s="432"/>
      <c r="K26" t="s">
        <v>659</v>
      </c>
      <c r="L26" t="s">
        <v>3224</v>
      </c>
    </row>
    <row r="27" spans="7:12">
      <c r="G27" s="4" t="s">
        <v>7623</v>
      </c>
      <c r="H27" s="479" t="s">
        <v>1717</v>
      </c>
      <c r="I27" s="432" t="s">
        <v>7599</v>
      </c>
      <c r="J27" s="432"/>
      <c r="K27" t="s">
        <v>659</v>
      </c>
      <c r="L27" t="s">
        <v>3224</v>
      </c>
    </row>
    <row r="28" spans="7:12">
      <c r="G28" s="4" t="s">
        <v>7626</v>
      </c>
      <c r="H28" s="479" t="s">
        <v>7619</v>
      </c>
      <c r="I28" s="432" t="s">
        <v>7605</v>
      </c>
      <c r="J28" s="432"/>
      <c r="K28" t="s">
        <v>659</v>
      </c>
      <c r="L28" t="s">
        <v>3224</v>
      </c>
    </row>
    <row r="29" spans="7:12">
      <c r="G29" s="4" t="s">
        <v>7626</v>
      </c>
      <c r="H29" s="479" t="s">
        <v>4735</v>
      </c>
      <c r="I29" s="432" t="s">
        <v>7598</v>
      </c>
      <c r="J29" s="432"/>
      <c r="K29" t="s">
        <v>659</v>
      </c>
      <c r="L29" t="s">
        <v>3224</v>
      </c>
    </row>
    <row r="30" spans="7:12" ht="36">
      <c r="G30" s="4" t="s">
        <v>7624</v>
      </c>
      <c r="H30" s="479" t="s">
        <v>7614</v>
      </c>
      <c r="I30" s="432" t="s">
        <v>7602</v>
      </c>
      <c r="J30" s="432"/>
      <c r="K30" t="s">
        <v>659</v>
      </c>
    </row>
    <row r="31" spans="7:12">
      <c r="G31" s="4" t="s">
        <v>7624</v>
      </c>
      <c r="H31" s="479" t="s">
        <v>7615</v>
      </c>
      <c r="I31" s="432" t="s">
        <v>7610</v>
      </c>
      <c r="J31" s="432"/>
      <c r="K31" t="s">
        <v>659</v>
      </c>
    </row>
    <row r="32" spans="7:12">
      <c r="G32" s="4" t="s">
        <v>7624</v>
      </c>
      <c r="H32" s="479" t="s">
        <v>7616</v>
      </c>
      <c r="I32" s="432" t="s">
        <v>7611</v>
      </c>
      <c r="J32" s="432"/>
      <c r="K32" t="s">
        <v>659</v>
      </c>
    </row>
    <row r="33" spans="7:12">
      <c r="G33" s="4" t="s">
        <v>7624</v>
      </c>
      <c r="H33" s="479" t="s">
        <v>443</v>
      </c>
      <c r="I33" s="432" t="s">
        <v>7609</v>
      </c>
      <c r="J33" s="432"/>
      <c r="K33" t="s">
        <v>659</v>
      </c>
    </row>
    <row r="34" spans="7:12">
      <c r="G34" s="4" t="s">
        <v>7624</v>
      </c>
      <c r="H34" s="479" t="s">
        <v>7617</v>
      </c>
      <c r="I34" s="432" t="s">
        <v>7612</v>
      </c>
      <c r="J34" s="432" t="s">
        <v>7796</v>
      </c>
      <c r="K34" t="s">
        <v>659</v>
      </c>
    </row>
    <row r="35" spans="7:12">
      <c r="G35" s="4" t="s">
        <v>7624</v>
      </c>
      <c r="H35" s="479" t="s">
        <v>7620</v>
      </c>
      <c r="I35" s="432" t="s">
        <v>7606</v>
      </c>
      <c r="J35" s="432"/>
      <c r="K35" t="s">
        <v>659</v>
      </c>
    </row>
    <row r="36" spans="7:12">
      <c r="G36" s="4" t="s">
        <v>7625</v>
      </c>
      <c r="H36" s="479" t="s">
        <v>7618</v>
      </c>
      <c r="I36" s="432" t="s">
        <v>7613</v>
      </c>
      <c r="J36" s="432"/>
      <c r="K36" t="s">
        <v>659</v>
      </c>
    </row>
    <row r="37" spans="7:12">
      <c r="G37" s="4" t="s">
        <v>7625</v>
      </c>
      <c r="H37" s="479" t="s">
        <v>625</v>
      </c>
      <c r="I37" s="432" t="s">
        <v>7607</v>
      </c>
      <c r="J37" s="432"/>
      <c r="K37" t="s">
        <v>659</v>
      </c>
    </row>
    <row r="38" spans="7:12">
      <c r="G38" s="4" t="s">
        <v>7625</v>
      </c>
      <c r="H38" s="479" t="s">
        <v>3934</v>
      </c>
      <c r="I38" s="432" t="s">
        <v>7601</v>
      </c>
      <c r="J38" s="432"/>
      <c r="K38" t="s">
        <v>659</v>
      </c>
      <c r="L38" t="s">
        <v>2137</v>
      </c>
    </row>
    <row r="39" spans="7:12">
      <c r="G39" s="4" t="s">
        <v>7625</v>
      </c>
      <c r="H39" s="479" t="s">
        <v>4587</v>
      </c>
      <c r="I39" s="432" t="s">
        <v>7604</v>
      </c>
      <c r="J39" s="432"/>
      <c r="K39" t="s">
        <v>659</v>
      </c>
    </row>
    <row r="40" spans="7:12">
      <c r="G40" s="4" t="s">
        <v>7625</v>
      </c>
      <c r="H40" s="306" t="s">
        <v>6674</v>
      </c>
      <c r="I40" s="432" t="s">
        <v>7603</v>
      </c>
      <c r="J40" s="432"/>
      <c r="K40" t="s">
        <v>659</v>
      </c>
    </row>
    <row r="41" spans="7:12">
      <c r="G41" s="4" t="s">
        <v>7674</v>
      </c>
      <c r="H41" s="479" t="s">
        <v>2101</v>
      </c>
      <c r="I41" s="432" t="s">
        <v>7654</v>
      </c>
      <c r="J41" s="432"/>
      <c r="K41" t="s">
        <v>659</v>
      </c>
    </row>
    <row r="42" spans="7:12">
      <c r="G42" s="4" t="s">
        <v>7659</v>
      </c>
      <c r="H42" s="306" t="s">
        <v>7644</v>
      </c>
      <c r="I42" s="432" t="s">
        <v>7655</v>
      </c>
      <c r="J42" s="432"/>
      <c r="K42" t="s">
        <v>1434</v>
      </c>
      <c r="L42" t="s">
        <v>3224</v>
      </c>
    </row>
    <row r="43" spans="7:12">
      <c r="G43" s="4" t="s">
        <v>7659</v>
      </c>
      <c r="H43" s="306" t="s">
        <v>7646</v>
      </c>
      <c r="I43" s="432" t="s">
        <v>7656</v>
      </c>
      <c r="J43" s="432"/>
      <c r="K43" t="s">
        <v>1434</v>
      </c>
      <c r="L43" t="s">
        <v>3224</v>
      </c>
    </row>
  </sheetData>
  <phoneticPr fontId="5"/>
  <conditionalFormatting sqref="H25:H41">
    <cfRule type="duplicateValues" dxfId="34" priority="16"/>
    <cfRule type="duplicateValues" dxfId="33" priority="26"/>
    <cfRule type="duplicateValues" dxfId="32" priority="27"/>
  </conditionalFormatting>
  <conditionalFormatting sqref="H42:H43">
    <cfRule type="duplicateValues" dxfId="31" priority="2"/>
    <cfRule type="duplicateValues" dxfId="30" priority="12"/>
    <cfRule type="duplicateValues" dxfId="29" priority="13"/>
  </conditionalFormatting>
  <conditionalFormatting sqref="I25:I41">
    <cfRule type="duplicateValues" dxfId="28" priority="15"/>
    <cfRule type="duplicateValues" dxfId="27" priority="28"/>
  </conditionalFormatting>
  <conditionalFormatting sqref="I42:I43">
    <cfRule type="duplicateValues" dxfId="26" priority="1"/>
    <cfRule type="duplicateValues" dxfId="25" priority="14"/>
  </conditionalFormatting>
  <conditionalFormatting sqref="L25:L43">
    <cfRule type="containsText" dxfId="24" priority="3" operator="containsText" text="Review">
      <formula>NOT(ISERROR(SEARCH("Review",L25)))</formula>
    </cfRule>
    <cfRule type="cellIs" dxfId="23" priority="4" operator="equal">
      <formula>"Pending"</formula>
    </cfRule>
    <cfRule type="cellIs" dxfId="22" priority="5" operator="equal">
      <formula>"XTM Finished"</formula>
    </cfRule>
    <cfRule type="cellIs" dxfId="21" priority="6" operator="equal">
      <formula>"Waiting for Approval"</formula>
    </cfRule>
    <cfRule type="cellIs" dxfId="20" priority="7" operator="equal">
      <formula>"Waiting for old JA Publishing"</formula>
    </cfRule>
    <cfRule type="cellIs" dxfId="19" priority="8" operator="equal">
      <formula>"Assinged to MH"</formula>
    </cfRule>
    <cfRule type="cellIs" dxfId="18" priority="9" operator="equal">
      <formula>"To be relocalized"</formula>
    </cfRule>
    <cfRule type="cellIs" dxfId="17" priority="10" operator="equal">
      <formula>"Needs followup"</formula>
    </cfRule>
    <cfRule type="cellIs" dxfId="16" priority="11" operator="equal">
      <formula>"Waiting for EN Publishing"</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C2723-B461-4FAC-B9AC-4AB03BB1471A}">
  <dimension ref="C1:E70"/>
  <sheetViews>
    <sheetView workbookViewId="0"/>
  </sheetViews>
  <sheetFormatPr defaultRowHeight="18"/>
  <cols>
    <col min="3" max="4" width="43.69921875" customWidth="1"/>
    <col min="5" max="5" width="12.296875" customWidth="1"/>
  </cols>
  <sheetData>
    <row r="1" spans="3:5" ht="18.600000000000001">
      <c r="C1" s="70"/>
      <c r="D1" s="70"/>
      <c r="E1" s="70"/>
    </row>
    <row r="2" spans="3:5" ht="18.600000000000001">
      <c r="C2" s="70" t="s">
        <v>6921</v>
      </c>
      <c r="D2" s="70" t="s">
        <v>5867</v>
      </c>
      <c r="E2" s="70" t="s">
        <v>5868</v>
      </c>
    </row>
    <row r="3" spans="3:5" ht="18.600000000000001">
      <c r="C3" s="70" t="s">
        <v>5869</v>
      </c>
      <c r="D3" s="70"/>
      <c r="E3" s="70" t="s">
        <v>5870</v>
      </c>
    </row>
    <row r="4" spans="3:5" ht="18.600000000000001">
      <c r="C4" s="70" t="s">
        <v>6922</v>
      </c>
      <c r="D4" s="70" t="s">
        <v>5871</v>
      </c>
      <c r="E4" s="70" t="s">
        <v>4315</v>
      </c>
    </row>
    <row r="5" spans="3:5" ht="36">
      <c r="C5" s="70" t="s">
        <v>5417</v>
      </c>
      <c r="D5" s="70" t="s">
        <v>5872</v>
      </c>
      <c r="E5" s="70" t="s">
        <v>4424</v>
      </c>
    </row>
    <row r="6" spans="3:5" ht="18.600000000000001">
      <c r="C6" s="70" t="s">
        <v>5873</v>
      </c>
      <c r="D6" s="70"/>
      <c r="E6" s="70" t="s">
        <v>5874</v>
      </c>
    </row>
    <row r="7" spans="3:5" ht="18.600000000000001">
      <c r="C7" s="70" t="s">
        <v>4291</v>
      </c>
      <c r="D7" s="70" t="s">
        <v>5875</v>
      </c>
      <c r="E7" s="70" t="s">
        <v>4292</v>
      </c>
    </row>
    <row r="8" spans="3:5" ht="18.600000000000001">
      <c r="C8" s="70" t="s">
        <v>6923</v>
      </c>
      <c r="D8" s="70" t="s">
        <v>5876</v>
      </c>
      <c r="E8" s="70" t="s">
        <v>3540</v>
      </c>
    </row>
    <row r="9" spans="3:5" ht="18.600000000000001">
      <c r="C9" s="70" t="s">
        <v>6924</v>
      </c>
      <c r="D9" s="70" t="s">
        <v>5877</v>
      </c>
      <c r="E9" s="70" t="s">
        <v>5878</v>
      </c>
    </row>
    <row r="10" spans="3:5" ht="36">
      <c r="C10" s="70" t="s">
        <v>5879</v>
      </c>
      <c r="D10" s="70"/>
      <c r="E10" s="70" t="s">
        <v>5880</v>
      </c>
    </row>
    <row r="11" spans="3:5" ht="18.600000000000001">
      <c r="C11" s="70" t="s">
        <v>5881</v>
      </c>
      <c r="D11" s="70" t="s">
        <v>5882</v>
      </c>
      <c r="E11" s="70" t="s">
        <v>5883</v>
      </c>
    </row>
    <row r="12" spans="3:5" ht="36">
      <c r="C12" s="70" t="s">
        <v>5884</v>
      </c>
      <c r="D12" s="70" t="s">
        <v>5885</v>
      </c>
      <c r="E12" s="70" t="s">
        <v>5886</v>
      </c>
    </row>
    <row r="13" spans="3:5" ht="18.600000000000001">
      <c r="C13" s="70" t="s">
        <v>4713</v>
      </c>
      <c r="D13" s="70" t="s">
        <v>4714</v>
      </c>
      <c r="E13" s="70" t="s">
        <v>4715</v>
      </c>
    </row>
    <row r="14" spans="3:5" ht="36">
      <c r="C14" s="70" t="s">
        <v>1503</v>
      </c>
      <c r="D14" s="70" t="s">
        <v>5887</v>
      </c>
      <c r="E14" s="70" t="s">
        <v>5589</v>
      </c>
    </row>
    <row r="15" spans="3:5" ht="18.600000000000001">
      <c r="C15" s="70" t="s">
        <v>6924</v>
      </c>
      <c r="D15" s="70" t="s">
        <v>5888</v>
      </c>
      <c r="E15" s="70" t="s">
        <v>5889</v>
      </c>
    </row>
    <row r="16" spans="3:5" ht="18.600000000000001">
      <c r="C16" s="70" t="s">
        <v>1265</v>
      </c>
      <c r="D16" s="70" t="s">
        <v>5890</v>
      </c>
      <c r="E16" s="70" t="s">
        <v>5891</v>
      </c>
    </row>
    <row r="17" spans="3:5" ht="18.600000000000001">
      <c r="C17" s="70" t="s">
        <v>1511</v>
      </c>
      <c r="D17" s="70" t="s">
        <v>5892</v>
      </c>
      <c r="E17" s="70" t="s">
        <v>5893</v>
      </c>
    </row>
    <row r="18" spans="3:5" ht="18.600000000000001">
      <c r="C18" s="70" t="s">
        <v>5987</v>
      </c>
      <c r="D18" s="70" t="s">
        <v>5894</v>
      </c>
      <c r="E18" s="70" t="s">
        <v>5895</v>
      </c>
    </row>
    <row r="19" spans="3:5" ht="18.600000000000001">
      <c r="C19" s="70"/>
      <c r="D19" s="70" t="s">
        <v>5896</v>
      </c>
      <c r="E19" s="70" t="s">
        <v>3187</v>
      </c>
    </row>
    <row r="20" spans="3:5" ht="36">
      <c r="C20" s="70" t="s">
        <v>1496</v>
      </c>
      <c r="D20" s="70" t="s">
        <v>5897</v>
      </c>
      <c r="E20" s="70" t="s">
        <v>5898</v>
      </c>
    </row>
    <row r="21" spans="3:5" ht="18.600000000000001">
      <c r="C21" s="70"/>
      <c r="D21" s="70"/>
      <c r="E21" s="70"/>
    </row>
    <row r="22" spans="3:5" ht="18.600000000000001">
      <c r="C22" s="70" t="s">
        <v>4702</v>
      </c>
      <c r="D22" s="70" t="s">
        <v>4702</v>
      </c>
      <c r="E22" s="70" t="s">
        <v>4703</v>
      </c>
    </row>
    <row r="23" spans="3:5" ht="18.600000000000001">
      <c r="C23" s="70" t="s">
        <v>4700</v>
      </c>
      <c r="D23" s="70" t="s">
        <v>4700</v>
      </c>
      <c r="E23" s="70" t="s">
        <v>4701</v>
      </c>
    </row>
    <row r="24" spans="3:5" ht="18.600000000000001">
      <c r="C24" s="70" t="s">
        <v>5899</v>
      </c>
      <c r="D24" s="70" t="s">
        <v>5900</v>
      </c>
      <c r="E24" s="70" t="s">
        <v>5901</v>
      </c>
    </row>
    <row r="25" spans="3:5" ht="18.600000000000001">
      <c r="C25" s="70" t="s">
        <v>5902</v>
      </c>
      <c r="D25" s="70" t="s">
        <v>5902</v>
      </c>
      <c r="E25" s="70" t="s">
        <v>5903</v>
      </c>
    </row>
    <row r="26" spans="3:5" ht="18.600000000000001">
      <c r="C26" s="70" t="s">
        <v>5904</v>
      </c>
      <c r="D26" s="70" t="s">
        <v>5904</v>
      </c>
      <c r="E26" s="70" t="s">
        <v>5905</v>
      </c>
    </row>
    <row r="27" spans="3:5" ht="18.600000000000001">
      <c r="C27" s="70" t="s">
        <v>5906</v>
      </c>
      <c r="D27" s="70" t="s">
        <v>5907</v>
      </c>
      <c r="E27" s="70" t="s">
        <v>5908</v>
      </c>
    </row>
    <row r="28" spans="3:5" ht="36">
      <c r="C28" s="70" t="s">
        <v>5909</v>
      </c>
      <c r="D28" s="70" t="s">
        <v>5910</v>
      </c>
      <c r="E28" s="70" t="s">
        <v>5911</v>
      </c>
    </row>
    <row r="29" spans="3:5" ht="18.600000000000001">
      <c r="C29" s="70" t="s">
        <v>5912</v>
      </c>
      <c r="D29" s="70" t="s">
        <v>5912</v>
      </c>
      <c r="E29" s="70" t="s">
        <v>5913</v>
      </c>
    </row>
    <row r="30" spans="3:5" ht="18.600000000000001">
      <c r="C30" s="70" t="s">
        <v>1558</v>
      </c>
      <c r="D30" s="70" t="s">
        <v>5914</v>
      </c>
      <c r="E30" s="70" t="s">
        <v>5915</v>
      </c>
    </row>
    <row r="31" spans="3:5" ht="18.600000000000001">
      <c r="C31" s="70" t="s">
        <v>5916</v>
      </c>
      <c r="D31" s="70" t="s">
        <v>5916</v>
      </c>
      <c r="E31" s="70" t="s">
        <v>5917</v>
      </c>
    </row>
    <row r="32" spans="3:5" ht="18.600000000000001">
      <c r="C32" s="70" t="s">
        <v>5918</v>
      </c>
      <c r="D32" s="70" t="s">
        <v>5919</v>
      </c>
      <c r="E32" s="70" t="s">
        <v>5920</v>
      </c>
    </row>
    <row r="33" spans="3:5" ht="18.600000000000001">
      <c r="C33" s="70"/>
      <c r="D33" s="70"/>
      <c r="E33" s="70"/>
    </row>
    <row r="34" spans="3:5" ht="18.600000000000001">
      <c r="C34" s="70" t="s">
        <v>5921</v>
      </c>
      <c r="D34" s="70" t="s">
        <v>5922</v>
      </c>
      <c r="E34" s="70" t="s">
        <v>5923</v>
      </c>
    </row>
    <row r="35" spans="3:5" ht="18.600000000000001">
      <c r="C35" s="70" t="s">
        <v>1471</v>
      </c>
      <c r="D35" s="70" t="s">
        <v>5924</v>
      </c>
      <c r="E35" s="70" t="s">
        <v>5925</v>
      </c>
    </row>
    <row r="36" spans="3:5" ht="18.600000000000001">
      <c r="C36" s="70"/>
      <c r="D36" s="70" t="s">
        <v>5926</v>
      </c>
      <c r="E36" s="70" t="s">
        <v>5927</v>
      </c>
    </row>
    <row r="37" spans="3:5" ht="18.600000000000001">
      <c r="C37" s="70" t="s">
        <v>992</v>
      </c>
      <c r="D37" s="70"/>
      <c r="E37" s="70" t="s">
        <v>5928</v>
      </c>
    </row>
    <row r="38" spans="3:5" ht="18.600000000000001">
      <c r="C38" s="70"/>
      <c r="D38" s="70" t="s">
        <v>5929</v>
      </c>
      <c r="E38" s="70" t="s">
        <v>2659</v>
      </c>
    </row>
    <row r="39" spans="3:5" ht="18.600000000000001">
      <c r="C39" s="70" t="s">
        <v>1052</v>
      </c>
      <c r="D39" s="70" t="s">
        <v>5930</v>
      </c>
      <c r="E39" s="70" t="s">
        <v>5931</v>
      </c>
    </row>
    <row r="40" spans="3:5" ht="18.600000000000001">
      <c r="C40" s="70" t="s">
        <v>1352</v>
      </c>
      <c r="D40" s="70" t="s">
        <v>5932</v>
      </c>
      <c r="E40" s="70" t="s">
        <v>5933</v>
      </c>
    </row>
    <row r="41" spans="3:5" ht="18.600000000000001">
      <c r="C41" s="70" t="s">
        <v>5934</v>
      </c>
      <c r="D41" s="70"/>
      <c r="E41" s="70" t="s">
        <v>5935</v>
      </c>
    </row>
    <row r="42" spans="3:5" ht="18.600000000000001">
      <c r="C42" s="70" t="s">
        <v>5936</v>
      </c>
      <c r="D42" s="70"/>
      <c r="E42" s="70" t="s">
        <v>5937</v>
      </c>
    </row>
    <row r="43" spans="3:5" ht="18.600000000000001">
      <c r="C43" s="70" t="s">
        <v>5938</v>
      </c>
      <c r="D43" s="70"/>
      <c r="E43" s="70" t="s">
        <v>5939</v>
      </c>
    </row>
    <row r="44" spans="3:5" ht="18.600000000000001">
      <c r="C44" s="70" t="s">
        <v>5865</v>
      </c>
      <c r="D44" s="70" t="s">
        <v>4733</v>
      </c>
      <c r="E44" s="70" t="s">
        <v>4734</v>
      </c>
    </row>
    <row r="45" spans="3:5" ht="18.600000000000001">
      <c r="C45" s="70" t="s">
        <v>5940</v>
      </c>
      <c r="D45" s="70" t="s">
        <v>5941</v>
      </c>
      <c r="E45" s="70" t="s">
        <v>5942</v>
      </c>
    </row>
    <row r="46" spans="3:5" ht="18.600000000000001">
      <c r="C46" s="70" t="s">
        <v>5943</v>
      </c>
      <c r="D46" s="70" t="s">
        <v>5943</v>
      </c>
      <c r="E46" s="70" t="s">
        <v>5944</v>
      </c>
    </row>
    <row r="47" spans="3:5" ht="18.600000000000001">
      <c r="C47" s="70" t="s">
        <v>1277</v>
      </c>
      <c r="D47" s="70" t="s">
        <v>1277</v>
      </c>
      <c r="E47" s="70" t="s">
        <v>5945</v>
      </c>
    </row>
    <row r="48" spans="3:5" ht="18.600000000000001">
      <c r="C48" s="70" t="s">
        <v>1247</v>
      </c>
      <c r="D48" s="70" t="s">
        <v>5946</v>
      </c>
      <c r="E48" s="70" t="s">
        <v>5947</v>
      </c>
    </row>
    <row r="49" spans="3:5" ht="18.600000000000001">
      <c r="C49" s="70" t="s">
        <v>5988</v>
      </c>
      <c r="D49" s="70" t="s">
        <v>5948</v>
      </c>
      <c r="E49" s="70" t="s">
        <v>5949</v>
      </c>
    </row>
    <row r="50" spans="3:5" ht="18.600000000000001">
      <c r="C50" s="70"/>
      <c r="D50" s="70" t="s">
        <v>5950</v>
      </c>
      <c r="E50" s="70" t="s">
        <v>5951</v>
      </c>
    </row>
    <row r="51" spans="3:5" ht="18.600000000000001">
      <c r="C51" s="70" t="s">
        <v>1385</v>
      </c>
      <c r="D51" s="70" t="s">
        <v>5952</v>
      </c>
      <c r="E51" s="70" t="s">
        <v>5953</v>
      </c>
    </row>
    <row r="52" spans="3:5" ht="18.600000000000001">
      <c r="C52" s="70" t="s">
        <v>2602</v>
      </c>
      <c r="D52" s="70" t="s">
        <v>5954</v>
      </c>
      <c r="E52" s="70" t="s">
        <v>2603</v>
      </c>
    </row>
    <row r="53" spans="3:5" ht="18.600000000000001">
      <c r="C53" s="70"/>
      <c r="D53" s="70" t="s">
        <v>5871</v>
      </c>
      <c r="E53" s="70" t="s">
        <v>5955</v>
      </c>
    </row>
    <row r="54" spans="3:5" ht="18.600000000000001">
      <c r="C54" s="70" t="s">
        <v>5956</v>
      </c>
      <c r="D54" s="70" t="s">
        <v>5957</v>
      </c>
      <c r="E54" s="70" t="s">
        <v>5958</v>
      </c>
    </row>
    <row r="55" spans="3:5" ht="18.600000000000001">
      <c r="C55" s="70" t="s">
        <v>1306</v>
      </c>
      <c r="D55" s="70" t="s">
        <v>4749</v>
      </c>
      <c r="E55" s="70" t="s">
        <v>4750</v>
      </c>
    </row>
    <row r="56" spans="3:5" ht="18.600000000000001">
      <c r="C56" s="70" t="s">
        <v>5959</v>
      </c>
      <c r="D56" s="70"/>
      <c r="E56" s="70" t="s">
        <v>5960</v>
      </c>
    </row>
    <row r="57" spans="3:5" ht="18.600000000000001">
      <c r="C57" s="70" t="s">
        <v>5961</v>
      </c>
      <c r="D57" s="70"/>
      <c r="E57" s="70" t="s">
        <v>5962</v>
      </c>
    </row>
    <row r="58" spans="3:5" ht="18.600000000000001">
      <c r="C58" s="70" t="s">
        <v>1044</v>
      </c>
      <c r="D58" s="70" t="s">
        <v>5963</v>
      </c>
      <c r="E58" s="70" t="s">
        <v>5964</v>
      </c>
    </row>
    <row r="59" spans="3:5" ht="18.600000000000001">
      <c r="C59" s="70" t="s">
        <v>4543</v>
      </c>
      <c r="D59" s="70" t="s">
        <v>5966</v>
      </c>
      <c r="E59" s="70" t="s">
        <v>4544</v>
      </c>
    </row>
    <row r="60" spans="3:5" ht="36">
      <c r="C60" s="70" t="s">
        <v>5967</v>
      </c>
      <c r="D60" s="70" t="s">
        <v>5968</v>
      </c>
      <c r="E60" s="70" t="s">
        <v>5969</v>
      </c>
    </row>
    <row r="61" spans="3:5" ht="36">
      <c r="C61" s="70" t="s">
        <v>5970</v>
      </c>
      <c r="D61" s="70" t="s">
        <v>5971</v>
      </c>
      <c r="E61" s="70" t="s">
        <v>5972</v>
      </c>
    </row>
    <row r="62" spans="3:5" ht="36">
      <c r="C62" s="70" t="s">
        <v>5973</v>
      </c>
      <c r="D62" s="70" t="s">
        <v>5974</v>
      </c>
      <c r="E62" s="70" t="s">
        <v>5975</v>
      </c>
    </row>
    <row r="63" spans="3:5" ht="18.600000000000001">
      <c r="C63" s="70" t="s">
        <v>5976</v>
      </c>
      <c r="D63" s="70"/>
      <c r="E63" s="70" t="s">
        <v>5977</v>
      </c>
    </row>
    <row r="64" spans="3:5" ht="18.600000000000001">
      <c r="C64" s="70" t="s">
        <v>5978</v>
      </c>
      <c r="D64" s="70" t="s">
        <v>5978</v>
      </c>
      <c r="E64" s="70" t="s">
        <v>5979</v>
      </c>
    </row>
    <row r="65" spans="3:5" ht="18.600000000000001">
      <c r="C65" s="70" t="s">
        <v>3791</v>
      </c>
      <c r="D65" s="70" t="s">
        <v>5980</v>
      </c>
      <c r="E65" s="70" t="s">
        <v>3792</v>
      </c>
    </row>
    <row r="66" spans="3:5" ht="18.600000000000001">
      <c r="C66" s="70"/>
      <c r="D66" s="70" t="s">
        <v>5981</v>
      </c>
      <c r="E66" s="70" t="s">
        <v>4549</v>
      </c>
    </row>
    <row r="67" spans="3:5" ht="18.600000000000001">
      <c r="C67" s="70" t="s">
        <v>5982</v>
      </c>
      <c r="D67" s="70" t="s">
        <v>5982</v>
      </c>
      <c r="E67" s="70" t="s">
        <v>5983</v>
      </c>
    </row>
    <row r="68" spans="3:5" ht="18.600000000000001">
      <c r="C68" s="70"/>
      <c r="D68" s="70" t="s">
        <v>5984</v>
      </c>
      <c r="E68" s="70" t="s">
        <v>4436</v>
      </c>
    </row>
    <row r="69" spans="3:5" ht="18.600000000000001">
      <c r="C69" s="70" t="s">
        <v>5985</v>
      </c>
      <c r="D69" s="70" t="s">
        <v>5985</v>
      </c>
      <c r="E69" s="70" t="s">
        <v>5986</v>
      </c>
    </row>
    <row r="70" spans="3:5" ht="18.600000000000001">
      <c r="C70" t="s">
        <v>5965</v>
      </c>
      <c r="E70" s="70" t="s">
        <v>5989</v>
      </c>
    </row>
  </sheetData>
  <phoneticPr fontId="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5C424-C556-4307-8894-8B7A4266E675}">
  <dimension ref="A1:C89"/>
  <sheetViews>
    <sheetView workbookViewId="0"/>
  </sheetViews>
  <sheetFormatPr defaultRowHeight="18"/>
  <cols>
    <col min="1" max="2" width="39.69921875" customWidth="1"/>
    <col min="3" max="3" width="13.69921875" style="467" customWidth="1"/>
  </cols>
  <sheetData>
    <row r="1" spans="1:3" ht="18.600000000000001">
      <c r="A1" s="70" t="s">
        <v>627</v>
      </c>
      <c r="B1" s="70" t="s">
        <v>4753</v>
      </c>
      <c r="C1" s="279" t="s">
        <v>2310</v>
      </c>
    </row>
    <row r="2" spans="1:3" ht="18.600000000000001">
      <c r="A2" s="70" t="s">
        <v>4754</v>
      </c>
      <c r="B2" s="70"/>
      <c r="C2" s="279" t="s">
        <v>4755</v>
      </c>
    </row>
    <row r="3" spans="1:3" ht="18.600000000000001">
      <c r="A3" s="70" t="s">
        <v>1395</v>
      </c>
      <c r="B3" s="70" t="s">
        <v>4756</v>
      </c>
      <c r="C3" s="279" t="s">
        <v>4757</v>
      </c>
    </row>
    <row r="4" spans="1:3" ht="18.600000000000001">
      <c r="A4" s="70" t="s">
        <v>4758</v>
      </c>
      <c r="B4" s="70"/>
      <c r="C4" s="279" t="s">
        <v>4457</v>
      </c>
    </row>
    <row r="5" spans="1:3" ht="18.600000000000001">
      <c r="A5" s="70" t="s">
        <v>4759</v>
      </c>
      <c r="B5" s="70" t="s">
        <v>4760</v>
      </c>
      <c r="C5" s="279" t="s">
        <v>2147</v>
      </c>
    </row>
    <row r="6" spans="1:3" ht="18.600000000000001">
      <c r="A6" s="70" t="s">
        <v>4761</v>
      </c>
      <c r="B6" s="70"/>
      <c r="C6" s="279" t="s">
        <v>4762</v>
      </c>
    </row>
    <row r="7" spans="1:3" ht="36">
      <c r="A7" s="70" t="s">
        <v>4763</v>
      </c>
      <c r="B7" s="70" t="s">
        <v>4764</v>
      </c>
      <c r="C7" s="279" t="s">
        <v>4765</v>
      </c>
    </row>
    <row r="8" spans="1:3" ht="18.600000000000001">
      <c r="A8" s="70" t="s">
        <v>4502</v>
      </c>
      <c r="B8" s="70" t="s">
        <v>4766</v>
      </c>
      <c r="C8" s="279" t="s">
        <v>4503</v>
      </c>
    </row>
    <row r="9" spans="1:3" ht="18.600000000000001">
      <c r="A9" s="70" t="s">
        <v>4767</v>
      </c>
      <c r="B9" s="70" t="s">
        <v>4768</v>
      </c>
      <c r="C9" s="279" t="s">
        <v>2940</v>
      </c>
    </row>
    <row r="10" spans="1:3" ht="18.600000000000001">
      <c r="A10" s="70" t="s">
        <v>4769</v>
      </c>
      <c r="B10" s="70"/>
      <c r="C10" s="279" t="s">
        <v>4770</v>
      </c>
    </row>
    <row r="11" spans="1:3" ht="18.600000000000001">
      <c r="A11" s="70" t="s">
        <v>4771</v>
      </c>
      <c r="B11" s="70"/>
      <c r="C11" s="279" t="s">
        <v>4772</v>
      </c>
    </row>
    <row r="12" spans="1:3" ht="36">
      <c r="A12" s="70" t="s">
        <v>4600</v>
      </c>
      <c r="B12" s="70" t="s">
        <v>4773</v>
      </c>
      <c r="C12" s="279" t="s">
        <v>4774</v>
      </c>
    </row>
    <row r="13" spans="1:3" ht="18.600000000000001">
      <c r="A13" s="70" t="s">
        <v>4775</v>
      </c>
      <c r="B13" s="70" t="s">
        <v>4776</v>
      </c>
      <c r="C13" s="279" t="s">
        <v>4777</v>
      </c>
    </row>
    <row r="14" spans="1:3" ht="18.600000000000001">
      <c r="A14" s="70" t="s">
        <v>4631</v>
      </c>
      <c r="B14" s="70"/>
      <c r="C14" s="279" t="s">
        <v>4778</v>
      </c>
    </row>
    <row r="15" spans="1:3" ht="18.600000000000001">
      <c r="A15" s="70" t="s">
        <v>4779</v>
      </c>
      <c r="B15" s="70"/>
      <c r="C15" s="279" t="s">
        <v>4780</v>
      </c>
    </row>
    <row r="16" spans="1:3" ht="18.600000000000001">
      <c r="A16" s="70" t="s">
        <v>4781</v>
      </c>
      <c r="B16" s="70"/>
      <c r="C16" s="279" t="s">
        <v>4782</v>
      </c>
    </row>
    <row r="17" spans="1:3" ht="18.600000000000001">
      <c r="A17" s="70" t="s">
        <v>4783</v>
      </c>
      <c r="B17" s="70"/>
      <c r="C17" s="279" t="s">
        <v>4784</v>
      </c>
    </row>
    <row r="18" spans="1:3" ht="18.600000000000001">
      <c r="A18" s="70" t="s">
        <v>4785</v>
      </c>
      <c r="B18" s="70" t="s">
        <v>4786</v>
      </c>
      <c r="C18" s="279" t="s">
        <v>2213</v>
      </c>
    </row>
    <row r="19" spans="1:3" ht="18.600000000000001">
      <c r="A19" s="70" t="s">
        <v>4787</v>
      </c>
      <c r="B19" s="70" t="s">
        <v>4788</v>
      </c>
      <c r="C19" s="279" t="s">
        <v>4789</v>
      </c>
    </row>
    <row r="20" spans="1:3">
      <c r="A20" s="5"/>
      <c r="B20" s="5"/>
      <c r="C20" s="466"/>
    </row>
    <row r="27" spans="1:3">
      <c r="A27" t="s">
        <v>7182</v>
      </c>
      <c r="C27" s="467" t="s">
        <v>7183</v>
      </c>
    </row>
    <row r="28" spans="1:3">
      <c r="A28" t="s">
        <v>7184</v>
      </c>
      <c r="C28" s="467" t="s">
        <v>7185</v>
      </c>
    </row>
    <row r="29" spans="1:3">
      <c r="A29" t="s">
        <v>7186</v>
      </c>
      <c r="C29" s="467" t="s">
        <v>7187</v>
      </c>
    </row>
    <row r="30" spans="1:3">
      <c r="A30" t="s">
        <v>4325</v>
      </c>
      <c r="B30" t="s">
        <v>7188</v>
      </c>
      <c r="C30" s="467" t="s">
        <v>4326</v>
      </c>
    </row>
    <row r="31" spans="1:3">
      <c r="A31" t="s">
        <v>7149</v>
      </c>
      <c r="C31" s="467" t="s">
        <v>7189</v>
      </c>
    </row>
    <row r="32" spans="1:3">
      <c r="A32" t="s">
        <v>443</v>
      </c>
      <c r="B32" t="s">
        <v>7190</v>
      </c>
      <c r="C32" s="467" t="s">
        <v>2948</v>
      </c>
    </row>
    <row r="33" spans="1:3">
      <c r="A33" t="s">
        <v>7142</v>
      </c>
      <c r="C33" s="467" t="s">
        <v>7191</v>
      </c>
    </row>
    <row r="34" spans="1:3">
      <c r="A34" t="s">
        <v>7150</v>
      </c>
      <c r="B34" t="s">
        <v>6594</v>
      </c>
      <c r="C34" s="467" t="s">
        <v>6595</v>
      </c>
    </row>
    <row r="35" spans="1:3">
      <c r="A35" t="s">
        <v>7192</v>
      </c>
      <c r="B35" t="s">
        <v>7193</v>
      </c>
      <c r="C35" s="467" t="s">
        <v>7194</v>
      </c>
    </row>
    <row r="36" spans="1:3">
      <c r="A36" t="s">
        <v>1397</v>
      </c>
      <c r="B36" t="s">
        <v>7195</v>
      </c>
      <c r="C36" s="467" t="s">
        <v>7151</v>
      </c>
    </row>
    <row r="37" spans="1:3">
      <c r="A37" t="s">
        <v>7145</v>
      </c>
      <c r="C37" s="467" t="s">
        <v>7196</v>
      </c>
    </row>
    <row r="38" spans="1:3">
      <c r="A38" t="s">
        <v>7197</v>
      </c>
      <c r="C38" s="467" t="s">
        <v>7198</v>
      </c>
    </row>
    <row r="39" spans="1:3">
      <c r="A39" t="s">
        <v>3499</v>
      </c>
      <c r="C39" s="467" t="s">
        <v>7199</v>
      </c>
    </row>
    <row r="40" spans="1:3">
      <c r="A40" t="s">
        <v>7092</v>
      </c>
      <c r="B40" t="s">
        <v>7200</v>
      </c>
      <c r="C40" s="467" t="s">
        <v>7201</v>
      </c>
    </row>
    <row r="41" spans="1:3">
      <c r="A41" t="s">
        <v>2395</v>
      </c>
      <c r="B41" t="s">
        <v>7202</v>
      </c>
      <c r="C41" s="467" t="s">
        <v>2473</v>
      </c>
    </row>
    <row r="42" spans="1:3">
      <c r="A42" t="s">
        <v>7093</v>
      </c>
      <c r="B42" t="s">
        <v>6831</v>
      </c>
      <c r="C42" s="467" t="s">
        <v>6832</v>
      </c>
    </row>
    <row r="43" spans="1:3">
      <c r="A43" t="s">
        <v>7094</v>
      </c>
      <c r="B43" t="s">
        <v>7203</v>
      </c>
      <c r="C43" s="467" t="s">
        <v>7204</v>
      </c>
    </row>
    <row r="44" spans="1:3">
      <c r="A44" t="s">
        <v>7095</v>
      </c>
      <c r="B44" t="s">
        <v>7205</v>
      </c>
      <c r="C44" s="467" t="s">
        <v>7206</v>
      </c>
    </row>
    <row r="45" spans="1:3">
      <c r="A45" t="s">
        <v>7096</v>
      </c>
      <c r="B45" t="s">
        <v>7207</v>
      </c>
      <c r="C45" s="467" t="s">
        <v>7208</v>
      </c>
    </row>
    <row r="46" spans="1:3">
      <c r="A46" t="s">
        <v>5633</v>
      </c>
      <c r="B46" t="s">
        <v>7209</v>
      </c>
      <c r="C46" s="467" t="s">
        <v>7210</v>
      </c>
    </row>
    <row r="47" spans="1:3">
      <c r="A47" t="s">
        <v>1578</v>
      </c>
      <c r="B47" t="s">
        <v>7211</v>
      </c>
      <c r="C47" s="467" t="s">
        <v>4237</v>
      </c>
    </row>
    <row r="48" spans="1:3">
      <c r="A48" t="s">
        <v>5629</v>
      </c>
      <c r="B48" t="s">
        <v>7212</v>
      </c>
      <c r="C48" s="467" t="s">
        <v>7213</v>
      </c>
    </row>
    <row r="49" spans="1:3">
      <c r="A49" t="s">
        <v>5631</v>
      </c>
      <c r="B49" t="s">
        <v>7214</v>
      </c>
      <c r="C49" s="467" t="s">
        <v>7215</v>
      </c>
    </row>
    <row r="50" spans="1:3">
      <c r="A50" t="s">
        <v>5628</v>
      </c>
      <c r="B50" t="s">
        <v>7216</v>
      </c>
      <c r="C50" s="467" t="s">
        <v>7217</v>
      </c>
    </row>
    <row r="51" spans="1:3">
      <c r="A51" t="s">
        <v>1576</v>
      </c>
      <c r="B51" t="s">
        <v>7218</v>
      </c>
      <c r="C51" s="467" t="s">
        <v>4748</v>
      </c>
    </row>
    <row r="52" spans="1:3">
      <c r="A52" t="s">
        <v>1306</v>
      </c>
      <c r="B52" t="s">
        <v>4749</v>
      </c>
      <c r="C52" s="467" t="s">
        <v>4750</v>
      </c>
    </row>
    <row r="53" spans="1:3">
      <c r="A53" t="s">
        <v>7097</v>
      </c>
      <c r="C53" s="467" t="s">
        <v>7219</v>
      </c>
    </row>
    <row r="54" spans="1:3">
      <c r="A54" t="s">
        <v>7098</v>
      </c>
      <c r="C54" s="467" t="s">
        <v>7220</v>
      </c>
    </row>
    <row r="55" spans="1:3">
      <c r="A55" t="s">
        <v>7221</v>
      </c>
      <c r="C55" s="467" t="s">
        <v>7222</v>
      </c>
    </row>
    <row r="56" spans="1:3">
      <c r="A56" t="s">
        <v>1247</v>
      </c>
      <c r="B56" t="s">
        <v>5946</v>
      </c>
      <c r="C56" s="467" t="s">
        <v>5947</v>
      </c>
    </row>
    <row r="57" spans="1:3">
      <c r="A57" t="s">
        <v>1385</v>
      </c>
      <c r="B57" t="s">
        <v>5952</v>
      </c>
      <c r="C57" s="467" t="s">
        <v>5953</v>
      </c>
    </row>
    <row r="58" spans="1:3">
      <c r="A58" t="s">
        <v>7099</v>
      </c>
      <c r="B58" t="s">
        <v>7099</v>
      </c>
      <c r="C58" s="467" t="s">
        <v>7223</v>
      </c>
    </row>
    <row r="59" spans="1:3">
      <c r="A59" t="s">
        <v>7100</v>
      </c>
      <c r="B59" t="s">
        <v>7224</v>
      </c>
      <c r="C59" s="467" t="s">
        <v>7225</v>
      </c>
    </row>
    <row r="60" spans="1:3">
      <c r="A60" t="s">
        <v>3487</v>
      </c>
      <c r="B60" t="s">
        <v>7226</v>
      </c>
      <c r="C60" s="467" t="s">
        <v>3488</v>
      </c>
    </row>
    <row r="61" spans="1:3">
      <c r="A61" t="s">
        <v>7101</v>
      </c>
      <c r="B61" t="s">
        <v>7227</v>
      </c>
      <c r="C61" s="467" t="s">
        <v>7228</v>
      </c>
    </row>
    <row r="62" spans="1:3">
      <c r="A62" t="s">
        <v>4783</v>
      </c>
      <c r="B62" t="s">
        <v>4783</v>
      </c>
      <c r="C62" s="467" t="s">
        <v>4784</v>
      </c>
    </row>
    <row r="63" spans="1:3">
      <c r="A63" t="s">
        <v>1322</v>
      </c>
      <c r="B63" t="s">
        <v>6649</v>
      </c>
      <c r="C63" s="467" t="s">
        <v>6650</v>
      </c>
    </row>
    <row r="64" spans="1:3">
      <c r="A64" t="s">
        <v>7229</v>
      </c>
      <c r="C64" s="467" t="s">
        <v>7230</v>
      </c>
    </row>
    <row r="65" spans="1:3">
      <c r="A65" t="s">
        <v>7231</v>
      </c>
      <c r="B65" t="s">
        <v>7232</v>
      </c>
      <c r="C65" s="467" t="s">
        <v>7233</v>
      </c>
    </row>
    <row r="66" spans="1:3">
      <c r="A66" t="s">
        <v>1285</v>
      </c>
      <c r="B66" t="s">
        <v>1285</v>
      </c>
      <c r="C66" s="467" t="s">
        <v>6732</v>
      </c>
    </row>
    <row r="67" spans="1:3">
      <c r="A67" t="s">
        <v>2129</v>
      </c>
      <c r="B67" t="s">
        <v>7234</v>
      </c>
      <c r="C67" s="467" t="s">
        <v>7235</v>
      </c>
    </row>
    <row r="68" spans="1:3">
      <c r="A68" t="s">
        <v>1775</v>
      </c>
      <c r="B68" t="s">
        <v>7236</v>
      </c>
      <c r="C68" s="467" t="s">
        <v>2855</v>
      </c>
    </row>
    <row r="69" spans="1:3">
      <c r="A69" t="s">
        <v>3582</v>
      </c>
      <c r="B69" t="s">
        <v>7237</v>
      </c>
      <c r="C69" s="467" t="s">
        <v>3927</v>
      </c>
    </row>
    <row r="70" spans="1:3">
      <c r="A70" t="s">
        <v>1717</v>
      </c>
      <c r="B70" t="s">
        <v>7238</v>
      </c>
      <c r="C70" s="467" t="s">
        <v>7239</v>
      </c>
    </row>
    <row r="71" spans="1:3">
      <c r="A71" t="s">
        <v>2286</v>
      </c>
      <c r="B71" t="s">
        <v>7240</v>
      </c>
      <c r="C71" s="467" t="s">
        <v>2287</v>
      </c>
    </row>
    <row r="72" spans="1:3">
      <c r="A72" t="s">
        <v>3269</v>
      </c>
      <c r="B72" t="s">
        <v>7241</v>
      </c>
      <c r="C72" s="467" t="s">
        <v>7242</v>
      </c>
    </row>
    <row r="73" spans="1:3">
      <c r="A73" t="s">
        <v>7243</v>
      </c>
      <c r="C73" s="467" t="s">
        <v>7244</v>
      </c>
    </row>
    <row r="74" spans="1:3">
      <c r="A74" t="s">
        <v>7049</v>
      </c>
      <c r="C74" s="467" t="s">
        <v>7245</v>
      </c>
    </row>
    <row r="75" spans="1:3">
      <c r="A75" t="s">
        <v>7246</v>
      </c>
      <c r="B75" t="s">
        <v>7247</v>
      </c>
      <c r="C75" s="467" t="s">
        <v>3705</v>
      </c>
    </row>
    <row r="76" spans="1:3">
      <c r="A76" t="s">
        <v>7248</v>
      </c>
      <c r="C76" s="467" t="s">
        <v>7249</v>
      </c>
    </row>
    <row r="77" spans="1:3">
      <c r="A77" t="s">
        <v>3991</v>
      </c>
      <c r="B77" t="s">
        <v>7250</v>
      </c>
      <c r="C77" s="467" t="s">
        <v>7251</v>
      </c>
    </row>
    <row r="78" spans="1:3">
      <c r="A78" t="s">
        <v>7252</v>
      </c>
      <c r="C78" s="467" t="s">
        <v>7253</v>
      </c>
    </row>
    <row r="79" spans="1:3">
      <c r="A79" t="s">
        <v>7254</v>
      </c>
      <c r="C79" s="467" t="s">
        <v>7255</v>
      </c>
    </row>
    <row r="80" spans="1:3">
      <c r="A80" t="s">
        <v>3974</v>
      </c>
      <c r="B80" t="s">
        <v>7256</v>
      </c>
      <c r="C80" s="467" t="s">
        <v>3227</v>
      </c>
    </row>
    <row r="81" spans="1:3">
      <c r="A81" t="s">
        <v>7050</v>
      </c>
      <c r="B81" t="s">
        <v>7257</v>
      </c>
      <c r="C81" s="467" t="s">
        <v>4717</v>
      </c>
    </row>
    <row r="82" spans="1:3">
      <c r="A82" t="s">
        <v>7037</v>
      </c>
      <c r="C82" s="467" t="s">
        <v>7258</v>
      </c>
    </row>
    <row r="83" spans="1:3">
      <c r="A83" t="s">
        <v>5623</v>
      </c>
      <c r="B83" t="s">
        <v>7259</v>
      </c>
      <c r="C83" s="467" t="s">
        <v>7260</v>
      </c>
    </row>
    <row r="84" spans="1:3">
      <c r="A84" t="s">
        <v>5622</v>
      </c>
      <c r="B84" t="s">
        <v>7261</v>
      </c>
      <c r="C84" s="467" t="s">
        <v>7262</v>
      </c>
    </row>
    <row r="85" spans="1:3">
      <c r="A85" t="s">
        <v>7263</v>
      </c>
      <c r="C85" s="467" t="s">
        <v>7264</v>
      </c>
    </row>
    <row r="86" spans="1:3">
      <c r="A86" t="s">
        <v>7265</v>
      </c>
      <c r="B86" t="s">
        <v>7266</v>
      </c>
      <c r="C86" s="467" t="s">
        <v>7267</v>
      </c>
    </row>
    <row r="87" spans="1:3">
      <c r="A87" t="s">
        <v>7268</v>
      </c>
      <c r="C87" s="467" t="s">
        <v>7269</v>
      </c>
    </row>
    <row r="88" spans="1:3">
      <c r="A88" t="s">
        <v>7270</v>
      </c>
      <c r="B88" t="s">
        <v>7271</v>
      </c>
      <c r="C88" s="467" t="s">
        <v>7272</v>
      </c>
    </row>
    <row r="89" spans="1:3">
      <c r="A89" t="s">
        <v>3967</v>
      </c>
      <c r="B89" t="s">
        <v>7273</v>
      </c>
      <c r="C89" s="467" t="s">
        <v>3968</v>
      </c>
    </row>
  </sheetData>
  <phoneticPr fontId="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2745-1337-4B67-87A2-FEB33561E952}">
  <dimension ref="C2:D13"/>
  <sheetViews>
    <sheetView workbookViewId="0"/>
  </sheetViews>
  <sheetFormatPr defaultRowHeight="18"/>
  <cols>
    <col min="3" max="3" width="52.09765625" customWidth="1"/>
    <col min="4" max="4" width="22.8984375" style="300" customWidth="1"/>
  </cols>
  <sheetData>
    <row r="2" spans="3:4">
      <c r="C2" t="s">
        <v>1505</v>
      </c>
    </row>
    <row r="3" spans="3:4">
      <c r="C3" t="s">
        <v>1509</v>
      </c>
    </row>
    <row r="4" spans="3:4">
      <c r="C4" t="s">
        <v>1511</v>
      </c>
    </row>
    <row r="5" spans="3:4">
      <c r="C5" t="s">
        <v>5622</v>
      </c>
    </row>
    <row r="6" spans="3:4">
      <c r="C6" t="s">
        <v>5623</v>
      </c>
    </row>
    <row r="7" spans="3:4">
      <c r="C7" t="s">
        <v>5624</v>
      </c>
    </row>
    <row r="8" spans="3:4">
      <c r="C8" t="s">
        <v>5625</v>
      </c>
    </row>
    <row r="9" spans="3:4">
      <c r="C9" t="s">
        <v>1302</v>
      </c>
    </row>
    <row r="10" spans="3:4">
      <c r="C10" t="s">
        <v>5244</v>
      </c>
    </row>
    <row r="12" spans="3:4">
      <c r="C12" t="s">
        <v>1576</v>
      </c>
      <c r="D12" s="300" t="s">
        <v>4748</v>
      </c>
    </row>
    <row r="13" spans="3:4">
      <c r="C13" t="s">
        <v>1306</v>
      </c>
      <c r="D13" s="300" t="s">
        <v>5638</v>
      </c>
    </row>
  </sheetData>
  <phoneticPr fontId="5"/>
  <conditionalFormatting sqref="C1:C10 C26:C1048576 C12:C20">
    <cfRule type="duplicateValues" dxfId="15" priority="61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6E422-2147-4643-8E43-A7D1D3907610}">
  <dimension ref="A1:C342"/>
  <sheetViews>
    <sheetView workbookViewId="0"/>
  </sheetViews>
  <sheetFormatPr defaultRowHeight="18"/>
  <cols>
    <col min="1" max="1" width="47" customWidth="1"/>
    <col min="2" max="2" width="48" customWidth="1"/>
    <col min="3" max="3" width="14.69921875" customWidth="1"/>
  </cols>
  <sheetData>
    <row r="1" spans="1:3">
      <c r="A1" s="74" t="s">
        <v>6916</v>
      </c>
      <c r="B1" s="74" t="s">
        <v>6917</v>
      </c>
      <c r="C1" s="74" t="s">
        <v>6918</v>
      </c>
    </row>
    <row r="2" spans="1:3" ht="18.600000000000001">
      <c r="A2" s="70" t="s">
        <v>6042</v>
      </c>
      <c r="B2" s="70" t="s">
        <v>6042</v>
      </c>
      <c r="C2" s="70" t="s">
        <v>6043</v>
      </c>
    </row>
    <row r="3" spans="1:3" ht="18.600000000000001">
      <c r="A3" s="70" t="s">
        <v>1063</v>
      </c>
      <c r="B3" s="70" t="s">
        <v>6044</v>
      </c>
      <c r="C3" s="70" t="s">
        <v>6045</v>
      </c>
    </row>
    <row r="4" spans="1:3" ht="18.600000000000001">
      <c r="A4" s="70"/>
      <c r="B4" s="70"/>
      <c r="C4" s="70"/>
    </row>
    <row r="5" spans="1:3" ht="18.600000000000001">
      <c r="A5" s="70"/>
      <c r="B5" s="70"/>
      <c r="C5" s="70"/>
    </row>
    <row r="6" spans="1:3" ht="18.600000000000001">
      <c r="A6" s="70"/>
      <c r="B6" s="70"/>
      <c r="C6" s="70"/>
    </row>
    <row r="7" spans="1:3" ht="18.600000000000001">
      <c r="A7" s="70"/>
      <c r="B7" s="70"/>
      <c r="C7" s="70"/>
    </row>
    <row r="8" spans="1:3" ht="18.600000000000001">
      <c r="A8" s="70"/>
      <c r="B8" s="70"/>
      <c r="C8" s="70"/>
    </row>
    <row r="9" spans="1:3" ht="18.600000000000001">
      <c r="A9" s="70"/>
      <c r="B9" s="70"/>
      <c r="C9" s="70"/>
    </row>
    <row r="10" spans="1:3" ht="18.600000000000001">
      <c r="A10" s="70"/>
      <c r="B10" s="70"/>
      <c r="C10" s="70"/>
    </row>
    <row r="11" spans="1:3" ht="18.600000000000001">
      <c r="A11" s="70"/>
      <c r="B11" s="70"/>
      <c r="C11" s="70"/>
    </row>
    <row r="12" spans="1:3" ht="18.600000000000001">
      <c r="A12" s="70"/>
      <c r="B12" s="70"/>
      <c r="C12" s="70"/>
    </row>
    <row r="13" spans="1:3" ht="18.600000000000001">
      <c r="A13" s="70"/>
      <c r="B13" s="70"/>
      <c r="C13" s="70"/>
    </row>
    <row r="14" spans="1:3" ht="18.600000000000001">
      <c r="A14" s="70"/>
      <c r="B14" s="70"/>
      <c r="C14" s="70"/>
    </row>
    <row r="15" spans="1:3" ht="18.600000000000001">
      <c r="A15" s="70"/>
      <c r="B15" s="70"/>
      <c r="C15" s="70"/>
    </row>
    <row r="16" spans="1:3" ht="18.600000000000001">
      <c r="A16" s="70"/>
      <c r="B16" s="70"/>
      <c r="C16" s="70"/>
    </row>
    <row r="17" spans="1:3" ht="18.600000000000001">
      <c r="A17" s="70" t="s">
        <v>6070</v>
      </c>
      <c r="B17" s="70" t="s">
        <v>6071</v>
      </c>
      <c r="C17" s="70" t="s">
        <v>6072</v>
      </c>
    </row>
    <row r="18" spans="1:3" ht="18.600000000000001">
      <c r="A18" s="70" t="s">
        <v>6073</v>
      </c>
      <c r="B18" s="70" t="s">
        <v>6074</v>
      </c>
      <c r="C18" s="70" t="s">
        <v>6075</v>
      </c>
    </row>
    <row r="19" spans="1:3" ht="18.600000000000001">
      <c r="A19" s="70" t="s">
        <v>6076</v>
      </c>
      <c r="B19" s="70" t="s">
        <v>6077</v>
      </c>
      <c r="C19" s="70" t="s">
        <v>6078</v>
      </c>
    </row>
    <row r="20" spans="1:3" ht="18.600000000000001">
      <c r="A20" s="70" t="s">
        <v>1055</v>
      </c>
      <c r="B20" s="70" t="s">
        <v>6079</v>
      </c>
      <c r="C20" s="70" t="s">
        <v>6080</v>
      </c>
    </row>
    <row r="21" spans="1:3" ht="18.600000000000001">
      <c r="A21" s="70" t="s">
        <v>1329</v>
      </c>
      <c r="B21" s="70" t="s">
        <v>6081</v>
      </c>
      <c r="C21" s="70" t="s">
        <v>6082</v>
      </c>
    </row>
    <row r="22" spans="1:3" ht="18.600000000000001">
      <c r="A22" s="70" t="s">
        <v>6083</v>
      </c>
      <c r="B22" s="70" t="s">
        <v>6084</v>
      </c>
      <c r="C22" s="70" t="s">
        <v>6085</v>
      </c>
    </row>
    <row r="23" spans="1:3" ht="18.600000000000001">
      <c r="A23" s="70" t="s">
        <v>6086</v>
      </c>
      <c r="B23" s="70" t="s">
        <v>6087</v>
      </c>
      <c r="C23" s="70" t="s">
        <v>6088</v>
      </c>
    </row>
    <row r="24" spans="1:3" ht="18.600000000000001">
      <c r="A24" s="70" t="s">
        <v>1387</v>
      </c>
      <c r="B24" s="70" t="s">
        <v>6089</v>
      </c>
      <c r="C24" s="70" t="s">
        <v>6090</v>
      </c>
    </row>
    <row r="25" spans="1:3" ht="18.600000000000001">
      <c r="A25" s="70" t="s">
        <v>6091</v>
      </c>
      <c r="B25" s="70" t="s">
        <v>6092</v>
      </c>
      <c r="C25" s="70" t="s">
        <v>6093</v>
      </c>
    </row>
    <row r="26" spans="1:3" ht="18.600000000000001">
      <c r="A26" s="70" t="s">
        <v>6094</v>
      </c>
      <c r="B26" s="70" t="s">
        <v>6095</v>
      </c>
      <c r="C26" s="70" t="s">
        <v>6096</v>
      </c>
    </row>
    <row r="27" spans="1:3" ht="36">
      <c r="A27" s="70" t="s">
        <v>1527</v>
      </c>
      <c r="B27" s="70" t="s">
        <v>6097</v>
      </c>
      <c r="C27" s="70" t="s">
        <v>6098</v>
      </c>
    </row>
    <row r="28" spans="1:3" ht="18.600000000000001">
      <c r="A28" s="70" t="s">
        <v>6099</v>
      </c>
      <c r="B28" s="70" t="s">
        <v>6100</v>
      </c>
      <c r="C28" s="70" t="s">
        <v>6101</v>
      </c>
    </row>
    <row r="29" spans="1:3" ht="18.600000000000001">
      <c r="A29" s="70" t="s">
        <v>6102</v>
      </c>
      <c r="B29" s="70" t="s">
        <v>6102</v>
      </c>
      <c r="C29" s="70" t="s">
        <v>6103</v>
      </c>
    </row>
    <row r="30" spans="1:3" ht="18.600000000000001">
      <c r="A30" s="70" t="s">
        <v>2002</v>
      </c>
      <c r="B30" s="70" t="s">
        <v>6104</v>
      </c>
      <c r="C30" s="70" t="s">
        <v>6105</v>
      </c>
    </row>
    <row r="31" spans="1:3" ht="18.600000000000001">
      <c r="A31" s="70" t="s">
        <v>6106</v>
      </c>
      <c r="B31" s="70" t="s">
        <v>6106</v>
      </c>
      <c r="C31" s="70" t="s">
        <v>6107</v>
      </c>
    </row>
    <row r="32" spans="1:3" ht="18.600000000000001">
      <c r="A32" s="70" t="s">
        <v>6108</v>
      </c>
      <c r="B32" s="70" t="s">
        <v>6109</v>
      </c>
      <c r="C32" s="70" t="s">
        <v>6110</v>
      </c>
    </row>
    <row r="33" spans="1:3" ht="18.600000000000001">
      <c r="A33" s="70" t="s">
        <v>5568</v>
      </c>
      <c r="B33" s="70" t="s">
        <v>5568</v>
      </c>
      <c r="C33" s="70" t="s">
        <v>6111</v>
      </c>
    </row>
    <row r="34" spans="1:3" ht="18.600000000000001">
      <c r="A34" s="70" t="s">
        <v>6112</v>
      </c>
      <c r="B34" s="70" t="s">
        <v>6113</v>
      </c>
      <c r="C34" s="70" t="s">
        <v>6114</v>
      </c>
    </row>
    <row r="35" spans="1:3" ht="18.600000000000001">
      <c r="A35" s="70" t="s">
        <v>6115</v>
      </c>
      <c r="B35" s="70" t="s">
        <v>6115</v>
      </c>
      <c r="C35" s="70" t="s">
        <v>6116</v>
      </c>
    </row>
    <row r="36" spans="1:3" ht="18.600000000000001">
      <c r="A36" s="70" t="s">
        <v>6117</v>
      </c>
      <c r="B36" s="70" t="s">
        <v>6118</v>
      </c>
      <c r="C36" s="70" t="s">
        <v>6119</v>
      </c>
    </row>
    <row r="37" spans="1:3" ht="18.600000000000001">
      <c r="A37" s="70" t="s">
        <v>6120</v>
      </c>
      <c r="B37" s="70" t="s">
        <v>6121</v>
      </c>
      <c r="C37" s="70" t="s">
        <v>6122</v>
      </c>
    </row>
    <row r="38" spans="1:3" ht="18.600000000000001">
      <c r="A38" s="70" t="s">
        <v>6123</v>
      </c>
      <c r="B38" s="70" t="s">
        <v>6124</v>
      </c>
      <c r="C38" s="70" t="s">
        <v>6125</v>
      </c>
    </row>
    <row r="39" spans="1:3" ht="18.600000000000001">
      <c r="A39" s="70" t="s">
        <v>6126</v>
      </c>
      <c r="B39" s="70" t="s">
        <v>6127</v>
      </c>
      <c r="C39" s="70" t="s">
        <v>6128</v>
      </c>
    </row>
    <row r="40" spans="1:3" ht="18.600000000000001">
      <c r="A40" s="70" t="s">
        <v>6129</v>
      </c>
      <c r="B40" s="70" t="s">
        <v>6130</v>
      </c>
      <c r="C40" s="70" t="s">
        <v>6131</v>
      </c>
    </row>
    <row r="41" spans="1:3" ht="18.600000000000001">
      <c r="A41" s="70" t="s">
        <v>6132</v>
      </c>
      <c r="B41" s="70" t="s">
        <v>6133</v>
      </c>
      <c r="C41" s="70" t="s">
        <v>6134</v>
      </c>
    </row>
    <row r="42" spans="1:3" ht="18.600000000000001">
      <c r="A42" s="70" t="s">
        <v>6135</v>
      </c>
      <c r="B42" s="70" t="s">
        <v>6136</v>
      </c>
      <c r="C42" s="70" t="s">
        <v>6137</v>
      </c>
    </row>
    <row r="43" spans="1:3" ht="18.600000000000001">
      <c r="A43" s="70" t="s">
        <v>6138</v>
      </c>
      <c r="B43" s="70" t="s">
        <v>6139</v>
      </c>
      <c r="C43" s="70" t="s">
        <v>6140</v>
      </c>
    </row>
    <row r="44" spans="1:3" ht="18.600000000000001">
      <c r="A44" s="70" t="s">
        <v>6141</v>
      </c>
      <c r="B44" s="70" t="s">
        <v>6142</v>
      </c>
      <c r="C44" s="70" t="s">
        <v>6143</v>
      </c>
    </row>
    <row r="45" spans="1:3" ht="36">
      <c r="A45" s="70" t="s">
        <v>6144</v>
      </c>
      <c r="B45" s="70" t="s">
        <v>6145</v>
      </c>
      <c r="C45" s="70" t="s">
        <v>6146</v>
      </c>
    </row>
    <row r="46" spans="1:3" ht="18.600000000000001">
      <c r="A46" s="70" t="s">
        <v>6147</v>
      </c>
      <c r="B46" s="70" t="s">
        <v>6147</v>
      </c>
      <c r="C46" s="70" t="s">
        <v>6148</v>
      </c>
    </row>
    <row r="47" spans="1:3" ht="18.600000000000001">
      <c r="A47" s="70" t="s">
        <v>6149</v>
      </c>
      <c r="B47" s="70" t="s">
        <v>6150</v>
      </c>
      <c r="C47" s="70" t="s">
        <v>6151</v>
      </c>
    </row>
    <row r="48" spans="1:3" ht="18.600000000000001">
      <c r="A48" s="70" t="s">
        <v>6152</v>
      </c>
      <c r="B48" s="70" t="s">
        <v>6153</v>
      </c>
      <c r="C48" s="70" t="s">
        <v>6154</v>
      </c>
    </row>
    <row r="49" spans="1:3" ht="18.600000000000001">
      <c r="A49" s="70" t="s">
        <v>6155</v>
      </c>
      <c r="B49" s="70" t="s">
        <v>6156</v>
      </c>
      <c r="C49" s="70" t="s">
        <v>6157</v>
      </c>
    </row>
    <row r="50" spans="1:3" ht="18.600000000000001">
      <c r="A50" s="70" t="s">
        <v>6158</v>
      </c>
      <c r="B50" s="70" t="s">
        <v>6159</v>
      </c>
      <c r="C50" s="70" t="s">
        <v>6160</v>
      </c>
    </row>
    <row r="51" spans="1:3" ht="18.600000000000001">
      <c r="A51" s="70" t="s">
        <v>6161</v>
      </c>
      <c r="B51" s="70" t="s">
        <v>6162</v>
      </c>
      <c r="C51" s="70" t="s">
        <v>6163</v>
      </c>
    </row>
    <row r="52" spans="1:3" ht="18.600000000000001">
      <c r="A52" s="70" t="s">
        <v>6164</v>
      </c>
      <c r="B52" s="70" t="s">
        <v>6165</v>
      </c>
      <c r="C52" s="70" t="s">
        <v>6166</v>
      </c>
    </row>
    <row r="53" spans="1:3" ht="18.600000000000001">
      <c r="A53" s="70" t="s">
        <v>6167</v>
      </c>
      <c r="B53" s="70" t="s">
        <v>6168</v>
      </c>
      <c r="C53" s="70" t="s">
        <v>6169</v>
      </c>
    </row>
    <row r="54" spans="1:3" ht="18.600000000000001">
      <c r="A54" s="70" t="s">
        <v>6170</v>
      </c>
      <c r="B54" s="70" t="s">
        <v>6171</v>
      </c>
      <c r="C54" s="70" t="s">
        <v>6172</v>
      </c>
    </row>
    <row r="55" spans="1:3" ht="18.600000000000001">
      <c r="A55" s="70" t="s">
        <v>6173</v>
      </c>
      <c r="B55" s="70" t="s">
        <v>6174</v>
      </c>
      <c r="C55" s="70" t="s">
        <v>6175</v>
      </c>
    </row>
    <row r="56" spans="1:3" ht="18.600000000000001">
      <c r="A56" s="70" t="s">
        <v>6176</v>
      </c>
      <c r="B56" s="70" t="s">
        <v>6177</v>
      </c>
      <c r="C56" s="70" t="s">
        <v>6178</v>
      </c>
    </row>
    <row r="57" spans="1:3" ht="18.600000000000001">
      <c r="A57" s="70" t="s">
        <v>6179</v>
      </c>
      <c r="B57" s="70" t="s">
        <v>6180</v>
      </c>
      <c r="C57" s="70" t="s">
        <v>6181</v>
      </c>
    </row>
    <row r="58" spans="1:3" ht="18.600000000000001">
      <c r="A58" s="70" t="s">
        <v>6182</v>
      </c>
      <c r="B58" s="70" t="s">
        <v>6183</v>
      </c>
      <c r="C58" s="70" t="s">
        <v>6184</v>
      </c>
    </row>
    <row r="59" spans="1:3" ht="18.600000000000001">
      <c r="A59" s="70" t="s">
        <v>6185</v>
      </c>
      <c r="B59" s="70" t="s">
        <v>6186</v>
      </c>
      <c r="C59" s="70" t="s">
        <v>6187</v>
      </c>
    </row>
    <row r="60" spans="1:3" ht="18.600000000000001">
      <c r="A60" s="70" t="s">
        <v>5881</v>
      </c>
      <c r="B60" s="70" t="s">
        <v>5882</v>
      </c>
      <c r="C60" s="70" t="s">
        <v>5883</v>
      </c>
    </row>
    <row r="61" spans="1:3" ht="18.600000000000001">
      <c r="A61" s="70" t="s">
        <v>6188</v>
      </c>
      <c r="B61" s="70" t="s">
        <v>6189</v>
      </c>
      <c r="C61" s="70" t="s">
        <v>6190</v>
      </c>
    </row>
    <row r="62" spans="1:3" ht="36">
      <c r="A62" s="70" t="s">
        <v>6191</v>
      </c>
      <c r="B62" s="70" t="s">
        <v>6192</v>
      </c>
      <c r="C62" s="70" t="s">
        <v>6193</v>
      </c>
    </row>
    <row r="63" spans="1:3" ht="18.600000000000001">
      <c r="A63" s="70" t="s">
        <v>6194</v>
      </c>
      <c r="B63" s="70" t="s">
        <v>6195</v>
      </c>
      <c r="C63" s="70" t="s">
        <v>6196</v>
      </c>
    </row>
    <row r="64" spans="1:3" ht="18.600000000000001">
      <c r="A64" s="70" t="s">
        <v>6197</v>
      </c>
      <c r="B64" s="70" t="s">
        <v>6198</v>
      </c>
      <c r="C64" s="70" t="s">
        <v>6199</v>
      </c>
    </row>
    <row r="65" spans="1:3" ht="18.600000000000001">
      <c r="A65" s="70" t="s">
        <v>6200</v>
      </c>
      <c r="B65" s="70" t="s">
        <v>6200</v>
      </c>
      <c r="C65" s="70" t="s">
        <v>6201</v>
      </c>
    </row>
    <row r="66" spans="1:3" ht="18.600000000000001">
      <c r="A66" s="70" t="s">
        <v>6202</v>
      </c>
      <c r="B66" s="70" t="s">
        <v>6202</v>
      </c>
      <c r="C66" s="70" t="s">
        <v>6203</v>
      </c>
    </row>
    <row r="67" spans="1:3" ht="18.600000000000001">
      <c r="A67" s="70" t="s">
        <v>6204</v>
      </c>
      <c r="B67" s="70" t="s">
        <v>6204</v>
      </c>
      <c r="C67" s="70" t="s">
        <v>6205</v>
      </c>
    </row>
    <row r="68" spans="1:3" ht="18.600000000000001">
      <c r="A68" s="70" t="s">
        <v>6206</v>
      </c>
      <c r="B68" s="70" t="s">
        <v>6207</v>
      </c>
      <c r="C68" s="70" t="s">
        <v>6208</v>
      </c>
    </row>
    <row r="69" spans="1:3" ht="18.600000000000001">
      <c r="A69" s="70" t="s">
        <v>6209</v>
      </c>
      <c r="B69" s="70" t="s">
        <v>6209</v>
      </c>
      <c r="C69" s="70" t="s">
        <v>6210</v>
      </c>
    </row>
    <row r="70" spans="1:3" ht="18.600000000000001">
      <c r="A70" s="70" t="s">
        <v>6211</v>
      </c>
      <c r="B70" s="70" t="s">
        <v>6212</v>
      </c>
      <c r="C70" s="70" t="s">
        <v>6213</v>
      </c>
    </row>
    <row r="71" spans="1:3" ht="18.600000000000001">
      <c r="A71" s="70" t="s">
        <v>6214</v>
      </c>
      <c r="B71" s="70" t="s">
        <v>6215</v>
      </c>
      <c r="C71" s="70" t="s">
        <v>6216</v>
      </c>
    </row>
    <row r="72" spans="1:3" ht="18.600000000000001">
      <c r="A72" s="70" t="s">
        <v>6217</v>
      </c>
      <c r="B72" s="70" t="s">
        <v>6218</v>
      </c>
      <c r="C72" s="70" t="s">
        <v>6219</v>
      </c>
    </row>
    <row r="73" spans="1:3" ht="18.600000000000001">
      <c r="A73" s="70" t="s">
        <v>6220</v>
      </c>
      <c r="B73" s="70" t="s">
        <v>6221</v>
      </c>
      <c r="C73" s="70" t="s">
        <v>6222</v>
      </c>
    </row>
    <row r="74" spans="1:3" ht="18.600000000000001">
      <c r="A74" s="70" t="s">
        <v>6223</v>
      </c>
      <c r="B74" s="70" t="s">
        <v>6224</v>
      </c>
      <c r="C74" s="70" t="s">
        <v>6225</v>
      </c>
    </row>
    <row r="75" spans="1:3" ht="36">
      <c r="A75" s="70" t="s">
        <v>6226</v>
      </c>
      <c r="B75" s="70" t="s">
        <v>6227</v>
      </c>
      <c r="C75" s="70" t="s">
        <v>6228</v>
      </c>
    </row>
    <row r="76" spans="1:3" ht="18.600000000000001">
      <c r="A76" s="70" t="s">
        <v>6229</v>
      </c>
      <c r="B76" s="70" t="s">
        <v>6230</v>
      </c>
      <c r="C76" s="70" t="s">
        <v>6231</v>
      </c>
    </row>
    <row r="77" spans="1:3" ht="36">
      <c r="A77" s="70" t="s">
        <v>6232</v>
      </c>
      <c r="B77" s="70" t="s">
        <v>6233</v>
      </c>
      <c r="C77" s="70" t="s">
        <v>6234</v>
      </c>
    </row>
    <row r="78" spans="1:3" ht="36">
      <c r="A78" s="70" t="s">
        <v>1532</v>
      </c>
      <c r="B78" s="70" t="s">
        <v>6235</v>
      </c>
      <c r="C78" s="70" t="s">
        <v>6236</v>
      </c>
    </row>
    <row r="79" spans="1:3" ht="18.600000000000001">
      <c r="A79" s="70" t="s">
        <v>6237</v>
      </c>
      <c r="B79" s="70" t="s">
        <v>6238</v>
      </c>
      <c r="C79" s="70" t="s">
        <v>6239</v>
      </c>
    </row>
    <row r="80" spans="1:3" ht="18.600000000000001">
      <c r="A80" s="70" t="s">
        <v>6240</v>
      </c>
      <c r="B80" s="70" t="s">
        <v>6241</v>
      </c>
      <c r="C80" s="70" t="s">
        <v>6242</v>
      </c>
    </row>
    <row r="81" spans="1:3" ht="18.600000000000001">
      <c r="A81" s="70" t="s">
        <v>1516</v>
      </c>
      <c r="B81" s="70" t="s">
        <v>6243</v>
      </c>
      <c r="C81" s="70" t="s">
        <v>5256</v>
      </c>
    </row>
    <row r="82" spans="1:3" ht="18.600000000000001">
      <c r="A82" s="70" t="s">
        <v>6244</v>
      </c>
      <c r="B82" s="70" t="s">
        <v>6245</v>
      </c>
      <c r="C82" s="70" t="s">
        <v>6246</v>
      </c>
    </row>
    <row r="83" spans="1:3" ht="18.600000000000001">
      <c r="A83" s="70" t="s">
        <v>6247</v>
      </c>
      <c r="B83" s="70" t="s">
        <v>6248</v>
      </c>
      <c r="C83" s="70" t="s">
        <v>6249</v>
      </c>
    </row>
    <row r="84" spans="1:3" ht="36">
      <c r="A84" s="70" t="s">
        <v>1521</v>
      </c>
      <c r="B84" s="70" t="s">
        <v>6250</v>
      </c>
      <c r="C84" s="70" t="s">
        <v>6251</v>
      </c>
    </row>
    <row r="85" spans="1:3" ht="36">
      <c r="A85" s="70" t="s">
        <v>1038</v>
      </c>
      <c r="B85" s="70" t="s">
        <v>6252</v>
      </c>
      <c r="C85" s="70" t="s">
        <v>6253</v>
      </c>
    </row>
    <row r="86" spans="1:3" ht="18.600000000000001">
      <c r="A86" s="70" t="s">
        <v>1010</v>
      </c>
      <c r="B86" s="70" t="s">
        <v>6254</v>
      </c>
      <c r="C86" s="70" t="s">
        <v>6255</v>
      </c>
    </row>
    <row r="87" spans="1:3" ht="36">
      <c r="A87" s="70" t="s">
        <v>1496</v>
      </c>
      <c r="B87" s="70" t="s">
        <v>5897</v>
      </c>
      <c r="C87" s="70" t="s">
        <v>5898</v>
      </c>
    </row>
    <row r="88" spans="1:3" ht="18.600000000000001">
      <c r="A88" s="70" t="s">
        <v>6256</v>
      </c>
      <c r="B88" s="70" t="s">
        <v>6257</v>
      </c>
      <c r="C88" s="70" t="s">
        <v>6258</v>
      </c>
    </row>
    <row r="89" spans="1:3" ht="18.600000000000001">
      <c r="A89" s="70" t="s">
        <v>6259</v>
      </c>
      <c r="B89" s="70" t="s">
        <v>6260</v>
      </c>
      <c r="C89" s="70" t="s">
        <v>6261</v>
      </c>
    </row>
    <row r="90" spans="1:3" ht="18.600000000000001">
      <c r="A90" s="70" t="s">
        <v>1501</v>
      </c>
      <c r="B90" s="70" t="s">
        <v>6262</v>
      </c>
      <c r="C90" s="70" t="s">
        <v>6263</v>
      </c>
    </row>
    <row r="91" spans="1:3" ht="18.600000000000001">
      <c r="A91" s="70" t="s">
        <v>6264</v>
      </c>
      <c r="B91" s="70" t="s">
        <v>6265</v>
      </c>
      <c r="C91" s="70" t="s">
        <v>6266</v>
      </c>
    </row>
    <row r="92" spans="1:3" ht="18.600000000000001">
      <c r="A92" s="70" t="s">
        <v>6267</v>
      </c>
      <c r="B92" s="70" t="s">
        <v>6268</v>
      </c>
      <c r="C92" s="70" t="s">
        <v>6269</v>
      </c>
    </row>
    <row r="93" spans="1:3" ht="18.600000000000001">
      <c r="A93" s="70" t="s">
        <v>6270</v>
      </c>
      <c r="B93" s="70" t="s">
        <v>6271</v>
      </c>
      <c r="C93" s="70" t="s">
        <v>6272</v>
      </c>
    </row>
    <row r="94" spans="1:3" ht="18.600000000000001">
      <c r="A94" s="70" t="s">
        <v>1816</v>
      </c>
      <c r="B94" s="70" t="s">
        <v>6273</v>
      </c>
      <c r="C94" s="70" t="s">
        <v>6274</v>
      </c>
    </row>
    <row r="95" spans="1:3" ht="18.600000000000001">
      <c r="A95" s="70" t="s">
        <v>6275</v>
      </c>
      <c r="B95" s="70" t="s">
        <v>6276</v>
      </c>
      <c r="C95" s="70" t="s">
        <v>6277</v>
      </c>
    </row>
    <row r="96" spans="1:3" ht="18.600000000000001">
      <c r="A96" s="70" t="s">
        <v>6278</v>
      </c>
      <c r="B96" s="70" t="s">
        <v>6279</v>
      </c>
      <c r="C96" s="70" t="s">
        <v>6280</v>
      </c>
    </row>
    <row r="97" spans="1:3" ht="36">
      <c r="A97" s="70" t="s">
        <v>6281</v>
      </c>
      <c r="B97" s="70" t="s">
        <v>6282</v>
      </c>
      <c r="C97" s="70" t="s">
        <v>6283</v>
      </c>
    </row>
    <row r="98" spans="1:3" ht="36">
      <c r="A98" s="70" t="s">
        <v>6284</v>
      </c>
      <c r="B98" s="70" t="s">
        <v>6285</v>
      </c>
      <c r="C98" s="70" t="s">
        <v>6286</v>
      </c>
    </row>
    <row r="99" spans="1:3" ht="18.600000000000001">
      <c r="A99" s="70" t="s">
        <v>6287</v>
      </c>
      <c r="B99" s="70" t="s">
        <v>6288</v>
      </c>
      <c r="C99" s="70" t="s">
        <v>6289</v>
      </c>
    </row>
    <row r="100" spans="1:3" ht="18.600000000000001">
      <c r="A100" s="70" t="s">
        <v>1023</v>
      </c>
      <c r="B100" s="70" t="s">
        <v>6290</v>
      </c>
      <c r="C100" s="70" t="s">
        <v>6291</v>
      </c>
    </row>
    <row r="101" spans="1:3" ht="18.600000000000001">
      <c r="A101" s="70" t="s">
        <v>6292</v>
      </c>
      <c r="B101" s="70" t="s">
        <v>6293</v>
      </c>
      <c r="C101" s="70" t="s">
        <v>6294</v>
      </c>
    </row>
    <row r="102" spans="1:3" ht="18.600000000000001">
      <c r="A102" s="70" t="s">
        <v>6295</v>
      </c>
      <c r="B102" s="70" t="s">
        <v>6296</v>
      </c>
      <c r="C102" s="70" t="s">
        <v>6297</v>
      </c>
    </row>
    <row r="103" spans="1:3" ht="18.600000000000001">
      <c r="A103" s="70" t="s">
        <v>6298</v>
      </c>
      <c r="B103" s="70" t="s">
        <v>6299</v>
      </c>
      <c r="C103" s="70" t="s">
        <v>6300</v>
      </c>
    </row>
    <row r="104" spans="1:3" ht="18.600000000000001">
      <c r="A104" s="70" t="s">
        <v>1009</v>
      </c>
      <c r="B104" s="70" t="s">
        <v>6301</v>
      </c>
      <c r="C104" s="70" t="s">
        <v>6302</v>
      </c>
    </row>
    <row r="105" spans="1:3" ht="18.600000000000001">
      <c r="A105" s="70" t="s">
        <v>6303</v>
      </c>
      <c r="B105" s="70" t="s">
        <v>6304</v>
      </c>
      <c r="C105" s="70" t="s">
        <v>6305</v>
      </c>
    </row>
    <row r="106" spans="1:3" ht="18.600000000000001">
      <c r="A106" s="70" t="s">
        <v>6306</v>
      </c>
      <c r="B106" s="70" t="s">
        <v>6307</v>
      </c>
      <c r="C106" s="70" t="s">
        <v>6308</v>
      </c>
    </row>
    <row r="107" spans="1:3" ht="18.600000000000001">
      <c r="A107" s="70" t="s">
        <v>6309</v>
      </c>
      <c r="B107" s="70" t="s">
        <v>6310</v>
      </c>
      <c r="C107" s="70" t="s">
        <v>6311</v>
      </c>
    </row>
    <row r="108" spans="1:3" ht="18.600000000000001">
      <c r="A108" s="70" t="s">
        <v>5906</v>
      </c>
      <c r="B108" s="70" t="s">
        <v>5907</v>
      </c>
      <c r="C108" s="70" t="s">
        <v>5908</v>
      </c>
    </row>
    <row r="109" spans="1:3" ht="18.600000000000001">
      <c r="A109" s="70" t="s">
        <v>5904</v>
      </c>
      <c r="B109" s="70" t="s">
        <v>5904</v>
      </c>
      <c r="C109" s="70" t="s">
        <v>5905</v>
      </c>
    </row>
    <row r="110" spans="1:3" ht="18.600000000000001">
      <c r="A110" s="70" t="s">
        <v>5902</v>
      </c>
      <c r="B110" s="70" t="s">
        <v>5902</v>
      </c>
      <c r="C110" s="70" t="s">
        <v>5903</v>
      </c>
    </row>
    <row r="111" spans="1:3" ht="18.600000000000001">
      <c r="A111" s="70" t="s">
        <v>6312</v>
      </c>
      <c r="B111" s="70" t="s">
        <v>6313</v>
      </c>
      <c r="C111" s="70" t="s">
        <v>6314</v>
      </c>
    </row>
    <row r="112" spans="1:3" ht="36">
      <c r="A112" s="70" t="s">
        <v>6315</v>
      </c>
      <c r="B112" s="70" t="s">
        <v>6316</v>
      </c>
      <c r="C112" s="70" t="s">
        <v>6317</v>
      </c>
    </row>
    <row r="113" spans="1:3" ht="18.600000000000001">
      <c r="A113" s="70" t="s">
        <v>6318</v>
      </c>
      <c r="B113" s="70" t="s">
        <v>6319</v>
      </c>
      <c r="C113" s="70" t="s">
        <v>6320</v>
      </c>
    </row>
    <row r="114" spans="1:3" ht="18.600000000000001">
      <c r="A114" s="70" t="s">
        <v>6321</v>
      </c>
      <c r="B114" s="70" t="s">
        <v>6322</v>
      </c>
      <c r="C114" s="70" t="s">
        <v>6323</v>
      </c>
    </row>
    <row r="115" spans="1:3" ht="18.600000000000001">
      <c r="A115" s="70" t="s">
        <v>6324</v>
      </c>
      <c r="B115" s="70" t="s">
        <v>6325</v>
      </c>
      <c r="C115" s="70" t="s">
        <v>6326</v>
      </c>
    </row>
    <row r="116" spans="1:3" ht="36">
      <c r="A116" s="70" t="s">
        <v>1191</v>
      </c>
      <c r="B116" s="70" t="s">
        <v>6327</v>
      </c>
      <c r="C116" s="70" t="s">
        <v>6328</v>
      </c>
    </row>
    <row r="117" spans="1:3" ht="18.600000000000001">
      <c r="A117" s="70" t="s">
        <v>6329</v>
      </c>
      <c r="B117" s="70" t="s">
        <v>6330</v>
      </c>
      <c r="C117" s="70" t="s">
        <v>6331</v>
      </c>
    </row>
    <row r="118" spans="1:3" ht="18.600000000000001">
      <c r="A118" s="70" t="s">
        <v>6332</v>
      </c>
      <c r="B118" s="70" t="s">
        <v>6333</v>
      </c>
      <c r="C118" s="70" t="s">
        <v>6334</v>
      </c>
    </row>
    <row r="119" spans="1:3" ht="18.600000000000001">
      <c r="A119" s="70" t="s">
        <v>6335</v>
      </c>
      <c r="B119" s="70" t="s">
        <v>6336</v>
      </c>
      <c r="C119" s="70" t="s">
        <v>6337</v>
      </c>
    </row>
    <row r="120" spans="1:3" ht="18.600000000000001">
      <c r="A120" s="70" t="s">
        <v>6338</v>
      </c>
      <c r="B120" s="70" t="s">
        <v>6339</v>
      </c>
      <c r="C120" s="70" t="s">
        <v>6340</v>
      </c>
    </row>
    <row r="121" spans="1:3" ht="18.600000000000001">
      <c r="A121" s="70" t="s">
        <v>6341</v>
      </c>
      <c r="B121" s="70" t="s">
        <v>6342</v>
      </c>
      <c r="C121" s="70" t="s">
        <v>6343</v>
      </c>
    </row>
    <row r="122" spans="1:3" ht="18.600000000000001">
      <c r="A122" s="70" t="s">
        <v>6344</v>
      </c>
      <c r="B122" s="70" t="s">
        <v>6345</v>
      </c>
      <c r="C122" s="70" t="s">
        <v>6346</v>
      </c>
    </row>
    <row r="123" spans="1:3" ht="18.600000000000001">
      <c r="A123" s="70" t="s">
        <v>6347</v>
      </c>
      <c r="B123" s="70" t="s">
        <v>6348</v>
      </c>
      <c r="C123" s="70" t="s">
        <v>6349</v>
      </c>
    </row>
    <row r="124" spans="1:3" ht="18.600000000000001">
      <c r="A124" s="70" t="s">
        <v>6350</v>
      </c>
      <c r="B124" s="70" t="s">
        <v>6351</v>
      </c>
      <c r="C124" s="70" t="s">
        <v>6352</v>
      </c>
    </row>
    <row r="125" spans="1:3" ht="18.600000000000001">
      <c r="A125" s="70" t="s">
        <v>6353</v>
      </c>
      <c r="B125" s="70" t="s">
        <v>6354</v>
      </c>
      <c r="C125" s="70" t="s">
        <v>6355</v>
      </c>
    </row>
    <row r="126" spans="1:3" ht="18.600000000000001">
      <c r="A126" s="70" t="s">
        <v>6356</v>
      </c>
      <c r="B126" s="70" t="s">
        <v>6357</v>
      </c>
      <c r="C126" s="70" t="s">
        <v>6358</v>
      </c>
    </row>
    <row r="127" spans="1:3" ht="18.600000000000001">
      <c r="A127" s="70" t="s">
        <v>6359</v>
      </c>
      <c r="B127" s="70" t="s">
        <v>6360</v>
      </c>
      <c r="C127" s="70" t="s">
        <v>6361</v>
      </c>
    </row>
    <row r="128" spans="1:3" ht="36">
      <c r="A128" s="70" t="s">
        <v>6362</v>
      </c>
      <c r="B128" s="70" t="s">
        <v>6363</v>
      </c>
      <c r="C128" s="70" t="s">
        <v>6364</v>
      </c>
    </row>
    <row r="129" spans="1:3" ht="18.600000000000001">
      <c r="A129" s="70" t="s">
        <v>6365</v>
      </c>
      <c r="B129" s="70" t="s">
        <v>6366</v>
      </c>
      <c r="C129" s="70" t="s">
        <v>6367</v>
      </c>
    </row>
    <row r="130" spans="1:3" ht="36">
      <c r="A130" s="70" t="s">
        <v>6368</v>
      </c>
      <c r="B130" s="70" t="s">
        <v>6369</v>
      </c>
      <c r="C130" s="70" t="s">
        <v>6370</v>
      </c>
    </row>
    <row r="131" spans="1:3" ht="18.600000000000001">
      <c r="A131" s="70" t="s">
        <v>6371</v>
      </c>
      <c r="B131" s="70" t="s">
        <v>6372</v>
      </c>
      <c r="C131" s="70" t="s">
        <v>6373</v>
      </c>
    </row>
    <row r="132" spans="1:3" ht="36">
      <c r="A132" s="70" t="s">
        <v>1574</v>
      </c>
      <c r="B132" s="70" t="s">
        <v>6374</v>
      </c>
      <c r="C132" s="70" t="s">
        <v>5251</v>
      </c>
    </row>
    <row r="133" spans="1:3" ht="36">
      <c r="A133" s="70" t="s">
        <v>6375</v>
      </c>
      <c r="B133" s="70" t="s">
        <v>6376</v>
      </c>
      <c r="C133" s="70" t="s">
        <v>6377</v>
      </c>
    </row>
    <row r="134" spans="1:3" ht="18.600000000000001">
      <c r="A134" s="70" t="s">
        <v>6378</v>
      </c>
      <c r="B134" s="70" t="s">
        <v>6379</v>
      </c>
      <c r="C134" s="70" t="s">
        <v>6380</v>
      </c>
    </row>
    <row r="135" spans="1:3" ht="18.600000000000001">
      <c r="A135" s="70" t="s">
        <v>6381</v>
      </c>
      <c r="B135" s="70" t="s">
        <v>6381</v>
      </c>
      <c r="C135" s="70" t="s">
        <v>6382</v>
      </c>
    </row>
    <row r="136" spans="1:3" ht="18.600000000000001">
      <c r="A136" s="70" t="s">
        <v>6383</v>
      </c>
      <c r="B136" s="70" t="s">
        <v>6384</v>
      </c>
      <c r="C136" s="70" t="s">
        <v>6385</v>
      </c>
    </row>
    <row r="137" spans="1:3" ht="18.600000000000001">
      <c r="A137" s="70" t="s">
        <v>6386</v>
      </c>
      <c r="B137" s="70" t="s">
        <v>6387</v>
      </c>
      <c r="C137" s="70" t="s">
        <v>6388</v>
      </c>
    </row>
    <row r="138" spans="1:3" ht="18.600000000000001">
      <c r="A138" s="70" t="s">
        <v>6389</v>
      </c>
      <c r="B138" s="70" t="s">
        <v>6390</v>
      </c>
      <c r="C138" s="70" t="s">
        <v>6391</v>
      </c>
    </row>
    <row r="139" spans="1:3" ht="18.600000000000001">
      <c r="A139" s="70" t="s">
        <v>6392</v>
      </c>
      <c r="B139" s="70" t="s">
        <v>6393</v>
      </c>
      <c r="C139" s="70" t="s">
        <v>6394</v>
      </c>
    </row>
    <row r="140" spans="1:3" ht="18.600000000000001">
      <c r="A140" s="70" t="s">
        <v>6395</v>
      </c>
      <c r="B140" s="70" t="s">
        <v>6396</v>
      </c>
      <c r="C140" s="70" t="s">
        <v>6397</v>
      </c>
    </row>
    <row r="141" spans="1:3" ht="18.600000000000001">
      <c r="A141" s="70" t="s">
        <v>6398</v>
      </c>
      <c r="B141" s="70" t="s">
        <v>6399</v>
      </c>
      <c r="C141" s="70" t="s">
        <v>6400</v>
      </c>
    </row>
    <row r="142" spans="1:3" ht="18.600000000000001">
      <c r="A142" s="70" t="s">
        <v>6401</v>
      </c>
      <c r="B142" s="70" t="s">
        <v>6402</v>
      </c>
      <c r="C142" s="70" t="s">
        <v>6403</v>
      </c>
    </row>
    <row r="143" spans="1:3" ht="18.600000000000001">
      <c r="A143" s="70" t="s">
        <v>6404</v>
      </c>
      <c r="B143" s="70" t="s">
        <v>6405</v>
      </c>
      <c r="C143" s="70" t="s">
        <v>6406</v>
      </c>
    </row>
    <row r="144" spans="1:3" ht="18.600000000000001">
      <c r="A144" s="70" t="s">
        <v>1418</v>
      </c>
      <c r="B144" s="70" t="s">
        <v>6407</v>
      </c>
      <c r="C144" s="70" t="s">
        <v>6408</v>
      </c>
    </row>
    <row r="145" spans="1:3" ht="18.600000000000001">
      <c r="A145" s="70" t="s">
        <v>6409</v>
      </c>
      <c r="B145" s="70" t="s">
        <v>6410</v>
      </c>
      <c r="C145" s="70" t="s">
        <v>6411</v>
      </c>
    </row>
    <row r="146" spans="1:3" ht="18.600000000000001">
      <c r="A146" s="70" t="s">
        <v>1243</v>
      </c>
      <c r="B146" s="70" t="s">
        <v>6412</v>
      </c>
      <c r="C146" s="70" t="s">
        <v>6413</v>
      </c>
    </row>
    <row r="147" spans="1:3" ht="18.600000000000001">
      <c r="A147" s="70" t="s">
        <v>6414</v>
      </c>
      <c r="B147" s="70" t="s">
        <v>6415</v>
      </c>
      <c r="C147" s="70" t="s">
        <v>6416</v>
      </c>
    </row>
    <row r="148" spans="1:3" ht="18.600000000000001">
      <c r="A148" s="70" t="s">
        <v>1864</v>
      </c>
      <c r="B148" s="70" t="s">
        <v>6417</v>
      </c>
      <c r="C148" s="70" t="s">
        <v>6418</v>
      </c>
    </row>
    <row r="149" spans="1:3" ht="18.600000000000001">
      <c r="A149" s="70" t="s">
        <v>1882</v>
      </c>
      <c r="B149" s="70" t="s">
        <v>6419</v>
      </c>
      <c r="C149" s="70" t="s">
        <v>6420</v>
      </c>
    </row>
    <row r="150" spans="1:3" ht="18.600000000000001">
      <c r="A150" s="70" t="s">
        <v>6421</v>
      </c>
      <c r="B150" s="70" t="s">
        <v>6422</v>
      </c>
      <c r="C150" s="70" t="s">
        <v>6423</v>
      </c>
    </row>
    <row r="151" spans="1:3" ht="18.600000000000001">
      <c r="A151" s="70" t="s">
        <v>6424</v>
      </c>
      <c r="B151" s="70" t="s">
        <v>6425</v>
      </c>
      <c r="C151" s="70" t="s">
        <v>6426</v>
      </c>
    </row>
    <row r="152" spans="1:3" ht="18.600000000000001">
      <c r="A152" s="70" t="s">
        <v>6427</v>
      </c>
      <c r="B152" s="70" t="s">
        <v>6427</v>
      </c>
      <c r="C152" s="70" t="s">
        <v>6428</v>
      </c>
    </row>
    <row r="153" spans="1:3" ht="18.600000000000001">
      <c r="A153" s="70" t="s">
        <v>6429</v>
      </c>
      <c r="B153" s="70" t="s">
        <v>6429</v>
      </c>
      <c r="C153" s="70" t="s">
        <v>6430</v>
      </c>
    </row>
    <row r="154" spans="1:3" ht="18.600000000000001">
      <c r="A154" s="70" t="s">
        <v>6431</v>
      </c>
      <c r="B154" s="70" t="s">
        <v>6432</v>
      </c>
      <c r="C154" s="70" t="s">
        <v>6433</v>
      </c>
    </row>
    <row r="155" spans="1:3" ht="18.600000000000001">
      <c r="A155" s="70" t="s">
        <v>6434</v>
      </c>
      <c r="B155" s="70" t="s">
        <v>6435</v>
      </c>
      <c r="C155" s="70" t="s">
        <v>6436</v>
      </c>
    </row>
    <row r="156" spans="1:3" ht="18.600000000000001">
      <c r="A156" s="70" t="s">
        <v>6437</v>
      </c>
      <c r="B156" s="70" t="s">
        <v>6438</v>
      </c>
      <c r="C156" s="70" t="s">
        <v>6439</v>
      </c>
    </row>
    <row r="157" spans="1:3" ht="18.600000000000001">
      <c r="A157" s="70" t="s">
        <v>6440</v>
      </c>
      <c r="B157" s="70" t="s">
        <v>6441</v>
      </c>
      <c r="C157" s="70" t="s">
        <v>6442</v>
      </c>
    </row>
    <row r="158" spans="1:3" ht="18.600000000000001">
      <c r="A158" s="70" t="s">
        <v>1047</v>
      </c>
      <c r="B158" s="70" t="s">
        <v>6443</v>
      </c>
      <c r="C158" s="70" t="s">
        <v>6444</v>
      </c>
    </row>
    <row r="159" spans="1:3" ht="18.600000000000001">
      <c r="A159" s="70" t="s">
        <v>6445</v>
      </c>
      <c r="B159" s="70" t="s">
        <v>6446</v>
      </c>
      <c r="C159" s="70" t="s">
        <v>6447</v>
      </c>
    </row>
    <row r="160" spans="1:3" ht="18.600000000000001">
      <c r="A160" s="70" t="s">
        <v>6448</v>
      </c>
      <c r="B160" s="70" t="s">
        <v>6449</v>
      </c>
      <c r="C160" s="70" t="s">
        <v>6450</v>
      </c>
    </row>
    <row r="161" spans="1:3" ht="18.600000000000001">
      <c r="A161" s="70" t="s">
        <v>6451</v>
      </c>
      <c r="B161" s="70" t="s">
        <v>6452</v>
      </c>
      <c r="C161" s="70" t="s">
        <v>6453</v>
      </c>
    </row>
    <row r="162" spans="1:3" ht="18.600000000000001">
      <c r="A162" s="70" t="s">
        <v>6454</v>
      </c>
      <c r="B162" s="70" t="s">
        <v>6455</v>
      </c>
      <c r="C162" s="70" t="s">
        <v>6456</v>
      </c>
    </row>
    <row r="163" spans="1:3" ht="18.600000000000001">
      <c r="A163" s="70" t="s">
        <v>6457</v>
      </c>
      <c r="B163" s="70" t="s">
        <v>6458</v>
      </c>
      <c r="C163" s="70" t="s">
        <v>6459</v>
      </c>
    </row>
    <row r="164" spans="1:3" ht="18.600000000000001">
      <c r="A164" s="70" t="s">
        <v>6460</v>
      </c>
      <c r="B164" s="70" t="s">
        <v>6461</v>
      </c>
      <c r="C164" s="70" t="s">
        <v>6462</v>
      </c>
    </row>
    <row r="165" spans="1:3" ht="18.600000000000001">
      <c r="A165" s="70" t="s">
        <v>6463</v>
      </c>
      <c r="B165" s="70" t="s">
        <v>6464</v>
      </c>
      <c r="C165" s="70" t="s">
        <v>6465</v>
      </c>
    </row>
    <row r="166" spans="1:3" ht="18.600000000000001">
      <c r="A166" s="70" t="s">
        <v>6466</v>
      </c>
      <c r="B166" s="70" t="s">
        <v>6467</v>
      </c>
      <c r="C166" s="70" t="s">
        <v>6468</v>
      </c>
    </row>
    <row r="167" spans="1:3" ht="18.600000000000001">
      <c r="A167" s="70" t="s">
        <v>6469</v>
      </c>
      <c r="B167" s="70" t="s">
        <v>6470</v>
      </c>
      <c r="C167" s="70" t="s">
        <v>6471</v>
      </c>
    </row>
    <row r="168" spans="1:3" ht="18.600000000000001">
      <c r="A168" s="70" t="s">
        <v>6472</v>
      </c>
      <c r="B168" s="70" t="s">
        <v>6473</v>
      </c>
      <c r="C168" s="70" t="s">
        <v>6474</v>
      </c>
    </row>
    <row r="169" spans="1:3" ht="36">
      <c r="A169" s="70" t="s">
        <v>6475</v>
      </c>
      <c r="B169" s="70" t="s">
        <v>6476</v>
      </c>
      <c r="C169" s="70" t="s">
        <v>6477</v>
      </c>
    </row>
    <row r="170" spans="1:3" ht="18.600000000000001">
      <c r="A170" s="70" t="s">
        <v>6478</v>
      </c>
      <c r="B170" s="70" t="s">
        <v>6479</v>
      </c>
      <c r="C170" s="70" t="s">
        <v>6480</v>
      </c>
    </row>
    <row r="171" spans="1:3" ht="18.600000000000001">
      <c r="A171" s="70" t="s">
        <v>6481</v>
      </c>
      <c r="B171" s="70" t="s">
        <v>6482</v>
      </c>
      <c r="C171" s="70" t="s">
        <v>6483</v>
      </c>
    </row>
    <row r="172" spans="1:3" ht="18.600000000000001">
      <c r="A172" s="70" t="s">
        <v>6484</v>
      </c>
      <c r="B172" s="70" t="s">
        <v>6485</v>
      </c>
      <c r="C172" s="70" t="s">
        <v>6486</v>
      </c>
    </row>
    <row r="173" spans="1:3" ht="36">
      <c r="A173" s="70" t="s">
        <v>6487</v>
      </c>
      <c r="B173" s="70" t="s">
        <v>6488</v>
      </c>
      <c r="C173" s="70" t="s">
        <v>6489</v>
      </c>
    </row>
    <row r="174" spans="1:3" ht="18.600000000000001">
      <c r="A174" s="70" t="s">
        <v>6490</v>
      </c>
      <c r="B174" s="70" t="s">
        <v>6491</v>
      </c>
      <c r="C174" s="70" t="s">
        <v>6492</v>
      </c>
    </row>
    <row r="175" spans="1:3" ht="18.600000000000001">
      <c r="A175" s="70" t="s">
        <v>6493</v>
      </c>
      <c r="B175" s="70" t="s">
        <v>6494</v>
      </c>
      <c r="C175" s="70" t="s">
        <v>6495</v>
      </c>
    </row>
    <row r="176" spans="1:3" ht="18.600000000000001">
      <c r="A176" s="70" t="s">
        <v>6496</v>
      </c>
      <c r="B176" s="70" t="s">
        <v>6497</v>
      </c>
      <c r="C176" s="70" t="s">
        <v>6498</v>
      </c>
    </row>
    <row r="177" spans="1:3" ht="18.600000000000001">
      <c r="A177" s="70" t="s">
        <v>6499</v>
      </c>
      <c r="B177" s="70" t="s">
        <v>6500</v>
      </c>
      <c r="C177" s="70" t="s">
        <v>6501</v>
      </c>
    </row>
    <row r="178" spans="1:3" ht="18.600000000000001">
      <c r="A178" s="70" t="s">
        <v>6502</v>
      </c>
      <c r="B178" s="70" t="s">
        <v>6503</v>
      </c>
      <c r="C178" s="70" t="s">
        <v>6504</v>
      </c>
    </row>
    <row r="179" spans="1:3" ht="18.600000000000001">
      <c r="A179" s="70" t="s">
        <v>6505</v>
      </c>
      <c r="B179" s="70" t="s">
        <v>6506</v>
      </c>
      <c r="C179" s="70" t="s">
        <v>6507</v>
      </c>
    </row>
    <row r="180" spans="1:3" ht="18.600000000000001">
      <c r="A180" s="70" t="s">
        <v>6508</v>
      </c>
      <c r="B180" s="70" t="s">
        <v>6509</v>
      </c>
      <c r="C180" s="70" t="s">
        <v>6510</v>
      </c>
    </row>
    <row r="181" spans="1:3" ht="36">
      <c r="A181" s="70" t="s">
        <v>6511</v>
      </c>
      <c r="B181" s="70" t="s">
        <v>6512</v>
      </c>
      <c r="C181" s="70" t="s">
        <v>6513</v>
      </c>
    </row>
    <row r="182" spans="1:3" ht="18.600000000000001">
      <c r="A182" s="70" t="s">
        <v>6514</v>
      </c>
      <c r="B182" s="70" t="s">
        <v>6515</v>
      </c>
      <c r="C182" s="70" t="s">
        <v>6516</v>
      </c>
    </row>
    <row r="183" spans="1:3" ht="18.600000000000001">
      <c r="A183" s="70" t="s">
        <v>6517</v>
      </c>
      <c r="B183" s="70" t="s">
        <v>6518</v>
      </c>
      <c r="C183" s="70" t="s">
        <v>6519</v>
      </c>
    </row>
    <row r="184" spans="1:3" ht="18.600000000000001">
      <c r="A184" s="70" t="s">
        <v>6520</v>
      </c>
      <c r="B184" s="70" t="s">
        <v>6521</v>
      </c>
      <c r="C184" s="70" t="s">
        <v>6522</v>
      </c>
    </row>
    <row r="185" spans="1:3" ht="18.600000000000001">
      <c r="A185" s="70" t="s">
        <v>6523</v>
      </c>
      <c r="B185" s="70" t="s">
        <v>6524</v>
      </c>
      <c r="C185" s="70" t="s">
        <v>6525</v>
      </c>
    </row>
    <row r="186" spans="1:3" ht="36">
      <c r="A186" s="70" t="s">
        <v>6526</v>
      </c>
      <c r="B186" s="70" t="s">
        <v>6527</v>
      </c>
      <c r="C186" s="70" t="s">
        <v>6528</v>
      </c>
    </row>
    <row r="187" spans="1:3" ht="36">
      <c r="A187" s="70" t="s">
        <v>6529</v>
      </c>
      <c r="B187" s="70" t="s">
        <v>6530</v>
      </c>
      <c r="C187" s="70" t="s">
        <v>6531</v>
      </c>
    </row>
    <row r="188" spans="1:3" ht="18.600000000000001">
      <c r="A188" s="70" t="s">
        <v>6532</v>
      </c>
      <c r="B188" s="70" t="s">
        <v>6533</v>
      </c>
      <c r="C188" s="70" t="s">
        <v>6534</v>
      </c>
    </row>
    <row r="189" spans="1:3" ht="18.600000000000001">
      <c r="A189" s="70" t="s">
        <v>6535</v>
      </c>
      <c r="B189" s="70" t="s">
        <v>6536</v>
      </c>
      <c r="C189" s="70" t="s">
        <v>6537</v>
      </c>
    </row>
    <row r="190" spans="1:3" ht="36">
      <c r="A190" s="70" t="s">
        <v>1745</v>
      </c>
      <c r="B190" s="70" t="s">
        <v>6538</v>
      </c>
      <c r="C190" s="70" t="s">
        <v>6539</v>
      </c>
    </row>
    <row r="191" spans="1:3" ht="18.600000000000001">
      <c r="A191" s="70" t="s">
        <v>1740</v>
      </c>
      <c r="B191" s="70" t="s">
        <v>6540</v>
      </c>
      <c r="C191" s="70" t="s">
        <v>6541</v>
      </c>
    </row>
    <row r="192" spans="1:3" ht="36">
      <c r="A192" s="70" t="s">
        <v>6542</v>
      </c>
      <c r="B192" s="70" t="s">
        <v>6543</v>
      </c>
      <c r="C192" s="70" t="s">
        <v>6544</v>
      </c>
    </row>
    <row r="193" spans="1:3" ht="18.600000000000001">
      <c r="A193" s="70" t="s">
        <v>6545</v>
      </c>
      <c r="B193" s="70" t="s">
        <v>6546</v>
      </c>
      <c r="C193" s="70" t="s">
        <v>6547</v>
      </c>
    </row>
    <row r="194" spans="1:3" ht="18.600000000000001">
      <c r="A194" s="70" t="s">
        <v>6548</v>
      </c>
      <c r="B194" s="70" t="s">
        <v>6549</v>
      </c>
      <c r="C194" s="70" t="s">
        <v>6550</v>
      </c>
    </row>
    <row r="195" spans="1:3" ht="18.600000000000001">
      <c r="A195" s="70" t="s">
        <v>6551</v>
      </c>
      <c r="B195" s="70" t="s">
        <v>6552</v>
      </c>
      <c r="C195" s="70" t="s">
        <v>6553</v>
      </c>
    </row>
    <row r="196" spans="1:3" ht="18.600000000000001">
      <c r="A196" s="70" t="s">
        <v>1056</v>
      </c>
      <c r="B196" s="70" t="s">
        <v>6554</v>
      </c>
      <c r="C196" s="70" t="s">
        <v>6555</v>
      </c>
    </row>
    <row r="197" spans="1:3" ht="36">
      <c r="A197" s="70" t="s">
        <v>6556</v>
      </c>
      <c r="B197" s="70" t="s">
        <v>6557</v>
      </c>
      <c r="C197" s="70" t="s">
        <v>6558</v>
      </c>
    </row>
    <row r="198" spans="1:3" ht="18.600000000000001">
      <c r="A198" s="70" t="s">
        <v>6559</v>
      </c>
      <c r="B198" s="70" t="s">
        <v>6560</v>
      </c>
      <c r="C198" s="70" t="s">
        <v>6561</v>
      </c>
    </row>
    <row r="199" spans="1:3" ht="18.600000000000001">
      <c r="A199" s="70" t="s">
        <v>6562</v>
      </c>
      <c r="B199" s="70" t="s">
        <v>6563</v>
      </c>
      <c r="C199" s="70" t="s">
        <v>6564</v>
      </c>
    </row>
    <row r="200" spans="1:3" ht="18.600000000000001">
      <c r="A200" s="70" t="s">
        <v>6565</v>
      </c>
      <c r="B200" s="70" t="s">
        <v>6566</v>
      </c>
      <c r="C200" s="70" t="s">
        <v>6567</v>
      </c>
    </row>
    <row r="201" spans="1:3" ht="18.600000000000001">
      <c r="A201" s="70" t="s">
        <v>6568</v>
      </c>
      <c r="B201" s="70" t="s">
        <v>6569</v>
      </c>
      <c r="C201" s="70" t="s">
        <v>6570</v>
      </c>
    </row>
    <row r="202" spans="1:3" ht="18.600000000000001">
      <c r="A202" s="70" t="s">
        <v>1062</v>
      </c>
      <c r="B202" s="70" t="s">
        <v>6571</v>
      </c>
      <c r="C202" s="70" t="s">
        <v>6572</v>
      </c>
    </row>
    <row r="203" spans="1:3" ht="18.600000000000001">
      <c r="A203" s="70" t="s">
        <v>6573</v>
      </c>
      <c r="B203" s="70" t="s">
        <v>6573</v>
      </c>
      <c r="C203" s="70" t="s">
        <v>6574</v>
      </c>
    </row>
    <row r="204" spans="1:3" ht="18.600000000000001">
      <c r="A204" s="70" t="s">
        <v>1332</v>
      </c>
      <c r="B204" s="70" t="s">
        <v>6575</v>
      </c>
      <c r="C204" s="70" t="s">
        <v>6576</v>
      </c>
    </row>
    <row r="205" spans="1:3" ht="18.600000000000001">
      <c r="A205" s="70" t="s">
        <v>6577</v>
      </c>
      <c r="B205" s="70" t="s">
        <v>6578</v>
      </c>
      <c r="C205" s="70" t="s">
        <v>6579</v>
      </c>
    </row>
    <row r="206" spans="1:3" ht="18.600000000000001">
      <c r="A206" s="70" t="s">
        <v>6580</v>
      </c>
      <c r="B206" s="70" t="s">
        <v>6581</v>
      </c>
      <c r="C206" s="70" t="s">
        <v>6582</v>
      </c>
    </row>
    <row r="207" spans="1:3" ht="18.600000000000001">
      <c r="A207" s="70" t="s">
        <v>6583</v>
      </c>
      <c r="B207" s="70" t="s">
        <v>6584</v>
      </c>
      <c r="C207" s="70" t="s">
        <v>6585</v>
      </c>
    </row>
    <row r="208" spans="1:3" ht="18.600000000000001">
      <c r="A208" s="70" t="s">
        <v>6586</v>
      </c>
      <c r="B208" s="70" t="s">
        <v>6587</v>
      </c>
      <c r="C208" s="70" t="s">
        <v>6588</v>
      </c>
    </row>
    <row r="209" spans="1:3" ht="36">
      <c r="A209" s="70" t="s">
        <v>6589</v>
      </c>
      <c r="B209" s="70" t="s">
        <v>6590</v>
      </c>
      <c r="C209" s="70" t="s">
        <v>6591</v>
      </c>
    </row>
    <row r="210" spans="1:3" ht="18.600000000000001">
      <c r="A210" s="70" t="s">
        <v>1213</v>
      </c>
      <c r="B210" s="70" t="s">
        <v>6592</v>
      </c>
      <c r="C210" s="70" t="s">
        <v>6593</v>
      </c>
    </row>
    <row r="211" spans="1:3" ht="18.600000000000001">
      <c r="A211" s="70" t="s">
        <v>6594</v>
      </c>
      <c r="B211" s="70" t="s">
        <v>6594</v>
      </c>
      <c r="C211" s="70" t="s">
        <v>6595</v>
      </c>
    </row>
    <row r="212" spans="1:3" ht="36">
      <c r="A212" s="70" t="s">
        <v>1270</v>
      </c>
      <c r="B212" s="70" t="s">
        <v>6596</v>
      </c>
      <c r="C212" s="70" t="s">
        <v>6597</v>
      </c>
    </row>
    <row r="213" spans="1:3" ht="18.600000000000001">
      <c r="A213" s="70" t="s">
        <v>6598</v>
      </c>
      <c r="B213" s="70" t="s">
        <v>6599</v>
      </c>
      <c r="C213" s="70" t="s">
        <v>6600</v>
      </c>
    </row>
    <row r="214" spans="1:3" ht="18.600000000000001">
      <c r="A214" s="70" t="s">
        <v>6601</v>
      </c>
      <c r="B214" s="70" t="s">
        <v>6601</v>
      </c>
      <c r="C214" s="70" t="s">
        <v>6602</v>
      </c>
    </row>
    <row r="215" spans="1:3" ht="36">
      <c r="A215" s="70" t="s">
        <v>6603</v>
      </c>
      <c r="B215" s="70" t="s">
        <v>6604</v>
      </c>
      <c r="C215" s="70" t="s">
        <v>6605</v>
      </c>
    </row>
    <row r="216" spans="1:3" ht="18.600000000000001">
      <c r="A216" s="70" t="s">
        <v>6606</v>
      </c>
      <c r="B216" s="70" t="s">
        <v>6607</v>
      </c>
      <c r="C216" s="70" t="s">
        <v>6608</v>
      </c>
    </row>
    <row r="217" spans="1:3" ht="18.600000000000001">
      <c r="A217" s="70" t="s">
        <v>6609</v>
      </c>
      <c r="B217" s="70" t="s">
        <v>6610</v>
      </c>
      <c r="C217" s="70" t="s">
        <v>6611</v>
      </c>
    </row>
    <row r="218" spans="1:3" ht="36">
      <c r="A218" s="70" t="s">
        <v>1888</v>
      </c>
      <c r="B218" s="70" t="s">
        <v>6612</v>
      </c>
      <c r="C218" s="70" t="s">
        <v>6613</v>
      </c>
    </row>
    <row r="219" spans="1:3" ht="18.600000000000001">
      <c r="A219" s="70" t="s">
        <v>1556</v>
      </c>
      <c r="B219" s="70" t="s">
        <v>6614</v>
      </c>
      <c r="C219" s="70" t="s">
        <v>6615</v>
      </c>
    </row>
    <row r="220" spans="1:3" ht="18.600000000000001">
      <c r="A220" s="70" t="s">
        <v>6616</v>
      </c>
      <c r="B220" s="70" t="s">
        <v>6616</v>
      </c>
      <c r="C220" s="70" t="s">
        <v>6617</v>
      </c>
    </row>
    <row r="221" spans="1:3" ht="36">
      <c r="A221" s="70" t="s">
        <v>6618</v>
      </c>
      <c r="B221" s="70" t="s">
        <v>6619</v>
      </c>
      <c r="C221" s="70" t="s">
        <v>6620</v>
      </c>
    </row>
    <row r="222" spans="1:3" ht="18.600000000000001">
      <c r="A222" s="70" t="s">
        <v>6621</v>
      </c>
      <c r="B222" s="70" t="s">
        <v>6622</v>
      </c>
      <c r="C222" s="70" t="s">
        <v>6623</v>
      </c>
    </row>
    <row r="223" spans="1:3" ht="18.600000000000001">
      <c r="A223" s="70" t="s">
        <v>1608</v>
      </c>
      <c r="B223" s="70" t="s">
        <v>6624</v>
      </c>
      <c r="C223" s="70" t="s">
        <v>6625</v>
      </c>
    </row>
    <row r="224" spans="1:3" ht="18.600000000000001">
      <c r="A224" s="70" t="s">
        <v>6626</v>
      </c>
      <c r="B224" s="70" t="s">
        <v>6627</v>
      </c>
      <c r="C224" s="70" t="s">
        <v>6628</v>
      </c>
    </row>
    <row r="225" spans="1:3" ht="18.600000000000001">
      <c r="A225" s="70" t="s">
        <v>1066</v>
      </c>
      <c r="B225" s="70" t="s">
        <v>6629</v>
      </c>
      <c r="C225" s="70" t="s">
        <v>6630</v>
      </c>
    </row>
    <row r="226" spans="1:3" ht="18.600000000000001">
      <c r="A226" s="70" t="s">
        <v>1057</v>
      </c>
      <c r="B226" s="70" t="s">
        <v>6631</v>
      </c>
      <c r="C226" s="70" t="s">
        <v>6632</v>
      </c>
    </row>
    <row r="227" spans="1:3" ht="36">
      <c r="A227" s="70" t="s">
        <v>6633</v>
      </c>
      <c r="B227" s="70" t="s">
        <v>6634</v>
      </c>
      <c r="C227" s="70" t="s">
        <v>6635</v>
      </c>
    </row>
    <row r="228" spans="1:3" ht="18.600000000000001">
      <c r="A228" s="70" t="s">
        <v>6636</v>
      </c>
      <c r="B228" s="70" t="s">
        <v>6637</v>
      </c>
      <c r="C228" s="70" t="s">
        <v>6638</v>
      </c>
    </row>
    <row r="229" spans="1:3" ht="18.600000000000001">
      <c r="A229" s="70" t="s">
        <v>6639</v>
      </c>
      <c r="B229" s="70" t="s">
        <v>6639</v>
      </c>
      <c r="C229" s="70" t="s">
        <v>6640</v>
      </c>
    </row>
    <row r="230" spans="1:3" ht="18.600000000000001">
      <c r="A230" s="70" t="s">
        <v>1419</v>
      </c>
      <c r="B230" s="70" t="s">
        <v>6641</v>
      </c>
      <c r="C230" s="70" t="s">
        <v>6642</v>
      </c>
    </row>
    <row r="231" spans="1:3" ht="18.600000000000001">
      <c r="A231" s="70" t="s">
        <v>6643</v>
      </c>
      <c r="B231" s="70" t="s">
        <v>6644</v>
      </c>
      <c r="C231" s="70" t="s">
        <v>6645</v>
      </c>
    </row>
    <row r="232" spans="1:3" ht="18.600000000000001">
      <c r="A232" s="70" t="s">
        <v>6646</v>
      </c>
      <c r="B232" s="70" t="s">
        <v>6647</v>
      </c>
      <c r="C232" s="70" t="s">
        <v>6648</v>
      </c>
    </row>
    <row r="233" spans="1:3" ht="18.600000000000001">
      <c r="A233" s="70" t="s">
        <v>1322</v>
      </c>
      <c r="B233" s="70" t="s">
        <v>6649</v>
      </c>
      <c r="C233" s="70" t="s">
        <v>6650</v>
      </c>
    </row>
    <row r="234" spans="1:3" ht="18.600000000000001">
      <c r="A234" s="70" t="s">
        <v>6651</v>
      </c>
      <c r="B234" s="70" t="s">
        <v>6652</v>
      </c>
      <c r="C234" s="70" t="s">
        <v>6653</v>
      </c>
    </row>
    <row r="235" spans="1:3" ht="18.600000000000001">
      <c r="A235" s="70" t="s">
        <v>6654</v>
      </c>
      <c r="B235" s="70" t="s">
        <v>6655</v>
      </c>
      <c r="C235" s="70" t="s">
        <v>6656</v>
      </c>
    </row>
    <row r="236" spans="1:3" ht="18.600000000000001">
      <c r="A236" s="70" t="s">
        <v>6657</v>
      </c>
      <c r="B236" s="70" t="s">
        <v>6658</v>
      </c>
      <c r="C236" s="70" t="s">
        <v>6659</v>
      </c>
    </row>
    <row r="237" spans="1:3" ht="18.600000000000001">
      <c r="A237" s="70" t="s">
        <v>6660</v>
      </c>
      <c r="B237" s="70" t="s">
        <v>6661</v>
      </c>
      <c r="C237" s="70" t="s">
        <v>6662</v>
      </c>
    </row>
    <row r="238" spans="1:3" ht="18.600000000000001">
      <c r="A238" s="70" t="s">
        <v>5916</v>
      </c>
      <c r="B238" s="70" t="s">
        <v>5916</v>
      </c>
      <c r="C238" s="70" t="s">
        <v>5917</v>
      </c>
    </row>
    <row r="239" spans="1:3" ht="18.600000000000001">
      <c r="A239" s="70" t="s">
        <v>6663</v>
      </c>
      <c r="B239" s="70" t="s">
        <v>6664</v>
      </c>
      <c r="C239" s="70" t="s">
        <v>6665</v>
      </c>
    </row>
    <row r="240" spans="1:3" ht="18.600000000000001">
      <c r="A240" s="70" t="s">
        <v>6666</v>
      </c>
      <c r="B240" s="70" t="s">
        <v>6667</v>
      </c>
      <c r="C240" s="70" t="s">
        <v>6668</v>
      </c>
    </row>
    <row r="241" spans="1:3" ht="18.600000000000001">
      <c r="A241" s="70" t="s">
        <v>6669</v>
      </c>
      <c r="B241" s="70" t="s">
        <v>6670</v>
      </c>
      <c r="C241" s="70" t="s">
        <v>6671</v>
      </c>
    </row>
    <row r="242" spans="1:3" ht="18.600000000000001">
      <c r="A242" s="70" t="s">
        <v>6672</v>
      </c>
      <c r="B242" s="70" t="s">
        <v>6180</v>
      </c>
      <c r="C242" s="70" t="s">
        <v>6673</v>
      </c>
    </row>
    <row r="243" spans="1:3" ht="36">
      <c r="A243" s="70" t="s">
        <v>6674</v>
      </c>
      <c r="B243" s="70" t="s">
        <v>6675</v>
      </c>
      <c r="C243" s="70" t="s">
        <v>6676</v>
      </c>
    </row>
    <row r="244" spans="1:3" ht="18.600000000000001">
      <c r="A244" s="70" t="s">
        <v>6677</v>
      </c>
      <c r="B244" s="70" t="s">
        <v>6678</v>
      </c>
      <c r="C244" s="70" t="s">
        <v>6679</v>
      </c>
    </row>
    <row r="245" spans="1:3" ht="18.600000000000001">
      <c r="A245" s="70" t="s">
        <v>156</v>
      </c>
      <c r="B245" s="70" t="s">
        <v>6680</v>
      </c>
      <c r="C245" s="70" t="s">
        <v>6681</v>
      </c>
    </row>
    <row r="246" spans="1:3" ht="18.600000000000001">
      <c r="A246" s="70" t="s">
        <v>1339</v>
      </c>
      <c r="B246" s="70" t="s">
        <v>6682</v>
      </c>
      <c r="C246" s="70" t="s">
        <v>6683</v>
      </c>
    </row>
    <row r="247" spans="1:3" ht="18.600000000000001">
      <c r="A247" s="70" t="s">
        <v>6684</v>
      </c>
      <c r="B247" s="70" t="s">
        <v>6684</v>
      </c>
      <c r="C247" s="70" t="s">
        <v>6685</v>
      </c>
    </row>
    <row r="248" spans="1:3" ht="18.600000000000001">
      <c r="A248" s="70" t="s">
        <v>6686</v>
      </c>
      <c r="B248" s="70" t="s">
        <v>6687</v>
      </c>
      <c r="C248" s="70" t="s">
        <v>6688</v>
      </c>
    </row>
    <row r="249" spans="1:3" ht="36">
      <c r="A249" s="70" t="s">
        <v>6689</v>
      </c>
      <c r="B249" s="70" t="s">
        <v>6690</v>
      </c>
      <c r="C249" s="70" t="s">
        <v>6691</v>
      </c>
    </row>
    <row r="250" spans="1:3" ht="18.600000000000001">
      <c r="A250" s="70" t="s">
        <v>6692</v>
      </c>
      <c r="B250" s="70" t="s">
        <v>6693</v>
      </c>
      <c r="C250" s="70" t="s">
        <v>6694</v>
      </c>
    </row>
    <row r="251" spans="1:3" ht="36">
      <c r="A251" s="70" t="s">
        <v>6695</v>
      </c>
      <c r="B251" s="70" t="s">
        <v>6696</v>
      </c>
      <c r="C251" s="70" t="s">
        <v>6697</v>
      </c>
    </row>
    <row r="252" spans="1:3" ht="36">
      <c r="A252" s="70" t="s">
        <v>6698</v>
      </c>
      <c r="B252" s="70" t="s">
        <v>6699</v>
      </c>
      <c r="C252" s="70" t="s">
        <v>6700</v>
      </c>
    </row>
    <row r="253" spans="1:3" ht="18.600000000000001">
      <c r="A253" s="70" t="s">
        <v>6701</v>
      </c>
      <c r="B253" s="70" t="s">
        <v>6702</v>
      </c>
      <c r="C253" s="70" t="s">
        <v>6703</v>
      </c>
    </row>
    <row r="254" spans="1:3" ht="18.600000000000001">
      <c r="A254" s="70" t="s">
        <v>6704</v>
      </c>
      <c r="B254" s="70" t="s">
        <v>6705</v>
      </c>
      <c r="C254" s="70" t="s">
        <v>6706</v>
      </c>
    </row>
    <row r="255" spans="1:3" ht="18.600000000000001">
      <c r="A255" s="70" t="s">
        <v>6707</v>
      </c>
      <c r="B255" s="70" t="s">
        <v>6708</v>
      </c>
      <c r="C255" s="70" t="s">
        <v>6709</v>
      </c>
    </row>
    <row r="256" spans="1:3" ht="18.600000000000001">
      <c r="A256" s="70" t="s">
        <v>6710</v>
      </c>
      <c r="B256" s="70" t="s">
        <v>6711</v>
      </c>
      <c r="C256" s="70" t="s">
        <v>6712</v>
      </c>
    </row>
    <row r="257" spans="1:3" ht="18.600000000000001">
      <c r="A257" s="70" t="s">
        <v>6713</v>
      </c>
      <c r="B257" s="70" t="s">
        <v>6714</v>
      </c>
      <c r="C257" s="70" t="s">
        <v>6715</v>
      </c>
    </row>
    <row r="258" spans="1:3" ht="18.600000000000001">
      <c r="A258" s="70" t="s">
        <v>6716</v>
      </c>
      <c r="B258" s="70" t="s">
        <v>6717</v>
      </c>
      <c r="C258" s="70" t="s">
        <v>6718</v>
      </c>
    </row>
    <row r="259" spans="1:3" ht="18.600000000000001">
      <c r="A259" s="70" t="s">
        <v>6719</v>
      </c>
      <c r="B259" s="70" t="s">
        <v>6720</v>
      </c>
      <c r="C259" s="70" t="s">
        <v>6721</v>
      </c>
    </row>
    <row r="260" spans="1:3" ht="18.600000000000001">
      <c r="A260" s="70" t="s">
        <v>6722</v>
      </c>
      <c r="B260" s="70" t="s">
        <v>6723</v>
      </c>
      <c r="C260" s="70" t="s">
        <v>6724</v>
      </c>
    </row>
    <row r="261" spans="1:3" ht="18.600000000000001">
      <c r="A261" s="70" t="s">
        <v>6725</v>
      </c>
      <c r="B261" s="70" t="s">
        <v>6726</v>
      </c>
      <c r="C261" s="70" t="s">
        <v>6727</v>
      </c>
    </row>
    <row r="262" spans="1:3" ht="18.600000000000001">
      <c r="A262" s="70" t="s">
        <v>6728</v>
      </c>
      <c r="B262" s="70" t="s">
        <v>6728</v>
      </c>
      <c r="C262" s="70" t="s">
        <v>6729</v>
      </c>
    </row>
    <row r="263" spans="1:3" ht="18.600000000000001">
      <c r="A263" s="70" t="s">
        <v>6730</v>
      </c>
      <c r="B263" s="70" t="s">
        <v>6730</v>
      </c>
      <c r="C263" s="70" t="s">
        <v>6731</v>
      </c>
    </row>
    <row r="264" spans="1:3" ht="18.600000000000001">
      <c r="A264" s="70" t="s">
        <v>1285</v>
      </c>
      <c r="B264" s="70" t="s">
        <v>1285</v>
      </c>
      <c r="C264" s="70" t="s">
        <v>6732</v>
      </c>
    </row>
    <row r="265" spans="1:3" ht="18.600000000000001">
      <c r="A265" s="70" t="s">
        <v>6733</v>
      </c>
      <c r="B265" s="70" t="s">
        <v>6734</v>
      </c>
      <c r="C265" s="70" t="s">
        <v>6735</v>
      </c>
    </row>
    <row r="266" spans="1:3" ht="18.600000000000001">
      <c r="A266" s="70" t="s">
        <v>6736</v>
      </c>
      <c r="B266" s="70" t="s">
        <v>6736</v>
      </c>
      <c r="C266" s="70" t="s">
        <v>6737</v>
      </c>
    </row>
    <row r="267" spans="1:3" ht="18.600000000000001">
      <c r="A267" s="70" t="s">
        <v>1554</v>
      </c>
      <c r="B267" s="70" t="s">
        <v>6738</v>
      </c>
      <c r="C267" s="70" t="s">
        <v>6739</v>
      </c>
    </row>
    <row r="268" spans="1:3" ht="18.600000000000001">
      <c r="A268" s="70" t="s">
        <v>5918</v>
      </c>
      <c r="B268" s="70" t="s">
        <v>5919</v>
      </c>
      <c r="C268" s="70" t="s">
        <v>5920</v>
      </c>
    </row>
    <row r="269" spans="1:3" ht="18.600000000000001">
      <c r="A269" s="70" t="s">
        <v>5921</v>
      </c>
      <c r="B269" s="70" t="s">
        <v>5922</v>
      </c>
      <c r="C269" s="70" t="s">
        <v>5923</v>
      </c>
    </row>
    <row r="270" spans="1:3" ht="18.600000000000001">
      <c r="A270" s="70" t="s">
        <v>1052</v>
      </c>
      <c r="B270" s="70" t="s">
        <v>5930</v>
      </c>
      <c r="C270" s="70" t="s">
        <v>5931</v>
      </c>
    </row>
    <row r="271" spans="1:3" ht="18.600000000000001">
      <c r="A271" s="70" t="s">
        <v>1352</v>
      </c>
      <c r="B271" s="70" t="s">
        <v>5932</v>
      </c>
      <c r="C271" s="70" t="s">
        <v>5933</v>
      </c>
    </row>
    <row r="272" spans="1:3" ht="18.600000000000001">
      <c r="A272" s="70" t="s">
        <v>6740</v>
      </c>
      <c r="B272" s="70" t="s">
        <v>6741</v>
      </c>
      <c r="C272" s="70" t="s">
        <v>6742</v>
      </c>
    </row>
    <row r="273" spans="1:3" ht="18.600000000000001">
      <c r="A273" s="70" t="s">
        <v>6743</v>
      </c>
      <c r="B273" s="70" t="s">
        <v>6744</v>
      </c>
      <c r="C273" s="70" t="s">
        <v>6745</v>
      </c>
    </row>
    <row r="274" spans="1:3" ht="18.600000000000001">
      <c r="A274" s="70" t="s">
        <v>6746</v>
      </c>
      <c r="B274" s="70" t="s">
        <v>6747</v>
      </c>
      <c r="C274" s="70" t="s">
        <v>6748</v>
      </c>
    </row>
    <row r="275" spans="1:3" ht="18.600000000000001">
      <c r="A275" s="70" t="s">
        <v>6749</v>
      </c>
      <c r="B275" s="70" t="s">
        <v>6750</v>
      </c>
      <c r="C275" s="70" t="s">
        <v>6751</v>
      </c>
    </row>
    <row r="276" spans="1:3" ht="18.600000000000001">
      <c r="A276" s="70" t="s">
        <v>6752</v>
      </c>
      <c r="B276" s="70" t="s">
        <v>6753</v>
      </c>
      <c r="C276" s="70" t="s">
        <v>6754</v>
      </c>
    </row>
    <row r="277" spans="1:3" ht="18.600000000000001">
      <c r="A277" s="70" t="s">
        <v>1267</v>
      </c>
      <c r="B277" s="70" t="s">
        <v>5948</v>
      </c>
      <c r="C277" s="70" t="s">
        <v>5949</v>
      </c>
    </row>
    <row r="278" spans="1:3" ht="18.600000000000001">
      <c r="A278" s="70" t="s">
        <v>6755</v>
      </c>
      <c r="B278" s="70" t="s">
        <v>6756</v>
      </c>
      <c r="C278" s="70" t="s">
        <v>6757</v>
      </c>
    </row>
    <row r="279" spans="1:3" ht="18.600000000000001">
      <c r="A279" s="70" t="s">
        <v>6758</v>
      </c>
      <c r="B279" s="70" t="s">
        <v>6759</v>
      </c>
      <c r="C279" s="70" t="s">
        <v>6760</v>
      </c>
    </row>
    <row r="280" spans="1:3" ht="18.600000000000001">
      <c r="A280" s="70" t="s">
        <v>6761</v>
      </c>
      <c r="B280" s="70" t="s">
        <v>6762</v>
      </c>
      <c r="C280" s="70" t="s">
        <v>6763</v>
      </c>
    </row>
    <row r="281" spans="1:3" ht="18.600000000000001">
      <c r="A281" s="70" t="s">
        <v>6764</v>
      </c>
      <c r="B281" s="70" t="s">
        <v>6765</v>
      </c>
      <c r="C281" s="70" t="s">
        <v>6766</v>
      </c>
    </row>
    <row r="282" spans="1:3" ht="18.600000000000001">
      <c r="A282" s="70" t="s">
        <v>6767</v>
      </c>
      <c r="B282" s="70" t="s">
        <v>6768</v>
      </c>
      <c r="C282" s="70" t="s">
        <v>6769</v>
      </c>
    </row>
    <row r="283" spans="1:3" ht="18.600000000000001">
      <c r="A283" s="70" t="s">
        <v>6770</v>
      </c>
      <c r="B283" s="70" t="s">
        <v>6771</v>
      </c>
      <c r="C283" s="70" t="s">
        <v>6772</v>
      </c>
    </row>
    <row r="284" spans="1:3" ht="18.600000000000001">
      <c r="A284" s="70" t="s">
        <v>6773</v>
      </c>
      <c r="B284" s="70" t="s">
        <v>6774</v>
      </c>
      <c r="C284" s="70" t="s">
        <v>6775</v>
      </c>
    </row>
    <row r="285" spans="1:3" ht="18.600000000000001">
      <c r="A285" s="70" t="s">
        <v>6776</v>
      </c>
      <c r="B285" s="70" t="s">
        <v>6777</v>
      </c>
      <c r="C285" s="70" t="s">
        <v>6778</v>
      </c>
    </row>
    <row r="286" spans="1:3" ht="18.600000000000001">
      <c r="A286" s="70" t="s">
        <v>6779</v>
      </c>
      <c r="B286" s="70" t="s">
        <v>6780</v>
      </c>
      <c r="C286" s="70" t="s">
        <v>6781</v>
      </c>
    </row>
    <row r="287" spans="1:3" ht="18.600000000000001">
      <c r="A287" s="70" t="s">
        <v>6782</v>
      </c>
      <c r="B287" s="70" t="s">
        <v>6783</v>
      </c>
      <c r="C287" s="70" t="s">
        <v>6784</v>
      </c>
    </row>
    <row r="288" spans="1:3" ht="18.600000000000001">
      <c r="A288" s="70" t="s">
        <v>6785</v>
      </c>
      <c r="B288" s="70" t="s">
        <v>6786</v>
      </c>
      <c r="C288" s="70" t="s">
        <v>6787</v>
      </c>
    </row>
    <row r="289" spans="1:3" ht="18.600000000000001">
      <c r="A289" s="70" t="s">
        <v>6788</v>
      </c>
      <c r="B289" s="70" t="s">
        <v>6789</v>
      </c>
      <c r="C289" s="70" t="s">
        <v>6790</v>
      </c>
    </row>
    <row r="290" spans="1:3" ht="18.600000000000001">
      <c r="A290" s="70" t="s">
        <v>6791</v>
      </c>
      <c r="B290" s="70" t="s">
        <v>6792</v>
      </c>
      <c r="C290" s="70" t="s">
        <v>6793</v>
      </c>
    </row>
    <row r="291" spans="1:3" ht="18.600000000000001">
      <c r="A291" s="70" t="s">
        <v>6794</v>
      </c>
      <c r="B291" s="70" t="s">
        <v>6794</v>
      </c>
      <c r="C291" s="70" t="s">
        <v>6795</v>
      </c>
    </row>
    <row r="292" spans="1:3" ht="18.600000000000001">
      <c r="A292" s="70" t="s">
        <v>6796</v>
      </c>
      <c r="B292" s="70" t="s">
        <v>6797</v>
      </c>
      <c r="C292" s="70" t="s">
        <v>6798</v>
      </c>
    </row>
    <row r="293" spans="1:3" ht="18.600000000000001">
      <c r="A293" s="70" t="s">
        <v>6799</v>
      </c>
      <c r="B293" s="70" t="s">
        <v>6800</v>
      </c>
      <c r="C293" s="70" t="s">
        <v>6801</v>
      </c>
    </row>
    <row r="294" spans="1:3" ht="18.600000000000001">
      <c r="A294" s="70" t="s">
        <v>6802</v>
      </c>
      <c r="B294" s="70" t="s">
        <v>6803</v>
      </c>
      <c r="C294" s="70" t="s">
        <v>6804</v>
      </c>
    </row>
    <row r="295" spans="1:3" ht="18.600000000000001">
      <c r="A295" s="70" t="s">
        <v>1044</v>
      </c>
      <c r="B295" s="70" t="s">
        <v>5963</v>
      </c>
      <c r="C295" s="70" t="s">
        <v>5964</v>
      </c>
    </row>
    <row r="296" spans="1:3" ht="18.600000000000001">
      <c r="A296" s="70" t="s">
        <v>1572</v>
      </c>
      <c r="B296" s="70" t="s">
        <v>6805</v>
      </c>
      <c r="C296" s="70" t="s">
        <v>6806</v>
      </c>
    </row>
    <row r="297" spans="1:3" ht="36">
      <c r="A297" s="70" t="s">
        <v>5973</v>
      </c>
      <c r="B297" s="70" t="s">
        <v>5974</v>
      </c>
      <c r="C297" s="70" t="s">
        <v>5975</v>
      </c>
    </row>
    <row r="298" spans="1:3" ht="18.600000000000001">
      <c r="A298" s="70" t="s">
        <v>6807</v>
      </c>
      <c r="B298" s="70" t="s">
        <v>6808</v>
      </c>
      <c r="C298" s="70" t="s">
        <v>6809</v>
      </c>
    </row>
    <row r="299" spans="1:3" ht="18.600000000000001">
      <c r="A299" s="70" t="s">
        <v>6810</v>
      </c>
      <c r="B299" s="70" t="s">
        <v>6811</v>
      </c>
      <c r="C299" s="70" t="s">
        <v>6812</v>
      </c>
    </row>
    <row r="300" spans="1:3" ht="18.600000000000001">
      <c r="A300" s="70" t="s">
        <v>6813</v>
      </c>
      <c r="B300" s="70" t="s">
        <v>6814</v>
      </c>
      <c r="C300" s="70" t="s">
        <v>6815</v>
      </c>
    </row>
    <row r="301" spans="1:3" ht="18.600000000000001">
      <c r="A301" s="70" t="s">
        <v>1185</v>
      </c>
      <c r="B301" s="70" t="s">
        <v>6816</v>
      </c>
      <c r="C301" s="70" t="s">
        <v>6817</v>
      </c>
    </row>
    <row r="302" spans="1:3" ht="36">
      <c r="A302" s="70" t="s">
        <v>6818</v>
      </c>
      <c r="B302" s="70" t="s">
        <v>6819</v>
      </c>
      <c r="C302" s="70" t="s">
        <v>6820</v>
      </c>
    </row>
    <row r="303" spans="1:3" ht="18.600000000000001">
      <c r="A303" s="70" t="s">
        <v>6821</v>
      </c>
      <c r="B303" s="70" t="s">
        <v>6822</v>
      </c>
      <c r="C303" s="70" t="s">
        <v>6823</v>
      </c>
    </row>
    <row r="304" spans="1:3" ht="18.600000000000001">
      <c r="A304" s="70" t="s">
        <v>1890</v>
      </c>
      <c r="B304" s="70" t="s">
        <v>6824</v>
      </c>
      <c r="C304" s="70" t="s">
        <v>6825</v>
      </c>
    </row>
    <row r="305" spans="1:3" ht="18.600000000000001">
      <c r="A305" s="70" t="s">
        <v>6826</v>
      </c>
      <c r="B305" s="70" t="s">
        <v>6827</v>
      </c>
      <c r="C305" s="70" t="s">
        <v>6828</v>
      </c>
    </row>
    <row r="306" spans="1:3" ht="18.600000000000001">
      <c r="A306" s="70" t="s">
        <v>5985</v>
      </c>
      <c r="B306" s="70" t="s">
        <v>5985</v>
      </c>
      <c r="C306" s="70" t="s">
        <v>5986</v>
      </c>
    </row>
    <row r="307" spans="1:3" ht="18.600000000000001">
      <c r="A307" s="70" t="s">
        <v>1877</v>
      </c>
      <c r="B307" s="70" t="s">
        <v>1877</v>
      </c>
      <c r="C307" s="70" t="s">
        <v>6829</v>
      </c>
    </row>
    <row r="308" spans="1:3" ht="18.600000000000001">
      <c r="A308" s="70" t="s">
        <v>5982</v>
      </c>
      <c r="B308" s="70" t="s">
        <v>5982</v>
      </c>
      <c r="C308" s="70" t="s">
        <v>5983</v>
      </c>
    </row>
    <row r="309" spans="1:3" ht="18.600000000000001">
      <c r="A309" s="70" t="s">
        <v>6830</v>
      </c>
      <c r="B309" s="70" t="s">
        <v>6831</v>
      </c>
      <c r="C309" s="70" t="s">
        <v>6832</v>
      </c>
    </row>
    <row r="310" spans="1:3" ht="18.600000000000001">
      <c r="A310" s="70" t="s">
        <v>1874</v>
      </c>
      <c r="B310" s="70" t="s">
        <v>1874</v>
      </c>
      <c r="C310" s="70" t="s">
        <v>6833</v>
      </c>
    </row>
    <row r="311" spans="1:3" ht="18.600000000000001">
      <c r="A311" s="70" t="s">
        <v>1446</v>
      </c>
      <c r="B311" s="70" t="s">
        <v>1446</v>
      </c>
      <c r="C311" s="70" t="s">
        <v>6834</v>
      </c>
    </row>
    <row r="312" spans="1:3" ht="18.600000000000001">
      <c r="A312" s="70" t="s">
        <v>6835</v>
      </c>
      <c r="B312" s="70" t="s">
        <v>1853</v>
      </c>
      <c r="C312" s="70" t="s">
        <v>6836</v>
      </c>
    </row>
    <row r="313" spans="1:3" ht="18.600000000000001">
      <c r="A313" s="70" t="s">
        <v>6837</v>
      </c>
      <c r="B313" s="70" t="s">
        <v>6838</v>
      </c>
      <c r="C313" s="70" t="s">
        <v>6839</v>
      </c>
    </row>
    <row r="314" spans="1:3" ht="18.600000000000001">
      <c r="A314" s="70" t="s">
        <v>1235</v>
      </c>
      <c r="B314" s="70" t="s">
        <v>6840</v>
      </c>
      <c r="C314" s="70" t="s">
        <v>6841</v>
      </c>
    </row>
    <row r="315" spans="1:3" ht="18.600000000000001">
      <c r="A315" s="70" t="s">
        <v>6842</v>
      </c>
      <c r="B315" s="70" t="s">
        <v>6842</v>
      </c>
      <c r="C315" s="70" t="s">
        <v>6843</v>
      </c>
    </row>
    <row r="316" spans="1:3" ht="18.600000000000001">
      <c r="A316" s="70" t="s">
        <v>6844</v>
      </c>
      <c r="B316" s="70" t="s">
        <v>6845</v>
      </c>
      <c r="C316" s="70" t="s">
        <v>6846</v>
      </c>
    </row>
    <row r="317" spans="1:3" ht="18.600000000000001">
      <c r="A317" s="70" t="s">
        <v>6847</v>
      </c>
      <c r="B317" s="70" t="s">
        <v>6847</v>
      </c>
      <c r="C317" s="70" t="s">
        <v>6848</v>
      </c>
    </row>
    <row r="318" spans="1:3" ht="18.600000000000001">
      <c r="A318" s="70" t="s">
        <v>1051</v>
      </c>
      <c r="B318" s="70" t="s">
        <v>6849</v>
      </c>
      <c r="C318" s="70" t="s">
        <v>6850</v>
      </c>
    </row>
    <row r="319" spans="1:3" ht="18.600000000000001">
      <c r="A319" s="70" t="s">
        <v>6851</v>
      </c>
      <c r="B319" s="70" t="s">
        <v>6852</v>
      </c>
      <c r="C319" s="70" t="s">
        <v>6853</v>
      </c>
    </row>
    <row r="320" spans="1:3" ht="18.600000000000001">
      <c r="A320" s="70" t="s">
        <v>1040</v>
      </c>
      <c r="B320" s="70" t="s">
        <v>6854</v>
      </c>
      <c r="C320" s="70" t="s">
        <v>6855</v>
      </c>
    </row>
    <row r="321" spans="1:3" ht="18.600000000000001">
      <c r="A321" s="70" t="s">
        <v>1012</v>
      </c>
      <c r="B321" s="70" t="s">
        <v>6856</v>
      </c>
      <c r="C321" s="70" t="s">
        <v>6857</v>
      </c>
    </row>
    <row r="322" spans="1:3" ht="18.600000000000001">
      <c r="A322" s="70" t="s">
        <v>1068</v>
      </c>
      <c r="B322" s="70" t="s">
        <v>6858</v>
      </c>
      <c r="C322" s="70" t="s">
        <v>6859</v>
      </c>
    </row>
    <row r="323" spans="1:3" ht="36">
      <c r="A323" s="70" t="s">
        <v>6860</v>
      </c>
      <c r="B323" s="70" t="s">
        <v>6861</v>
      </c>
      <c r="C323" s="70" t="s">
        <v>6862</v>
      </c>
    </row>
    <row r="324" spans="1:3" ht="18.600000000000001">
      <c r="A324" s="70" t="s">
        <v>6863</v>
      </c>
      <c r="B324" s="70" t="s">
        <v>6864</v>
      </c>
      <c r="C324" s="70" t="s">
        <v>6865</v>
      </c>
    </row>
    <row r="325" spans="1:3" ht="18.600000000000001">
      <c r="A325" s="70" t="s">
        <v>6866</v>
      </c>
      <c r="B325" s="70" t="s">
        <v>6867</v>
      </c>
      <c r="C325" s="70" t="s">
        <v>6868</v>
      </c>
    </row>
    <row r="326" spans="1:3" ht="18.600000000000001">
      <c r="A326" s="70" t="s">
        <v>6869</v>
      </c>
      <c r="B326" s="70" t="s">
        <v>6870</v>
      </c>
      <c r="C326" s="70" t="s">
        <v>6871</v>
      </c>
    </row>
    <row r="327" spans="1:3" ht="18.600000000000001">
      <c r="A327" s="70" t="s">
        <v>6872</v>
      </c>
      <c r="B327" s="70" t="s">
        <v>6873</v>
      </c>
      <c r="C327" s="70" t="s">
        <v>6874</v>
      </c>
    </row>
    <row r="328" spans="1:3" ht="18.600000000000001">
      <c r="A328" s="70" t="s">
        <v>6875</v>
      </c>
      <c r="B328" s="70" t="s">
        <v>6876</v>
      </c>
      <c r="C328" s="70" t="s">
        <v>6877</v>
      </c>
    </row>
    <row r="329" spans="1:3" ht="36">
      <c r="A329" s="70" t="s">
        <v>6878</v>
      </c>
      <c r="B329" s="70" t="s">
        <v>6879</v>
      </c>
      <c r="C329" s="70" t="s">
        <v>6880</v>
      </c>
    </row>
    <row r="330" spans="1:3" ht="18.600000000000001">
      <c r="A330" s="70" t="s">
        <v>6881</v>
      </c>
      <c r="B330" s="70" t="s">
        <v>6881</v>
      </c>
      <c r="C330" s="70" t="s">
        <v>6882</v>
      </c>
    </row>
    <row r="331" spans="1:3" ht="18.600000000000001">
      <c r="A331" s="70" t="s">
        <v>6883</v>
      </c>
      <c r="B331" s="70" t="s">
        <v>6883</v>
      </c>
      <c r="C331" s="70" t="s">
        <v>6884</v>
      </c>
    </row>
    <row r="332" spans="1:3" ht="36">
      <c r="A332" s="70" t="s">
        <v>6885</v>
      </c>
      <c r="B332" s="70" t="s">
        <v>6886</v>
      </c>
      <c r="C332" s="70" t="s">
        <v>6887</v>
      </c>
    </row>
    <row r="333" spans="1:3" ht="18.600000000000001">
      <c r="A333" s="70" t="s">
        <v>6888</v>
      </c>
      <c r="B333" s="70" t="s">
        <v>6888</v>
      </c>
      <c r="C333" s="70" t="s">
        <v>6889</v>
      </c>
    </row>
    <row r="334" spans="1:3" ht="18.600000000000001">
      <c r="A334" s="70" t="s">
        <v>6890</v>
      </c>
      <c r="B334" s="70" t="s">
        <v>6891</v>
      </c>
      <c r="C334" s="70" t="s">
        <v>6892</v>
      </c>
    </row>
    <row r="335" spans="1:3" ht="18.600000000000001">
      <c r="A335" s="70" t="s">
        <v>6893</v>
      </c>
      <c r="B335" s="70" t="s">
        <v>6894</v>
      </c>
      <c r="C335" s="70" t="s">
        <v>6895</v>
      </c>
    </row>
    <row r="336" spans="1:3" ht="18.600000000000001">
      <c r="A336" s="70" t="s">
        <v>6896</v>
      </c>
      <c r="B336" s="70" t="s">
        <v>6897</v>
      </c>
      <c r="C336" s="70" t="s">
        <v>6898</v>
      </c>
    </row>
    <row r="337" spans="1:3" ht="18.600000000000001">
      <c r="A337" s="70" t="s">
        <v>6899</v>
      </c>
      <c r="B337" s="70" t="s">
        <v>6900</v>
      </c>
      <c r="C337" s="70" t="s">
        <v>6901</v>
      </c>
    </row>
    <row r="338" spans="1:3" ht="18.600000000000001">
      <c r="A338" s="70" t="s">
        <v>6902</v>
      </c>
      <c r="B338" s="70" t="s">
        <v>6903</v>
      </c>
      <c r="C338" s="70" t="s">
        <v>6904</v>
      </c>
    </row>
    <row r="339" spans="1:3" ht="18.600000000000001">
      <c r="A339" s="70" t="s">
        <v>1713</v>
      </c>
      <c r="B339" s="70" t="s">
        <v>6905</v>
      </c>
      <c r="C339" s="70" t="s">
        <v>6906</v>
      </c>
    </row>
    <row r="340" spans="1:3" ht="18.600000000000001">
      <c r="A340" s="70" t="s">
        <v>6907</v>
      </c>
      <c r="B340" s="70" t="s">
        <v>6908</v>
      </c>
      <c r="C340" s="70" t="s">
        <v>6909</v>
      </c>
    </row>
    <row r="341" spans="1:3" ht="18.600000000000001">
      <c r="A341" s="70" t="s">
        <v>6910</v>
      </c>
      <c r="B341" s="70" t="s">
        <v>6911</v>
      </c>
      <c r="C341" s="70" t="s">
        <v>6912</v>
      </c>
    </row>
    <row r="342" spans="1:3" ht="18.600000000000001">
      <c r="A342" s="70" t="s">
        <v>6913</v>
      </c>
      <c r="B342" s="70" t="s">
        <v>6914</v>
      </c>
      <c r="C342" s="70" t="s">
        <v>6915</v>
      </c>
    </row>
  </sheetData>
  <phoneticPr fontId="5"/>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CADF-F08C-4971-B2D7-7C2C45CC5A56}">
  <dimension ref="A6:B6"/>
  <sheetViews>
    <sheetView workbookViewId="0"/>
  </sheetViews>
  <sheetFormatPr defaultRowHeight="18"/>
  <cols>
    <col min="1" max="1" width="29.09765625" customWidth="1"/>
    <col min="2" max="2" width="26.3984375" customWidth="1"/>
  </cols>
  <sheetData>
    <row r="6" spans="1:2">
      <c r="A6" t="s">
        <v>4790</v>
      </c>
      <c r="B6" s="129" t="s">
        <v>4791</v>
      </c>
    </row>
  </sheetData>
  <phoneticPr fontId="5"/>
  <hyperlinks>
    <hyperlink ref="B6" r:id="rId1" display="https://domo.domo.com/app-studio/1729376511/pages/184133139" xr:uid="{A4F3B8FF-3B21-415C-86C1-ABE604B376B8}"/>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70F7-B616-412B-BE4B-334DCC4C5D9E}">
  <dimension ref="A1:L2364"/>
  <sheetViews>
    <sheetView workbookViewId="0"/>
  </sheetViews>
  <sheetFormatPr defaultRowHeight="18"/>
  <cols>
    <col min="1" max="1" width="13.3984375" customWidth="1"/>
    <col min="2" max="2" width="19.69921875" customWidth="1"/>
    <col min="3" max="3" width="19.59765625" customWidth="1"/>
    <col min="4" max="4" width="12.3984375" customWidth="1"/>
    <col min="5" max="5" width="13.8984375" customWidth="1"/>
    <col min="6" max="6" width="13.69921875" customWidth="1"/>
    <col min="7" max="7" width="32.09765625" customWidth="1"/>
    <col min="8" max="8" width="7.3984375" customWidth="1"/>
    <col min="9" max="9" width="9.19921875" customWidth="1"/>
    <col min="10" max="10" width="33.5" customWidth="1"/>
    <col min="11" max="12" width="29.8984375" customWidth="1"/>
    <col min="13" max="13" width="16.09765625" customWidth="1"/>
    <col min="14" max="14" width="18.69921875" customWidth="1"/>
  </cols>
  <sheetData>
    <row r="1" spans="1:11" ht="18.600000000000001" thickBot="1">
      <c r="A1" s="242" t="s">
        <v>4792</v>
      </c>
      <c r="B1" s="498" t="s">
        <v>4793</v>
      </c>
      <c r="C1" s="499"/>
      <c r="D1" s="500"/>
      <c r="E1" s="501" t="s">
        <v>4794</v>
      </c>
      <c r="F1" s="502"/>
      <c r="G1" s="503"/>
    </row>
    <row r="2" spans="1:11" ht="18.600000000000001" thickBot="1">
      <c r="A2" s="85"/>
      <c r="B2" s="380" t="s">
        <v>4795</v>
      </c>
      <c r="C2" s="381" t="s">
        <v>4796</v>
      </c>
      <c r="D2" s="382" t="s">
        <v>4797</v>
      </c>
      <c r="E2" s="197" t="s">
        <v>964</v>
      </c>
      <c r="F2" s="105" t="s">
        <v>3574</v>
      </c>
      <c r="G2" s="383" t="s">
        <v>4798</v>
      </c>
      <c r="I2" s="81"/>
    </row>
    <row r="3" spans="1:11">
      <c r="A3" s="384" t="s">
        <v>4799</v>
      </c>
      <c r="B3" s="416">
        <v>2186</v>
      </c>
      <c r="C3" s="417">
        <v>716</v>
      </c>
      <c r="D3" s="418">
        <v>1470</v>
      </c>
      <c r="E3" s="419">
        <v>23</v>
      </c>
      <c r="F3" s="420">
        <v>34</v>
      </c>
      <c r="G3" s="385">
        <f>E3+F3</f>
        <v>57</v>
      </c>
      <c r="J3" t="s">
        <v>4800</v>
      </c>
    </row>
    <row r="4" spans="1:11">
      <c r="A4" s="384" t="s">
        <v>4531</v>
      </c>
      <c r="B4" s="421">
        <v>2194</v>
      </c>
      <c r="C4" s="422">
        <v>713</v>
      </c>
      <c r="D4" s="423">
        <v>1481</v>
      </c>
      <c r="E4" s="424">
        <v>20</v>
      </c>
      <c r="F4" s="425">
        <v>55</v>
      </c>
      <c r="G4" s="387">
        <f t="shared" ref="G4:G13" si="0">E4+F4</f>
        <v>75</v>
      </c>
      <c r="J4" s="129" t="s">
        <v>4801</v>
      </c>
      <c r="K4" s="129"/>
    </row>
    <row r="5" spans="1:11">
      <c r="A5" s="384" t="s">
        <v>4802</v>
      </c>
      <c r="B5" s="421">
        <v>2177</v>
      </c>
      <c r="C5" s="422">
        <v>702</v>
      </c>
      <c r="D5" s="426">
        <v>1475</v>
      </c>
      <c r="E5" s="424">
        <v>24</v>
      </c>
      <c r="F5" s="425">
        <v>21</v>
      </c>
      <c r="G5" s="387">
        <f t="shared" si="0"/>
        <v>45</v>
      </c>
      <c r="J5" s="129" t="s">
        <v>4803</v>
      </c>
    </row>
    <row r="6" spans="1:11">
      <c r="A6" s="384" t="s">
        <v>4804</v>
      </c>
      <c r="B6" s="421">
        <v>2174</v>
      </c>
      <c r="C6" s="422">
        <v>675</v>
      </c>
      <c r="D6" s="426">
        <v>1499</v>
      </c>
      <c r="E6" s="427">
        <v>37</v>
      </c>
      <c r="F6" s="428">
        <v>16</v>
      </c>
      <c r="G6" s="387">
        <f t="shared" si="0"/>
        <v>53</v>
      </c>
      <c r="J6" s="129" t="s">
        <v>4805</v>
      </c>
      <c r="K6" s="129" t="s">
        <v>4806</v>
      </c>
    </row>
    <row r="7" spans="1:11">
      <c r="A7" s="384" t="s">
        <v>4807</v>
      </c>
      <c r="B7" s="421">
        <v>2021</v>
      </c>
      <c r="C7" s="422">
        <v>547</v>
      </c>
      <c r="D7" s="426">
        <v>1474</v>
      </c>
      <c r="E7" s="427">
        <v>25</v>
      </c>
      <c r="F7" s="428">
        <v>37</v>
      </c>
      <c r="G7" s="387">
        <f t="shared" si="0"/>
        <v>62</v>
      </c>
      <c r="J7" s="129" t="s">
        <v>4808</v>
      </c>
      <c r="K7" s="129" t="s">
        <v>4809</v>
      </c>
    </row>
    <row r="8" spans="1:11">
      <c r="A8" s="384" t="s">
        <v>4810</v>
      </c>
      <c r="B8" s="421">
        <v>2024</v>
      </c>
      <c r="C8" s="422">
        <v>528</v>
      </c>
      <c r="D8" s="426">
        <v>1496</v>
      </c>
      <c r="E8" s="427">
        <v>15</v>
      </c>
      <c r="F8" s="428">
        <v>33</v>
      </c>
      <c r="G8" s="387">
        <f t="shared" si="0"/>
        <v>48</v>
      </c>
      <c r="J8" s="129" t="s">
        <v>4811</v>
      </c>
      <c r="K8" s="129" t="s">
        <v>4812</v>
      </c>
    </row>
    <row r="9" spans="1:11">
      <c r="A9" s="384" t="s">
        <v>4813</v>
      </c>
      <c r="B9" s="421">
        <v>1910</v>
      </c>
      <c r="C9" s="422">
        <v>495</v>
      </c>
      <c r="D9" s="426">
        <v>1415</v>
      </c>
      <c r="E9" s="427">
        <v>12</v>
      </c>
      <c r="F9" s="428">
        <v>29</v>
      </c>
      <c r="G9" s="387">
        <f t="shared" si="0"/>
        <v>41</v>
      </c>
      <c r="J9" s="129" t="s">
        <v>4814</v>
      </c>
      <c r="K9" t="s">
        <v>4815</v>
      </c>
    </row>
    <row r="10" spans="1:11">
      <c r="A10" s="384" t="s">
        <v>4816</v>
      </c>
      <c r="B10" s="421">
        <v>1912</v>
      </c>
      <c r="C10" s="422">
        <v>497</v>
      </c>
      <c r="D10" s="426">
        <v>1415</v>
      </c>
      <c r="E10" s="427">
        <v>13</v>
      </c>
      <c r="F10" s="428">
        <v>31</v>
      </c>
      <c r="G10" s="387">
        <f t="shared" si="0"/>
        <v>44</v>
      </c>
      <c r="J10" s="129" t="s">
        <v>4817</v>
      </c>
      <c r="K10" s="129" t="s">
        <v>4818</v>
      </c>
    </row>
    <row r="11" spans="1:11">
      <c r="A11" s="384" t="s">
        <v>4819</v>
      </c>
      <c r="B11" s="429">
        <v>1926</v>
      </c>
      <c r="C11" s="422">
        <v>511</v>
      </c>
      <c r="D11" s="426">
        <v>1415</v>
      </c>
      <c r="E11" s="427">
        <v>22</v>
      </c>
      <c r="F11" s="428">
        <v>51</v>
      </c>
      <c r="G11" s="387">
        <f t="shared" si="0"/>
        <v>73</v>
      </c>
    </row>
    <row r="12" spans="1:11">
      <c r="A12" s="384" t="s">
        <v>4820</v>
      </c>
      <c r="B12" s="429">
        <v>1932</v>
      </c>
      <c r="C12" s="422">
        <v>510</v>
      </c>
      <c r="D12" s="426">
        <v>1422</v>
      </c>
      <c r="E12" s="427">
        <v>27</v>
      </c>
      <c r="F12" s="428">
        <v>52</v>
      </c>
      <c r="G12" s="387">
        <f t="shared" si="0"/>
        <v>79</v>
      </c>
      <c r="J12" s="397" t="s">
        <v>5398</v>
      </c>
    </row>
    <row r="13" spans="1:11">
      <c r="A13" s="384" t="s">
        <v>4821</v>
      </c>
      <c r="B13" s="429">
        <v>1942</v>
      </c>
      <c r="C13" s="386">
        <f t="shared" ref="C13:C14" si="1">B13-D13</f>
        <v>519</v>
      </c>
      <c r="D13" s="388">
        <v>1423</v>
      </c>
      <c r="E13" s="389">
        <v>19</v>
      </c>
      <c r="F13" s="390">
        <v>29</v>
      </c>
      <c r="G13" s="387">
        <f t="shared" si="0"/>
        <v>48</v>
      </c>
      <c r="J13" s="397" t="s">
        <v>5397</v>
      </c>
    </row>
    <row r="14" spans="1:11" s="4" customFormat="1" ht="18.600000000000001" thickBot="1">
      <c r="A14" s="384" t="s">
        <v>4822</v>
      </c>
      <c r="B14" s="391">
        <v>1942</v>
      </c>
      <c r="C14" s="392">
        <f t="shared" si="1"/>
        <v>519</v>
      </c>
      <c r="D14" s="388">
        <v>1423</v>
      </c>
      <c r="E14" s="393">
        <v>20</v>
      </c>
      <c r="F14" s="394">
        <v>40</v>
      </c>
      <c r="G14" s="395">
        <f>E14+F14</f>
        <v>60</v>
      </c>
      <c r="I14"/>
      <c r="J14"/>
      <c r="K14"/>
    </row>
    <row r="16" spans="1:11" ht="18.600000000000001" thickBot="1"/>
    <row r="17" spans="1:11" ht="18.600000000000001" thickBot="1">
      <c r="A17" s="85" t="s">
        <v>4823</v>
      </c>
      <c r="B17" s="339" t="s">
        <v>4824</v>
      </c>
      <c r="C17" s="339" t="s">
        <v>4824</v>
      </c>
      <c r="D17" s="339" t="s">
        <v>4824</v>
      </c>
      <c r="E17" s="111">
        <f>SUM(E3:E5)</f>
        <v>67</v>
      </c>
      <c r="F17" s="111">
        <f>SUM(F3:F11)</f>
        <v>307</v>
      </c>
      <c r="G17" s="112">
        <f>SUM(E17:F17)</f>
        <v>374</v>
      </c>
      <c r="J17" s="74" t="s">
        <v>5733</v>
      </c>
    </row>
    <row r="18" spans="1:11" ht="18.600000000000001" thickBot="1">
      <c r="A18" s="85" t="s">
        <v>4825</v>
      </c>
      <c r="B18" s="339" t="s">
        <v>4824</v>
      </c>
      <c r="C18" s="339" t="s">
        <v>4824</v>
      </c>
      <c r="D18" s="339" t="s">
        <v>4824</v>
      </c>
      <c r="E18" s="111">
        <f>SUM(E6:E8)</f>
        <v>77</v>
      </c>
      <c r="F18" s="111">
        <f>SUM(F6:F8)</f>
        <v>86</v>
      </c>
      <c r="G18" s="112">
        <f>SUM(E18:F18)</f>
        <v>163</v>
      </c>
      <c r="J18" t="s">
        <v>4868</v>
      </c>
    </row>
    <row r="19" spans="1:11" ht="18.600000000000001" thickBot="1">
      <c r="A19" s="85" t="s">
        <v>4826</v>
      </c>
      <c r="B19" s="339" t="s">
        <v>4824</v>
      </c>
      <c r="C19" s="339" t="s">
        <v>4824</v>
      </c>
      <c r="D19" s="339" t="s">
        <v>4824</v>
      </c>
      <c r="E19" s="111">
        <f>SUM(E9:E11)</f>
        <v>47</v>
      </c>
      <c r="F19" s="111">
        <f>SUM(F9:F11)</f>
        <v>111</v>
      </c>
      <c r="G19" s="112">
        <f>SUM(E19:F19)</f>
        <v>158</v>
      </c>
      <c r="J19" t="s">
        <v>4870</v>
      </c>
    </row>
    <row r="20" spans="1:11" ht="18.600000000000001" thickBot="1">
      <c r="A20" s="85" t="s">
        <v>4827</v>
      </c>
      <c r="B20" s="339" t="s">
        <v>4824</v>
      </c>
      <c r="C20" s="339" t="s">
        <v>4824</v>
      </c>
      <c r="D20" s="339" t="s">
        <v>4824</v>
      </c>
      <c r="E20" s="111">
        <f>SUM(E12:E14)</f>
        <v>66</v>
      </c>
      <c r="F20" s="111">
        <f>SUM(F12:F14)</f>
        <v>121</v>
      </c>
      <c r="G20" s="112">
        <f>SUM(E20:F20)</f>
        <v>187</v>
      </c>
    </row>
    <row r="21" spans="1:11" ht="18.600000000000001" thickBot="1">
      <c r="A21" s="113" t="s">
        <v>4828</v>
      </c>
      <c r="B21" s="167" t="s">
        <v>4824</v>
      </c>
      <c r="C21" s="167" t="s">
        <v>4824</v>
      </c>
      <c r="D21" s="167" t="s">
        <v>4824</v>
      </c>
      <c r="E21" s="113">
        <f>SUM(E3:E14)</f>
        <v>257</v>
      </c>
      <c r="F21" s="113">
        <f t="shared" ref="F21:G21" si="2">SUM(F3:F14)</f>
        <v>428</v>
      </c>
      <c r="G21" s="113">
        <f t="shared" si="2"/>
        <v>685</v>
      </c>
      <c r="K21" s="368"/>
    </row>
    <row r="22" spans="1:11" ht="18.600000000000001" thickBot="1">
      <c r="J22" s="9" t="s">
        <v>6040</v>
      </c>
      <c r="K22" s="369"/>
    </row>
    <row r="23" spans="1:11">
      <c r="A23" s="250" t="s">
        <v>4831</v>
      </c>
      <c r="B23" s="251" t="s">
        <v>4832</v>
      </c>
      <c r="C23" s="170" t="s">
        <v>2043</v>
      </c>
      <c r="D23" s="504" t="s">
        <v>4833</v>
      </c>
      <c r="E23" s="505"/>
      <c r="K23" s="369"/>
    </row>
    <row r="24" spans="1:11">
      <c r="A24" s="172" t="s">
        <v>4835</v>
      </c>
      <c r="B24" s="430">
        <v>24000</v>
      </c>
      <c r="C24" s="286">
        <v>26190</v>
      </c>
      <c r="D24" s="496"/>
      <c r="E24" s="497"/>
      <c r="K24" s="369"/>
    </row>
    <row r="25" spans="1:11">
      <c r="A25" s="172" t="s">
        <v>4837</v>
      </c>
      <c r="B25" s="430">
        <v>24000</v>
      </c>
      <c r="C25" s="430">
        <v>24598</v>
      </c>
      <c r="D25" s="496"/>
      <c r="E25" s="497"/>
    </row>
    <row r="26" spans="1:11">
      <c r="A26" s="172" t="s">
        <v>4839</v>
      </c>
      <c r="B26" s="430">
        <v>24000</v>
      </c>
      <c r="C26" s="430">
        <v>26178</v>
      </c>
      <c r="D26" s="496"/>
      <c r="E26" s="497"/>
      <c r="J26" t="s">
        <v>5423</v>
      </c>
    </row>
    <row r="27" spans="1:11" ht="18.600000000000001" thickBot="1">
      <c r="A27" s="172" t="s">
        <v>4840</v>
      </c>
      <c r="B27" s="431">
        <v>24000</v>
      </c>
      <c r="C27" s="431">
        <v>16312</v>
      </c>
      <c r="D27" s="508"/>
      <c r="E27" s="509"/>
      <c r="J27" s="368" t="s">
        <v>4829</v>
      </c>
    </row>
    <row r="28" spans="1:11" ht="18.600000000000001" thickBot="1">
      <c r="A28" s="73"/>
      <c r="J28" s="368" t="s">
        <v>4830</v>
      </c>
    </row>
    <row r="29" spans="1:11" ht="18.600000000000001" thickBot="1">
      <c r="A29" s="264" t="s">
        <v>4841</v>
      </c>
      <c r="B29" s="265"/>
      <c r="C29" s="265"/>
      <c r="D29" s="510"/>
      <c r="E29" s="511"/>
      <c r="J29" s="368" t="s">
        <v>4834</v>
      </c>
    </row>
    <row r="30" spans="1:11" ht="18.600000000000001" thickBot="1">
      <c r="A30" s="261"/>
      <c r="B30" s="262" t="s">
        <v>4842</v>
      </c>
      <c r="C30" s="263" t="s">
        <v>4843</v>
      </c>
      <c r="D30" s="512" t="s">
        <v>4833</v>
      </c>
      <c r="E30" s="513"/>
      <c r="J30" s="370" t="s">
        <v>4836</v>
      </c>
    </row>
    <row r="31" spans="1:11" ht="18.600000000000001" thickBot="1">
      <c r="A31" s="301" t="s">
        <v>4792</v>
      </c>
      <c r="B31" s="302"/>
      <c r="C31" s="303">
        <v>96000</v>
      </c>
      <c r="D31" s="514"/>
      <c r="E31" s="515"/>
      <c r="J31" s="368" t="s">
        <v>4838</v>
      </c>
    </row>
    <row r="32" spans="1:11" ht="18.600000000000001" thickBot="1">
      <c r="A32" s="330" t="s">
        <v>4799</v>
      </c>
      <c r="B32" s="331">
        <v>8033.66</v>
      </c>
      <c r="C32" s="332">
        <f>C31-B32</f>
        <v>87966.34</v>
      </c>
      <c r="D32" s="516"/>
      <c r="E32" s="517"/>
    </row>
    <row r="33" spans="1:10">
      <c r="A33" s="100" t="s">
        <v>4531</v>
      </c>
      <c r="B33" s="275">
        <v>8470.86</v>
      </c>
      <c r="C33" s="121">
        <f t="shared" ref="C33:C43" si="3">C32-B33</f>
        <v>79495.48</v>
      </c>
      <c r="D33" s="506"/>
      <c r="E33" s="507"/>
      <c r="G33" s="407" t="s">
        <v>4899</v>
      </c>
    </row>
    <row r="34" spans="1:10" ht="18.600000000000001" thickBot="1">
      <c r="A34" s="333" t="s">
        <v>4802</v>
      </c>
      <c r="B34" s="334">
        <v>9685.1400000000012</v>
      </c>
      <c r="C34" s="335">
        <f t="shared" si="3"/>
        <v>69810.34</v>
      </c>
      <c r="D34" s="518" t="s">
        <v>5864</v>
      </c>
      <c r="E34" s="519"/>
      <c r="G34" s="408">
        <v>121000</v>
      </c>
    </row>
    <row r="35" spans="1:10">
      <c r="A35" s="330" t="s">
        <v>4844</v>
      </c>
      <c r="B35" s="336">
        <v>8566.73</v>
      </c>
      <c r="C35" s="332">
        <f t="shared" si="3"/>
        <v>61243.61</v>
      </c>
      <c r="D35" s="516"/>
      <c r="E35" s="517"/>
      <c r="G35" s="411"/>
    </row>
    <row r="36" spans="1:10" ht="18.600000000000001" thickBot="1">
      <c r="A36" s="100" t="s">
        <v>4807</v>
      </c>
      <c r="B36" s="117">
        <v>8511.5099999999984</v>
      </c>
      <c r="C36" s="121">
        <f t="shared" si="3"/>
        <v>52732.100000000006</v>
      </c>
      <c r="D36" s="506"/>
      <c r="E36" s="507"/>
      <c r="G36" s="409"/>
    </row>
    <row r="37" spans="1:10" ht="18.600000000000001" thickBot="1">
      <c r="A37" s="333" t="s">
        <v>4810</v>
      </c>
      <c r="B37" s="337">
        <v>7520.08</v>
      </c>
      <c r="C37" s="335">
        <f t="shared" si="3"/>
        <v>45212.020000000004</v>
      </c>
      <c r="D37" s="518"/>
      <c r="E37" s="519"/>
      <c r="G37" s="407" t="s">
        <v>5826</v>
      </c>
    </row>
    <row r="38" spans="1:10" ht="18.600000000000001" thickBot="1">
      <c r="A38" s="330" t="s">
        <v>4845</v>
      </c>
      <c r="B38" s="338">
        <v>8075.6100000000006</v>
      </c>
      <c r="C38" s="332">
        <f t="shared" si="3"/>
        <v>37136.410000000003</v>
      </c>
      <c r="D38" s="516"/>
      <c r="E38" s="517"/>
      <c r="G38" s="408">
        <f>B44+B53</f>
        <v>117382.68000000001</v>
      </c>
    </row>
    <row r="39" spans="1:10" ht="18.600000000000001" thickBot="1">
      <c r="A39" s="100" t="s">
        <v>4816</v>
      </c>
      <c r="B39" s="117">
        <v>8801.06</v>
      </c>
      <c r="C39" s="121">
        <f t="shared" si="3"/>
        <v>28335.350000000006</v>
      </c>
      <c r="D39" s="506"/>
      <c r="E39" s="507"/>
      <c r="G39" s="410"/>
    </row>
    <row r="40" spans="1:10" ht="18.600000000000001" thickBot="1">
      <c r="A40" s="333" t="s">
        <v>4819</v>
      </c>
      <c r="B40" s="337">
        <v>9301.5400000000009</v>
      </c>
      <c r="C40" s="335">
        <f t="shared" si="3"/>
        <v>19033.810000000005</v>
      </c>
      <c r="D40" s="518" t="s">
        <v>5863</v>
      </c>
      <c r="E40" s="519"/>
      <c r="G40" s="407" t="s">
        <v>5827</v>
      </c>
    </row>
    <row r="41" spans="1:10" ht="18.600000000000001" thickBot="1">
      <c r="A41" s="330" t="s">
        <v>4846</v>
      </c>
      <c r="B41" s="338">
        <v>8803.8200000000015</v>
      </c>
      <c r="C41" s="332">
        <f t="shared" si="3"/>
        <v>10229.990000000003</v>
      </c>
      <c r="D41" s="516"/>
      <c r="E41" s="517"/>
      <c r="G41" s="408">
        <f>C44+C53</f>
        <v>3617.3199999999888</v>
      </c>
    </row>
    <row r="42" spans="1:10">
      <c r="A42" s="100" t="s">
        <v>4821</v>
      </c>
      <c r="B42" s="117">
        <v>17641.25</v>
      </c>
      <c r="C42" s="121">
        <f t="shared" si="3"/>
        <v>-7411.2599999999966</v>
      </c>
      <c r="D42" s="506"/>
      <c r="E42" s="507"/>
    </row>
    <row r="43" spans="1:10" ht="18.600000000000001" thickBot="1">
      <c r="A43" s="333" t="s">
        <v>4847</v>
      </c>
      <c r="B43" s="337">
        <v>4744.3600000000006</v>
      </c>
      <c r="C43" s="335">
        <f t="shared" si="3"/>
        <v>-12155.619999999997</v>
      </c>
      <c r="D43" s="518"/>
      <c r="E43" s="519"/>
    </row>
    <row r="44" spans="1:10" ht="18.600000000000001" thickBot="1">
      <c r="A44" s="114" t="s">
        <v>4848</v>
      </c>
      <c r="B44" s="118">
        <f>SUM(B32:B43)</f>
        <v>108155.62000000001</v>
      </c>
      <c r="C44" s="122">
        <f>C31-B44</f>
        <v>-12155.62000000001</v>
      </c>
      <c r="D44" s="522"/>
      <c r="E44" s="523"/>
      <c r="G44" s="412"/>
    </row>
    <row r="45" spans="1:10" ht="18.600000000000001" thickBot="1"/>
    <row r="46" spans="1:10" ht="18.600000000000001" thickBot="1">
      <c r="A46" s="264" t="s">
        <v>4849</v>
      </c>
      <c r="B46" s="265"/>
      <c r="C46" s="265"/>
      <c r="D46" s="510"/>
      <c r="E46" s="511"/>
    </row>
    <row r="47" spans="1:10" ht="18.600000000000001" thickBot="1">
      <c r="A47" s="103"/>
      <c r="B47" s="104" t="s">
        <v>4842</v>
      </c>
      <c r="C47" s="119" t="s">
        <v>4843</v>
      </c>
      <c r="D47" s="512" t="s">
        <v>4833</v>
      </c>
      <c r="E47" s="513"/>
    </row>
    <row r="48" spans="1:10" ht="18.600000000000001" thickBot="1">
      <c r="A48" s="301" t="s">
        <v>4792</v>
      </c>
      <c r="B48" s="302"/>
      <c r="C48" s="303">
        <v>25000</v>
      </c>
      <c r="D48" s="524"/>
      <c r="E48" s="525"/>
      <c r="J48" s="67"/>
    </row>
    <row r="49" spans="1:10">
      <c r="A49" s="294" t="s">
        <v>4850</v>
      </c>
      <c r="B49" s="304">
        <f>1024.34+5357.47</f>
        <v>6381.81</v>
      </c>
      <c r="C49" s="295">
        <f>C48-B49</f>
        <v>18618.189999999999</v>
      </c>
      <c r="D49" s="526"/>
      <c r="E49" s="527"/>
    </row>
    <row r="50" spans="1:10">
      <c r="A50" s="100" t="s">
        <v>4851</v>
      </c>
      <c r="B50" s="116">
        <v>380.41</v>
      </c>
      <c r="C50" s="121">
        <f>C49-B50</f>
        <v>18237.78</v>
      </c>
      <c r="D50" s="528"/>
      <c r="E50" s="529"/>
    </row>
    <row r="51" spans="1:10">
      <c r="A51" s="100" t="s">
        <v>4852</v>
      </c>
      <c r="B51" s="68">
        <f>1394.86+1069.98</f>
        <v>2464.84</v>
      </c>
      <c r="C51" s="121">
        <f>C50-B51</f>
        <v>15772.939999999999</v>
      </c>
      <c r="D51" s="530"/>
      <c r="E51" s="531"/>
    </row>
    <row r="52" spans="1:10" ht="18.600000000000001" thickBot="1">
      <c r="A52" s="100" t="s">
        <v>4853</v>
      </c>
      <c r="B52" s="117"/>
      <c r="C52" s="121">
        <f>C51-B52</f>
        <v>15772.939999999999</v>
      </c>
      <c r="D52" s="520"/>
      <c r="E52" s="521"/>
      <c r="G52" s="67"/>
      <c r="J52" s="67"/>
    </row>
    <row r="53" spans="1:10" ht="18.600000000000001" thickBot="1">
      <c r="A53" s="114" t="s">
        <v>4848</v>
      </c>
      <c r="B53" s="118">
        <f>SUM(B49:B52)</f>
        <v>9227.0600000000013</v>
      </c>
      <c r="C53" s="122">
        <f>C48-B53</f>
        <v>15772.939999999999</v>
      </c>
      <c r="D53" s="532"/>
      <c r="E53" s="533"/>
    </row>
    <row r="54" spans="1:10" ht="18.600000000000001" thickBot="1"/>
    <row r="55" spans="1:10" ht="18.600000000000001" thickBot="1">
      <c r="A55" s="264" t="s">
        <v>5424</v>
      </c>
      <c r="B55" s="265"/>
      <c r="C55" s="265"/>
      <c r="D55" s="510"/>
      <c r="E55" s="511"/>
    </row>
    <row r="56" spans="1:10" ht="18.600000000000001" thickBot="1">
      <c r="A56" s="103"/>
      <c r="B56" s="104" t="s">
        <v>4842</v>
      </c>
      <c r="C56" s="119" t="s">
        <v>4843</v>
      </c>
      <c r="D56" s="512" t="s">
        <v>4833</v>
      </c>
      <c r="E56" s="513"/>
    </row>
    <row r="57" spans="1:10" ht="18.600000000000001" thickBot="1">
      <c r="A57" s="301" t="s">
        <v>4792</v>
      </c>
      <c r="B57" s="302"/>
      <c r="C57" s="303"/>
      <c r="D57" s="524"/>
      <c r="E57" s="525"/>
    </row>
    <row r="58" spans="1:10">
      <c r="A58" s="294" t="s">
        <v>491</v>
      </c>
      <c r="B58" s="414">
        <v>1194.04</v>
      </c>
      <c r="C58" s="295"/>
      <c r="D58" s="526"/>
      <c r="E58" s="527"/>
    </row>
    <row r="59" spans="1:10">
      <c r="A59" s="100" t="s">
        <v>4854</v>
      </c>
      <c r="B59" s="415" t="s">
        <v>6937</v>
      </c>
      <c r="C59" s="121"/>
      <c r="D59" s="528"/>
      <c r="E59" s="529"/>
      <c r="G59" s="67"/>
    </row>
    <row r="60" spans="1:10" ht="18.600000000000001" thickBot="1">
      <c r="A60" s="100" t="s">
        <v>578</v>
      </c>
      <c r="B60" s="68">
        <v>9301.5400000000009</v>
      </c>
      <c r="C60" s="121"/>
      <c r="D60" s="530"/>
      <c r="E60" s="531"/>
    </row>
    <row r="61" spans="1:10" ht="18.600000000000001" thickBot="1">
      <c r="A61" s="114" t="s">
        <v>4848</v>
      </c>
      <c r="B61" s="118">
        <f>SUM(B58:B60)</f>
        <v>10495.580000000002</v>
      </c>
      <c r="C61" s="122"/>
      <c r="D61" s="532"/>
      <c r="E61" s="533"/>
    </row>
    <row r="63" spans="1:10" ht="18.600000000000001" thickBot="1"/>
    <row r="64" spans="1:10" ht="18.600000000000001" thickBot="1">
      <c r="A64" s="264" t="s">
        <v>4855</v>
      </c>
      <c r="B64" s="265"/>
      <c r="C64" s="265"/>
      <c r="D64" s="510"/>
      <c r="E64" s="511"/>
    </row>
    <row r="65" spans="1:5" ht="18.600000000000001" thickBot="1">
      <c r="A65" s="103"/>
      <c r="B65" s="104" t="s">
        <v>4842</v>
      </c>
      <c r="C65" s="340"/>
      <c r="D65" s="512" t="s">
        <v>4833</v>
      </c>
      <c r="E65" s="513"/>
    </row>
    <row r="66" spans="1:5" ht="18.600000000000001" thickBot="1">
      <c r="A66" s="301" t="s">
        <v>4792</v>
      </c>
      <c r="B66" s="302"/>
      <c r="C66" s="341"/>
      <c r="D66" s="524"/>
      <c r="E66" s="525"/>
    </row>
    <row r="67" spans="1:5">
      <c r="A67" s="294" t="s">
        <v>4850</v>
      </c>
      <c r="B67" s="304"/>
      <c r="C67" s="342"/>
      <c r="D67" s="526"/>
      <c r="E67" s="527"/>
    </row>
    <row r="68" spans="1:5">
      <c r="A68" s="100" t="s">
        <v>4851</v>
      </c>
      <c r="B68" s="116"/>
      <c r="C68" s="343"/>
      <c r="D68" s="528"/>
      <c r="E68" s="529"/>
    </row>
    <row r="69" spans="1:5">
      <c r="A69" s="100" t="s">
        <v>4852</v>
      </c>
      <c r="B69" s="68"/>
      <c r="C69" s="343"/>
      <c r="D69" s="530"/>
      <c r="E69" s="531"/>
    </row>
    <row r="70" spans="1:5" ht="18.600000000000001" thickBot="1">
      <c r="A70" s="100" t="s">
        <v>4853</v>
      </c>
      <c r="B70" s="117"/>
      <c r="C70" s="343"/>
      <c r="D70" s="520"/>
      <c r="E70" s="521"/>
    </row>
    <row r="71" spans="1:5" ht="18.600000000000001" thickBot="1">
      <c r="A71" s="114" t="s">
        <v>4848</v>
      </c>
      <c r="B71" s="118">
        <f>SUM(B67:B70)</f>
        <v>0</v>
      </c>
      <c r="C71" s="344"/>
      <c r="D71" s="532"/>
      <c r="E71" s="533"/>
    </row>
    <row r="2364" spans="12:12">
      <c r="L2364">
        <f>(8038.97+8826.5)</f>
        <v>16865.47</v>
      </c>
    </row>
  </sheetData>
  <mergeCells count="46">
    <mergeCell ref="D69:E69"/>
    <mergeCell ref="D70:E70"/>
    <mergeCell ref="D71:E71"/>
    <mergeCell ref="D68:E68"/>
    <mergeCell ref="D55:E55"/>
    <mergeCell ref="D56:E56"/>
    <mergeCell ref="D57:E57"/>
    <mergeCell ref="D58:E58"/>
    <mergeCell ref="D59:E59"/>
    <mergeCell ref="D53:E53"/>
    <mergeCell ref="D64:E64"/>
    <mergeCell ref="D65:E65"/>
    <mergeCell ref="D66:E66"/>
    <mergeCell ref="D67:E67"/>
    <mergeCell ref="D60:E60"/>
    <mergeCell ref="D61:E61"/>
    <mergeCell ref="D52:E52"/>
    <mergeCell ref="D40:E40"/>
    <mergeCell ref="D41:E41"/>
    <mergeCell ref="D42:E42"/>
    <mergeCell ref="D43:E43"/>
    <mergeCell ref="D44:E44"/>
    <mergeCell ref="D46:E46"/>
    <mergeCell ref="D47:E47"/>
    <mergeCell ref="D48:E48"/>
    <mergeCell ref="D49:E49"/>
    <mergeCell ref="D50:E50"/>
    <mergeCell ref="D51:E51"/>
    <mergeCell ref="D39:E39"/>
    <mergeCell ref="D27:E27"/>
    <mergeCell ref="D29:E29"/>
    <mergeCell ref="D30:E30"/>
    <mergeCell ref="D31:E31"/>
    <mergeCell ref="D32:E32"/>
    <mergeCell ref="D33:E33"/>
    <mergeCell ref="D34:E34"/>
    <mergeCell ref="D35:E35"/>
    <mergeCell ref="D36:E36"/>
    <mergeCell ref="D37:E37"/>
    <mergeCell ref="D38:E38"/>
    <mergeCell ref="D26:E26"/>
    <mergeCell ref="B1:D1"/>
    <mergeCell ref="E1:G1"/>
    <mergeCell ref="D23:E23"/>
    <mergeCell ref="D24:E24"/>
    <mergeCell ref="D25:E25"/>
  </mergeCells>
  <phoneticPr fontId="5"/>
  <hyperlinks>
    <hyperlink ref="K7" r:id="rId1" xr:uid="{29EEEAB5-BB17-413A-861E-5FB0EE843978}"/>
    <hyperlink ref="K8" r:id="rId2" xr:uid="{B591B98C-0C10-434B-9084-E0FD11150CD2}"/>
    <hyperlink ref="J8" r:id="rId3" xr:uid="{10DAC880-DD3B-4180-93E6-F1AFAA2D8002}"/>
    <hyperlink ref="J9" r:id="rId4" xr:uid="{E20ACFF7-001B-49E5-8655-2F87368A08D7}"/>
    <hyperlink ref="K6" r:id="rId5" xr:uid="{42032D6C-DCF2-4E3E-9DBA-0333FA1B7660}"/>
    <hyperlink ref="K10" r:id="rId6" xr:uid="{C96308F0-6BFB-41B5-B264-15312515B32C}"/>
    <hyperlink ref="J10" r:id="rId7" xr:uid="{CE117247-64F8-4161-8CB9-34B162D8A12D}"/>
    <hyperlink ref="J7" r:id="rId8" xr:uid="{E298B6FB-4465-4890-A3A7-84D978A5E6F4}"/>
    <hyperlink ref="J6" r:id="rId9" xr:uid="{D01ED841-7889-4AC2-A85E-E2FA42886E96}"/>
    <hyperlink ref="J4" r:id="rId10" xr:uid="{5A375259-6C2C-4509-9EAE-5FC13A5FBD22}"/>
    <hyperlink ref="J5" r:id="rId11" xr:uid="{11751F49-889B-4DF2-B939-1D9D555A6EF1}"/>
    <hyperlink ref="J13" r:id="rId12" xr:uid="{0621D16A-2426-4595-90AC-8CBAC8A0306D}"/>
    <hyperlink ref="J12" r:id="rId13" xr:uid="{97A39615-29E4-442C-8301-427F78C7ACEE}"/>
  </hyperlinks>
  <pageMargins left="0.7" right="0.7" top="0.75" bottom="0.75" header="0.3" footer="0.3"/>
  <pageSetup paperSize="9" orientation="portrait" horizontalDpi="300" verticalDpi="300"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6978-3EFB-4EBC-B5CB-0F3E0611E7ED}">
  <dimension ref="A1:K62"/>
  <sheetViews>
    <sheetView workbookViewId="0"/>
  </sheetViews>
  <sheetFormatPr defaultRowHeight="18"/>
  <cols>
    <col min="1" max="1" width="13.3984375" customWidth="1"/>
    <col min="2" max="2" width="19.69921875" customWidth="1"/>
    <col min="3" max="3" width="19.59765625" customWidth="1"/>
    <col min="4" max="4" width="12.3984375" customWidth="1"/>
    <col min="5" max="5" width="13.8984375" customWidth="1"/>
    <col min="6" max="6" width="13.69921875" customWidth="1"/>
    <col min="7" max="7" width="32.09765625" customWidth="1"/>
    <col min="8" max="8" width="7.3984375" customWidth="1"/>
    <col min="9" max="9" width="9.19921875" customWidth="1"/>
    <col min="10" max="12" width="29.8984375" customWidth="1"/>
    <col min="13" max="13" width="16.09765625" customWidth="1"/>
    <col min="14" max="14" width="18.69921875" customWidth="1"/>
  </cols>
  <sheetData>
    <row r="1" spans="1:11" ht="18.600000000000001" thickBot="1">
      <c r="A1" s="242" t="s">
        <v>4856</v>
      </c>
      <c r="B1" s="498" t="s">
        <v>4793</v>
      </c>
      <c r="C1" s="499"/>
      <c r="D1" s="500"/>
      <c r="E1" s="501" t="s">
        <v>4794</v>
      </c>
      <c r="F1" s="502"/>
      <c r="G1" s="503"/>
    </row>
    <row r="2" spans="1:11" ht="18.600000000000001" thickBot="1">
      <c r="A2" s="85"/>
      <c r="B2" s="236" t="s">
        <v>4795</v>
      </c>
      <c r="C2" s="97" t="s">
        <v>4796</v>
      </c>
      <c r="D2" s="187" t="s">
        <v>4797</v>
      </c>
      <c r="E2" s="197" t="s">
        <v>964</v>
      </c>
      <c r="F2" s="105" t="s">
        <v>3574</v>
      </c>
      <c r="G2" s="198" t="s">
        <v>4798</v>
      </c>
      <c r="I2" s="81"/>
    </row>
    <row r="3" spans="1:11">
      <c r="A3" s="239" t="s">
        <v>4857</v>
      </c>
      <c r="B3" s="87">
        <v>2071</v>
      </c>
      <c r="C3" s="253">
        <f>B3-D3</f>
        <v>713</v>
      </c>
      <c r="D3" s="254">
        <v>1358</v>
      </c>
      <c r="E3" s="199">
        <v>18</v>
      </c>
      <c r="F3" s="106">
        <v>33</v>
      </c>
      <c r="G3" s="202">
        <f>E3+F3</f>
        <v>51</v>
      </c>
      <c r="J3" t="s">
        <v>4800</v>
      </c>
    </row>
    <row r="4" spans="1:11">
      <c r="A4" s="239" t="s">
        <v>3379</v>
      </c>
      <c r="B4" s="90">
        <v>2080</v>
      </c>
      <c r="C4" s="130">
        <f>B4-D4</f>
        <v>719</v>
      </c>
      <c r="D4" s="255">
        <v>1361</v>
      </c>
      <c r="E4" s="201">
        <v>30</v>
      </c>
      <c r="F4" s="107">
        <v>26</v>
      </c>
      <c r="G4" s="202">
        <f>E4+F4</f>
        <v>56</v>
      </c>
      <c r="J4" s="129" t="s">
        <v>4801</v>
      </c>
      <c r="K4" s="129"/>
    </row>
    <row r="5" spans="1:11">
      <c r="A5" s="239" t="s">
        <v>3475</v>
      </c>
      <c r="B5" s="90">
        <v>2082</v>
      </c>
      <c r="C5" s="130">
        <f t="shared" ref="C5:C10" si="0">B5-D5</f>
        <v>706</v>
      </c>
      <c r="D5" s="256">
        <v>1376</v>
      </c>
      <c r="E5" s="201">
        <v>24</v>
      </c>
      <c r="F5" s="107">
        <v>28</v>
      </c>
      <c r="G5" s="202">
        <f>E5+F5</f>
        <v>52</v>
      </c>
      <c r="J5" s="129" t="s">
        <v>4803</v>
      </c>
    </row>
    <row r="6" spans="1:11">
      <c r="A6" s="239" t="s">
        <v>4858</v>
      </c>
      <c r="B6" s="90">
        <v>2088</v>
      </c>
      <c r="C6" s="130">
        <f t="shared" si="0"/>
        <v>690</v>
      </c>
      <c r="D6" s="256">
        <v>1398</v>
      </c>
      <c r="E6" s="203">
        <v>18</v>
      </c>
      <c r="F6" s="110">
        <v>33</v>
      </c>
      <c r="G6" s="202">
        <f t="shared" ref="G6:G10" si="1">E6+F6</f>
        <v>51</v>
      </c>
      <c r="J6" s="129" t="s">
        <v>4805</v>
      </c>
      <c r="K6" s="129" t="s">
        <v>4806</v>
      </c>
    </row>
    <row r="7" spans="1:11">
      <c r="A7" s="239" t="s">
        <v>3637</v>
      </c>
      <c r="B7" s="93">
        <v>2096</v>
      </c>
      <c r="C7" s="130">
        <f t="shared" si="0"/>
        <v>668</v>
      </c>
      <c r="D7" s="257">
        <v>1428</v>
      </c>
      <c r="E7" s="203">
        <v>11</v>
      </c>
      <c r="F7" s="110">
        <v>32</v>
      </c>
      <c r="G7" s="202">
        <f t="shared" si="1"/>
        <v>43</v>
      </c>
      <c r="J7" s="129" t="s">
        <v>4859</v>
      </c>
      <c r="K7" s="129" t="s">
        <v>4809</v>
      </c>
    </row>
    <row r="8" spans="1:11">
      <c r="A8" s="239" t="s">
        <v>3751</v>
      </c>
      <c r="B8" s="93">
        <v>2097</v>
      </c>
      <c r="C8" s="130">
        <f t="shared" si="0"/>
        <v>657</v>
      </c>
      <c r="D8" s="257">
        <v>1440</v>
      </c>
      <c r="E8" s="203">
        <v>12</v>
      </c>
      <c r="F8" s="110">
        <v>36</v>
      </c>
      <c r="G8" s="202">
        <f t="shared" si="1"/>
        <v>48</v>
      </c>
      <c r="J8" s="129" t="s">
        <v>4811</v>
      </c>
      <c r="K8" s="129" t="s">
        <v>4812</v>
      </c>
    </row>
    <row r="9" spans="1:11">
      <c r="A9" s="239" t="s">
        <v>4860</v>
      </c>
      <c r="B9" s="93">
        <v>2111</v>
      </c>
      <c r="C9" s="130">
        <f t="shared" si="0"/>
        <v>670</v>
      </c>
      <c r="D9" s="257">
        <v>1441</v>
      </c>
      <c r="E9" s="203">
        <v>2</v>
      </c>
      <c r="F9" s="110">
        <v>40</v>
      </c>
      <c r="G9" s="202">
        <f t="shared" si="1"/>
        <v>42</v>
      </c>
      <c r="J9" s="129" t="s">
        <v>4814</v>
      </c>
      <c r="K9" t="s">
        <v>4815</v>
      </c>
    </row>
    <row r="10" spans="1:11">
      <c r="A10" s="239" t="s">
        <v>3866</v>
      </c>
      <c r="B10" s="93">
        <v>2133</v>
      </c>
      <c r="C10" s="130">
        <f t="shared" si="0"/>
        <v>688</v>
      </c>
      <c r="D10" s="257">
        <v>1445</v>
      </c>
      <c r="E10" s="203">
        <v>15</v>
      </c>
      <c r="F10" s="110">
        <v>31</v>
      </c>
      <c r="G10" s="202">
        <f t="shared" si="1"/>
        <v>46</v>
      </c>
      <c r="J10" s="129" t="s">
        <v>4817</v>
      </c>
      <c r="K10" s="129" t="s">
        <v>4818</v>
      </c>
    </row>
    <row r="11" spans="1:11">
      <c r="A11" s="239" t="s">
        <v>4019</v>
      </c>
      <c r="B11" s="258">
        <v>2162</v>
      </c>
      <c r="C11" s="130">
        <f>B11-D11</f>
        <v>715</v>
      </c>
      <c r="D11" s="257">
        <v>1447</v>
      </c>
      <c r="E11" s="203">
        <v>21</v>
      </c>
      <c r="F11" s="110">
        <v>26</v>
      </c>
      <c r="G11" s="223">
        <f>E11+F11</f>
        <v>47</v>
      </c>
    </row>
    <row r="12" spans="1:11">
      <c r="A12" s="239" t="s">
        <v>4112</v>
      </c>
      <c r="B12" s="258">
        <v>2166</v>
      </c>
      <c r="C12" s="130">
        <f>B12-D12</f>
        <v>718</v>
      </c>
      <c r="D12" s="257">
        <v>1448</v>
      </c>
      <c r="E12" s="203">
        <v>14</v>
      </c>
      <c r="F12" s="110">
        <v>17</v>
      </c>
      <c r="G12" s="223">
        <f>E12+F12</f>
        <v>31</v>
      </c>
    </row>
    <row r="13" spans="1:11">
      <c r="A13" s="239" t="s">
        <v>4188</v>
      </c>
      <c r="B13" s="258">
        <v>2174</v>
      </c>
      <c r="C13" s="130">
        <f t="shared" ref="C13:C14" si="2">B13-D13</f>
        <v>719</v>
      </c>
      <c r="D13" s="257">
        <v>1455</v>
      </c>
      <c r="E13" s="203">
        <v>30</v>
      </c>
      <c r="F13" s="110">
        <v>36</v>
      </c>
      <c r="G13" s="223">
        <f t="shared" ref="G13:G14" si="3">E13+F13</f>
        <v>66</v>
      </c>
    </row>
    <row r="14" spans="1:11" s="4" customFormat="1" ht="18.600000000000001" thickBot="1">
      <c r="A14" s="238" t="s">
        <v>4861</v>
      </c>
      <c r="B14" s="91">
        <v>2189</v>
      </c>
      <c r="C14" s="259">
        <f t="shared" si="2"/>
        <v>724</v>
      </c>
      <c r="D14" s="284">
        <v>1465</v>
      </c>
      <c r="E14" s="204">
        <v>26</v>
      </c>
      <c r="F14" s="108">
        <v>15</v>
      </c>
      <c r="G14" s="289">
        <f t="shared" si="3"/>
        <v>41</v>
      </c>
      <c r="I14"/>
      <c r="J14"/>
      <c r="K14"/>
    </row>
    <row r="16" spans="1:11" ht="18.600000000000001" thickBot="1"/>
    <row r="17" spans="1:10" ht="18.600000000000001" thickBot="1">
      <c r="A17" s="85" t="s">
        <v>4862</v>
      </c>
      <c r="B17" s="339" t="s">
        <v>4824</v>
      </c>
      <c r="C17" s="339" t="s">
        <v>4824</v>
      </c>
      <c r="D17" s="339" t="s">
        <v>4824</v>
      </c>
      <c r="E17" s="111">
        <f>SUM(E3:E5)</f>
        <v>72</v>
      </c>
      <c r="F17" s="111">
        <f>SUM(F3:F5)</f>
        <v>87</v>
      </c>
      <c r="G17" s="112">
        <f>SUM(E17:F17)</f>
        <v>159</v>
      </c>
    </row>
    <row r="18" spans="1:10" ht="18.600000000000001" thickBot="1">
      <c r="A18" s="85" t="s">
        <v>4863</v>
      </c>
      <c r="B18" s="339" t="s">
        <v>4824</v>
      </c>
      <c r="C18" s="339" t="s">
        <v>4824</v>
      </c>
      <c r="D18" s="339" t="s">
        <v>4824</v>
      </c>
      <c r="E18" s="111">
        <f>SUM(E6:E8)</f>
        <v>41</v>
      </c>
      <c r="F18" s="111">
        <f>SUM(F6:F8)</f>
        <v>101</v>
      </c>
      <c r="G18" s="112">
        <f>SUM(E18:F18)</f>
        <v>142</v>
      </c>
    </row>
    <row r="19" spans="1:10" ht="18.600000000000001" thickBot="1">
      <c r="A19" s="85" t="s">
        <v>4864</v>
      </c>
      <c r="B19" s="339" t="s">
        <v>4824</v>
      </c>
      <c r="C19" s="339" t="s">
        <v>4824</v>
      </c>
      <c r="D19" s="339" t="s">
        <v>4824</v>
      </c>
      <c r="E19" s="111">
        <f>SUM(E9:E11)</f>
        <v>38</v>
      </c>
      <c r="F19" s="111">
        <f>SUM(F9:F11)</f>
        <v>97</v>
      </c>
      <c r="G19" s="112">
        <f>SUM(E19:F19)</f>
        <v>135</v>
      </c>
    </row>
    <row r="20" spans="1:10" ht="18.600000000000001" thickBot="1">
      <c r="A20" s="85" t="s">
        <v>4865</v>
      </c>
      <c r="B20" s="339" t="s">
        <v>4824</v>
      </c>
      <c r="C20" s="339" t="s">
        <v>4824</v>
      </c>
      <c r="D20" s="339" t="s">
        <v>4824</v>
      </c>
      <c r="E20" s="111">
        <f>SUM(E12:E14)</f>
        <v>70</v>
      </c>
      <c r="F20" s="111">
        <f>SUM(F12:F14)</f>
        <v>68</v>
      </c>
      <c r="G20" s="112">
        <f>SUM(E20:F20)</f>
        <v>138</v>
      </c>
    </row>
    <row r="21" spans="1:10" ht="18.600000000000001" thickBot="1">
      <c r="A21" s="113" t="s">
        <v>4866</v>
      </c>
      <c r="B21" s="167" t="s">
        <v>4824</v>
      </c>
      <c r="C21" s="167" t="s">
        <v>4824</v>
      </c>
      <c r="D21" s="167" t="s">
        <v>4824</v>
      </c>
      <c r="E21" s="113">
        <f>SUM(E3:E14)</f>
        <v>221</v>
      </c>
      <c r="F21" s="113">
        <f t="shared" ref="F21:G21" si="4">SUM(F3:F14)</f>
        <v>353</v>
      </c>
      <c r="G21" s="113">
        <f t="shared" si="4"/>
        <v>574</v>
      </c>
      <c r="J21" t="s">
        <v>4867</v>
      </c>
    </row>
    <row r="22" spans="1:10" ht="18.600000000000001" thickBot="1">
      <c r="J22" t="s">
        <v>4868</v>
      </c>
    </row>
    <row r="23" spans="1:10">
      <c r="A23" s="250" t="s">
        <v>4869</v>
      </c>
      <c r="B23" s="251" t="s">
        <v>4832</v>
      </c>
      <c r="C23" s="170" t="s">
        <v>2043</v>
      </c>
      <c r="D23" s="504" t="s">
        <v>4833</v>
      </c>
      <c r="E23" s="505"/>
      <c r="J23" t="s">
        <v>4870</v>
      </c>
    </row>
    <row r="24" spans="1:10">
      <c r="A24" s="172" t="s">
        <v>4871</v>
      </c>
      <c r="B24" s="249">
        <v>24000</v>
      </c>
      <c r="C24" s="286">
        <f>B32+B33+B34</f>
        <v>24359.600000000002</v>
      </c>
      <c r="D24" s="496"/>
      <c r="E24" s="497"/>
      <c r="J24" s="285">
        <f>96000+25000</f>
        <v>121000</v>
      </c>
    </row>
    <row r="25" spans="1:10">
      <c r="A25" s="172" t="s">
        <v>4872</v>
      </c>
      <c r="B25" s="249">
        <v>24000</v>
      </c>
      <c r="C25" s="287">
        <f>SUM(B35:B37)</f>
        <v>24566.799999999996</v>
      </c>
      <c r="D25" s="496"/>
      <c r="E25" s="497"/>
    </row>
    <row r="26" spans="1:10">
      <c r="A26" s="172" t="s">
        <v>4873</v>
      </c>
      <c r="B26" s="249">
        <v>24000</v>
      </c>
      <c r="C26" s="287">
        <f>SUM(B38:B40)</f>
        <v>32782.549999999996</v>
      </c>
      <c r="D26" s="496"/>
      <c r="E26" s="497"/>
    </row>
    <row r="27" spans="1:10" ht="18.600000000000001" thickBot="1">
      <c r="A27" s="248" t="s">
        <v>4874</v>
      </c>
      <c r="B27" s="252">
        <v>24000</v>
      </c>
      <c r="C27" s="288">
        <f>B41+B42+B43</f>
        <v>33051.85</v>
      </c>
      <c r="D27" s="508"/>
      <c r="E27" s="509"/>
    </row>
    <row r="28" spans="1:10" ht="18.600000000000001" thickBot="1">
      <c r="A28" s="73"/>
    </row>
    <row r="29" spans="1:10" ht="18.600000000000001" thickBot="1">
      <c r="A29" s="264" t="s">
        <v>4841</v>
      </c>
      <c r="B29" s="265"/>
      <c r="C29" s="265"/>
      <c r="D29" s="510"/>
      <c r="E29" s="511"/>
    </row>
    <row r="30" spans="1:10" ht="18.600000000000001" thickBot="1">
      <c r="A30" s="261"/>
      <c r="B30" s="262" t="s">
        <v>4842</v>
      </c>
      <c r="C30" s="263" t="s">
        <v>4843</v>
      </c>
      <c r="D30" s="512" t="s">
        <v>4833</v>
      </c>
      <c r="E30" s="513"/>
    </row>
    <row r="31" spans="1:10" ht="18.600000000000001" thickBot="1">
      <c r="A31" s="301" t="s">
        <v>4875</v>
      </c>
      <c r="B31" s="302"/>
      <c r="C31" s="303">
        <v>96000</v>
      </c>
      <c r="D31" s="514"/>
      <c r="E31" s="515"/>
    </row>
    <row r="32" spans="1:10">
      <c r="A32" s="330" t="s">
        <v>3328</v>
      </c>
      <c r="B32" s="331">
        <v>8133.8600000000015</v>
      </c>
      <c r="C32" s="332">
        <f>C31-B32</f>
        <v>87866.14</v>
      </c>
      <c r="D32" s="516"/>
      <c r="E32" s="517"/>
    </row>
    <row r="33" spans="1:5">
      <c r="A33" s="100" t="s">
        <v>3379</v>
      </c>
      <c r="B33" s="275">
        <v>8063.8300000000008</v>
      </c>
      <c r="C33" s="121">
        <f t="shared" ref="C33:C43" si="5">C32-B33</f>
        <v>79802.31</v>
      </c>
      <c r="D33" s="506"/>
      <c r="E33" s="507"/>
    </row>
    <row r="34" spans="1:5" ht="18.600000000000001" thickBot="1">
      <c r="A34" s="333" t="s">
        <v>3475</v>
      </c>
      <c r="B34" s="334">
        <v>8161.91</v>
      </c>
      <c r="C34" s="335">
        <f t="shared" si="5"/>
        <v>71640.399999999994</v>
      </c>
      <c r="D34" s="518"/>
      <c r="E34" s="519"/>
    </row>
    <row r="35" spans="1:5">
      <c r="A35" s="330" t="s">
        <v>3599</v>
      </c>
      <c r="B35" s="336">
        <v>8011.69</v>
      </c>
      <c r="C35" s="332">
        <f t="shared" si="5"/>
        <v>63628.709999999992</v>
      </c>
      <c r="D35" s="516"/>
      <c r="E35" s="517"/>
    </row>
    <row r="36" spans="1:5">
      <c r="A36" s="100" t="s">
        <v>3637</v>
      </c>
      <c r="B36" s="117">
        <v>8456.73</v>
      </c>
      <c r="C36" s="121">
        <f t="shared" si="5"/>
        <v>55171.979999999996</v>
      </c>
      <c r="D36" s="506"/>
      <c r="E36" s="507"/>
    </row>
    <row r="37" spans="1:5" ht="18.600000000000001" thickBot="1">
      <c r="A37" s="333" t="s">
        <v>3751</v>
      </c>
      <c r="B37" s="337">
        <v>8098.3799999999983</v>
      </c>
      <c r="C37" s="335">
        <f t="shared" si="5"/>
        <v>47073.599999999999</v>
      </c>
      <c r="D37" s="518"/>
      <c r="E37" s="519"/>
    </row>
    <row r="38" spans="1:5">
      <c r="A38" s="330" t="s">
        <v>3813</v>
      </c>
      <c r="B38" s="338">
        <v>8043.7799999999988</v>
      </c>
      <c r="C38" s="332">
        <f t="shared" si="5"/>
        <v>39029.82</v>
      </c>
      <c r="D38" s="516"/>
      <c r="E38" s="517"/>
    </row>
    <row r="39" spans="1:5">
      <c r="A39" s="100" t="s">
        <v>3866</v>
      </c>
      <c r="B39" s="117">
        <v>16154.460000000001</v>
      </c>
      <c r="C39" s="121">
        <f t="shared" si="5"/>
        <v>22875.360000000001</v>
      </c>
      <c r="D39" s="506" t="s">
        <v>4876</v>
      </c>
      <c r="E39" s="507"/>
    </row>
    <row r="40" spans="1:5" ht="18.600000000000001" thickBot="1">
      <c r="A40" s="333" t="s">
        <v>4019</v>
      </c>
      <c r="B40" s="337">
        <v>8584.3099999999977</v>
      </c>
      <c r="C40" s="335">
        <f t="shared" si="5"/>
        <v>14291.050000000003</v>
      </c>
      <c r="D40" s="518"/>
      <c r="E40" s="519"/>
    </row>
    <row r="41" spans="1:5">
      <c r="A41" s="330" t="s">
        <v>4150</v>
      </c>
      <c r="B41" s="338">
        <v>8083.3699999999972</v>
      </c>
      <c r="C41" s="332">
        <f t="shared" si="5"/>
        <v>6207.6800000000057</v>
      </c>
      <c r="D41" s="516"/>
      <c r="E41" s="517"/>
    </row>
    <row r="42" spans="1:5">
      <c r="A42" s="100" t="s">
        <v>4188</v>
      </c>
      <c r="B42" s="117">
        <v>8103.010000000002</v>
      </c>
      <c r="C42" s="121">
        <f t="shared" si="5"/>
        <v>-1895.3299999999963</v>
      </c>
      <c r="D42" s="506"/>
      <c r="E42" s="507"/>
    </row>
    <row r="43" spans="1:5" ht="18.600000000000001" thickBot="1">
      <c r="A43" s="333" t="s">
        <v>4295</v>
      </c>
      <c r="B43" s="337">
        <f>(8038.97+8826.5)</f>
        <v>16865.47</v>
      </c>
      <c r="C43" s="335">
        <f t="shared" si="5"/>
        <v>-18760.799999999996</v>
      </c>
      <c r="D43" s="518"/>
      <c r="E43" s="519"/>
    </row>
    <row r="44" spans="1:5" ht="18.600000000000001" thickBot="1">
      <c r="A44" s="114" t="s">
        <v>4877</v>
      </c>
      <c r="B44" s="118">
        <f>SUM(B32:B43)</f>
        <v>114760.79999999999</v>
      </c>
      <c r="C44" s="122">
        <f>C31-B44</f>
        <v>-18760.799999999988</v>
      </c>
      <c r="D44" s="522"/>
      <c r="E44" s="523"/>
    </row>
    <row r="45" spans="1:5" ht="18.600000000000001" thickBot="1"/>
    <row r="46" spans="1:5" ht="18.600000000000001" thickBot="1">
      <c r="A46" s="264" t="s">
        <v>4849</v>
      </c>
      <c r="B46" s="265"/>
      <c r="C46" s="265"/>
      <c r="D46" s="510"/>
      <c r="E46" s="511"/>
    </row>
    <row r="47" spans="1:5" ht="18.600000000000001" thickBot="1">
      <c r="A47" s="103"/>
      <c r="B47" s="104" t="s">
        <v>4842</v>
      </c>
      <c r="C47" s="119" t="s">
        <v>4843</v>
      </c>
      <c r="D47" s="512" t="s">
        <v>4833</v>
      </c>
      <c r="E47" s="513"/>
    </row>
    <row r="48" spans="1:5" ht="18.600000000000001" thickBot="1">
      <c r="A48" s="301" t="s">
        <v>4875</v>
      </c>
      <c r="B48" s="302"/>
      <c r="C48" s="303">
        <v>25000</v>
      </c>
      <c r="D48" s="524"/>
      <c r="E48" s="525"/>
    </row>
    <row r="49" spans="1:5">
      <c r="A49" s="294" t="s">
        <v>4878</v>
      </c>
      <c r="B49" s="304">
        <v>2951.21</v>
      </c>
      <c r="C49" s="295">
        <f>C48-B49</f>
        <v>22048.79</v>
      </c>
      <c r="D49" s="526"/>
      <c r="E49" s="527"/>
    </row>
    <row r="50" spans="1:5">
      <c r="A50" s="100" t="s">
        <v>4879</v>
      </c>
      <c r="B50" s="116">
        <v>1556.24</v>
      </c>
      <c r="C50" s="121">
        <f>C49-B50</f>
        <v>20492.55</v>
      </c>
      <c r="D50" s="528"/>
      <c r="E50" s="529"/>
    </row>
    <row r="51" spans="1:5">
      <c r="A51" s="100" t="s">
        <v>4880</v>
      </c>
      <c r="B51" s="68">
        <f>3417.7+1816.15+9606.09</f>
        <v>14839.94</v>
      </c>
      <c r="C51" s="121">
        <f>C50-B51</f>
        <v>5652.6099999999988</v>
      </c>
      <c r="D51" s="530"/>
      <c r="E51" s="531"/>
    </row>
    <row r="52" spans="1:5" ht="18.600000000000001" thickBot="1">
      <c r="A52" s="100" t="s">
        <v>4881</v>
      </c>
      <c r="B52" s="117">
        <f>194.4+1208.98</f>
        <v>1403.38</v>
      </c>
      <c r="C52" s="121">
        <f>C51-B52</f>
        <v>4249.2299999999987</v>
      </c>
      <c r="D52" s="520"/>
      <c r="E52" s="521"/>
    </row>
    <row r="53" spans="1:5" ht="18.600000000000001" thickBot="1">
      <c r="A53" s="114" t="s">
        <v>4877</v>
      </c>
      <c r="B53" s="118">
        <f>SUM(B49:B52)</f>
        <v>20750.77</v>
      </c>
      <c r="C53" s="122">
        <f>C48-B53</f>
        <v>4249.2299999999996</v>
      </c>
      <c r="D53" s="532"/>
      <c r="E53" s="533"/>
    </row>
    <row r="54" spans="1:5" ht="18.600000000000001" thickBot="1"/>
    <row r="55" spans="1:5" ht="18.600000000000001" thickBot="1">
      <c r="A55" s="264" t="s">
        <v>4855</v>
      </c>
      <c r="B55" s="265"/>
      <c r="C55" s="265"/>
      <c r="D55" s="510"/>
      <c r="E55" s="511"/>
    </row>
    <row r="56" spans="1:5" ht="18.600000000000001" thickBot="1">
      <c r="A56" s="103"/>
      <c r="B56" s="104" t="s">
        <v>4842</v>
      </c>
      <c r="C56" s="340"/>
      <c r="D56" s="512" t="s">
        <v>4833</v>
      </c>
      <c r="E56" s="513"/>
    </row>
    <row r="57" spans="1:5" ht="18.600000000000001" thickBot="1">
      <c r="A57" s="301" t="s">
        <v>4875</v>
      </c>
      <c r="B57" s="302"/>
      <c r="C57" s="341"/>
      <c r="D57" s="524"/>
      <c r="E57" s="525"/>
    </row>
    <row r="58" spans="1:5">
      <c r="A58" s="294" t="s">
        <v>4878</v>
      </c>
      <c r="B58" s="304"/>
      <c r="C58" s="342"/>
      <c r="D58" s="526"/>
      <c r="E58" s="527"/>
    </row>
    <row r="59" spans="1:5">
      <c r="A59" s="100" t="s">
        <v>4879</v>
      </c>
      <c r="B59" s="116">
        <v>1830.26</v>
      </c>
      <c r="C59" s="343"/>
      <c r="D59" s="528"/>
      <c r="E59" s="529"/>
    </row>
    <row r="60" spans="1:5">
      <c r="A60" s="100" t="s">
        <v>4880</v>
      </c>
      <c r="B60" s="68">
        <v>660.98</v>
      </c>
      <c r="C60" s="343"/>
      <c r="D60" s="530"/>
      <c r="E60" s="531"/>
    </row>
    <row r="61" spans="1:5" ht="18.600000000000001" thickBot="1">
      <c r="A61" s="100" t="s">
        <v>4881</v>
      </c>
      <c r="B61" s="117"/>
      <c r="C61" s="343"/>
      <c r="D61" s="520"/>
      <c r="E61" s="521"/>
    </row>
    <row r="62" spans="1:5" ht="18.600000000000001" thickBot="1">
      <c r="A62" s="114" t="s">
        <v>4877</v>
      </c>
      <c r="B62" s="118">
        <f>SUM(B58:B61)</f>
        <v>2491.2399999999998</v>
      </c>
      <c r="C62" s="344"/>
      <c r="D62" s="532"/>
      <c r="E62" s="533"/>
    </row>
  </sheetData>
  <mergeCells count="39">
    <mergeCell ref="D53:E53"/>
    <mergeCell ref="D47:E47"/>
    <mergeCell ref="D48:E48"/>
    <mergeCell ref="D49:E49"/>
    <mergeCell ref="D50:E50"/>
    <mergeCell ref="D51:E51"/>
    <mergeCell ref="D52:E52"/>
    <mergeCell ref="D46:E46"/>
    <mergeCell ref="D34:E34"/>
    <mergeCell ref="D35:E35"/>
    <mergeCell ref="D36:E36"/>
    <mergeCell ref="D37:E37"/>
    <mergeCell ref="D38:E38"/>
    <mergeCell ref="D39:E39"/>
    <mergeCell ref="D40:E40"/>
    <mergeCell ref="D41:E41"/>
    <mergeCell ref="D42:E42"/>
    <mergeCell ref="D43:E43"/>
    <mergeCell ref="D44:E44"/>
    <mergeCell ref="D33:E33"/>
    <mergeCell ref="B1:D1"/>
    <mergeCell ref="E1:G1"/>
    <mergeCell ref="D23:E23"/>
    <mergeCell ref="D24:E24"/>
    <mergeCell ref="D25:E25"/>
    <mergeCell ref="D26:E26"/>
    <mergeCell ref="D27:E27"/>
    <mergeCell ref="D29:E29"/>
    <mergeCell ref="D30:E30"/>
    <mergeCell ref="D31:E31"/>
    <mergeCell ref="D32:E32"/>
    <mergeCell ref="D60:E60"/>
    <mergeCell ref="D61:E61"/>
    <mergeCell ref="D62:E62"/>
    <mergeCell ref="D55:E55"/>
    <mergeCell ref="D56:E56"/>
    <mergeCell ref="D57:E57"/>
    <mergeCell ref="D58:E58"/>
    <mergeCell ref="D59:E59"/>
  </mergeCells>
  <phoneticPr fontId="5"/>
  <hyperlinks>
    <hyperlink ref="K7" r:id="rId1" xr:uid="{66FAF46C-A347-40BE-8CF9-DD1C2CC0FF09}"/>
    <hyperlink ref="K8" r:id="rId2" xr:uid="{E47024A8-230E-49F4-B4B2-591B7F4BB254}"/>
    <hyperlink ref="J8" r:id="rId3" xr:uid="{C0A42AC1-163B-4CC6-B5D2-0AC15593A5BE}"/>
    <hyperlink ref="J9" r:id="rId4" xr:uid="{41063372-A0DA-4F0F-BD21-84B7C1BE8296}"/>
    <hyperlink ref="K6" r:id="rId5" xr:uid="{F6657E7C-912F-47F2-AE25-6F5F74788CA1}"/>
    <hyperlink ref="K10" r:id="rId6" xr:uid="{170950A8-ABCE-41D3-B12E-46970CD0BEBD}"/>
    <hyperlink ref="J10" r:id="rId7" xr:uid="{E38C82C8-6BE5-40DD-8C65-F3506776F6F6}"/>
    <hyperlink ref="J7" r:id="rId8" xr:uid="{48EC3C58-37AB-4492-957D-199C5511FD19}"/>
    <hyperlink ref="J6" r:id="rId9" xr:uid="{B4203947-7442-40FF-9AA5-D5783C5077B8}"/>
    <hyperlink ref="J4" r:id="rId10" xr:uid="{9D2555E0-1D67-4A52-94A2-5A3EE678FF1D}"/>
    <hyperlink ref="J5" r:id="rId11" xr:uid="{9071A01C-49D1-44ED-94A4-0F49DD6E066A}"/>
  </hyperlinks>
  <pageMargins left="0.7" right="0.7" top="0.75" bottom="0.75" header="0.3" footer="0.3"/>
  <pageSetup paperSize="9" orientation="portrait" horizontalDpi="300" verticalDpi="300" r:id="rId1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0113B-B139-4112-B1BF-1F8306581473}">
  <dimension ref="B1:G25"/>
  <sheetViews>
    <sheetView workbookViewId="0"/>
  </sheetViews>
  <sheetFormatPr defaultRowHeight="18"/>
  <cols>
    <col min="2" max="2" width="9.8984375" customWidth="1"/>
    <col min="3" max="3" width="12.5" customWidth="1"/>
    <col min="4" max="4" width="24.19921875" customWidth="1"/>
    <col min="5" max="5" width="14.5" customWidth="1"/>
    <col min="6" max="6" width="19.59765625" customWidth="1"/>
    <col min="7" max="7" width="11.69921875" customWidth="1"/>
    <col min="8" max="8" width="22.59765625" customWidth="1"/>
    <col min="9" max="12" width="13" customWidth="1"/>
  </cols>
  <sheetData>
    <row r="1" spans="2:7">
      <c r="B1" t="s">
        <v>4882</v>
      </c>
    </row>
    <row r="2" spans="2:7" ht="18.600000000000001" thickBot="1"/>
    <row r="3" spans="2:7" ht="18.600000000000001" thickBot="1">
      <c r="B3" s="123" t="s">
        <v>4883</v>
      </c>
      <c r="C3" s="346"/>
      <c r="D3" s="346"/>
      <c r="E3" s="346"/>
      <c r="F3" s="346"/>
    </row>
    <row r="4" spans="2:7" ht="30.6" thickBot="1">
      <c r="B4" s="347" t="s">
        <v>4884</v>
      </c>
      <c r="C4" s="348" t="s">
        <v>4885</v>
      </c>
      <c r="D4" s="348" t="s">
        <v>4886</v>
      </c>
      <c r="E4" s="348" t="s">
        <v>4887</v>
      </c>
      <c r="F4" s="349" t="s">
        <v>4888</v>
      </c>
      <c r="G4" s="350" t="s">
        <v>4889</v>
      </c>
    </row>
    <row r="5" spans="2:7" ht="18.600000000000001">
      <c r="B5" s="375">
        <v>21380</v>
      </c>
      <c r="C5" s="379">
        <v>20000</v>
      </c>
      <c r="D5" s="376"/>
      <c r="E5" s="376"/>
      <c r="F5" s="377"/>
      <c r="G5" s="378"/>
    </row>
    <row r="6" spans="2:7" ht="18.600000000000001">
      <c r="B6" s="364" t="s">
        <v>5455</v>
      </c>
      <c r="C6" s="352">
        <v>20000</v>
      </c>
      <c r="D6" s="356"/>
      <c r="E6" s="352"/>
      <c r="F6" s="358"/>
      <c r="G6" s="359"/>
    </row>
    <row r="7" spans="2:7" ht="18.600000000000001">
      <c r="B7" s="364">
        <v>20671</v>
      </c>
      <c r="C7" s="352">
        <v>20000</v>
      </c>
      <c r="D7" s="356">
        <v>19994.46</v>
      </c>
      <c r="E7" s="352"/>
      <c r="F7" s="358"/>
      <c r="G7" s="359"/>
    </row>
    <row r="8" spans="2:7" ht="18.600000000000001">
      <c r="B8" s="371">
        <v>20368</v>
      </c>
      <c r="C8" s="367">
        <v>20000</v>
      </c>
      <c r="D8" s="372"/>
      <c r="E8" s="372"/>
      <c r="F8" s="373"/>
      <c r="G8" s="374"/>
    </row>
    <row r="9" spans="2:7" ht="18.600000000000001">
      <c r="B9" s="354">
        <v>20154</v>
      </c>
      <c r="C9" s="355">
        <v>20000</v>
      </c>
      <c r="D9" s="356">
        <v>9462.2099999999991</v>
      </c>
      <c r="E9" s="357">
        <f>20000-D9</f>
        <v>10537.79</v>
      </c>
      <c r="F9" s="358"/>
      <c r="G9" s="359"/>
    </row>
    <row r="10" spans="2:7" ht="18.600000000000001">
      <c r="B10" s="351">
        <v>19757</v>
      </c>
      <c r="C10" s="352">
        <v>19790.05</v>
      </c>
      <c r="D10" s="356">
        <v>9302.5400000000009</v>
      </c>
      <c r="E10" s="357">
        <f>20000-D10</f>
        <v>10697.46</v>
      </c>
      <c r="F10" s="358"/>
      <c r="G10" s="359"/>
    </row>
    <row r="11" spans="2:7" ht="18.600000000000001">
      <c r="B11" s="364" t="s">
        <v>4890</v>
      </c>
      <c r="C11" s="352" t="s">
        <v>4891</v>
      </c>
      <c r="D11" s="356">
        <v>22317.18</v>
      </c>
      <c r="E11" s="357">
        <f t="shared" ref="E11:E13" si="0">20000-D11</f>
        <v>-2317.1800000000003</v>
      </c>
      <c r="F11" s="358"/>
      <c r="G11" s="359"/>
    </row>
    <row r="12" spans="2:7" ht="18.600000000000001">
      <c r="B12" s="364" t="s">
        <v>4892</v>
      </c>
      <c r="C12" s="352" t="s">
        <v>4893</v>
      </c>
      <c r="D12" s="356">
        <v>18345.82</v>
      </c>
      <c r="E12" s="357">
        <f t="shared" si="0"/>
        <v>1654.1800000000003</v>
      </c>
      <c r="F12" s="358"/>
      <c r="G12" s="359"/>
    </row>
    <row r="13" spans="2:7" ht="18.600000000000001">
      <c r="B13" s="364" t="s">
        <v>4894</v>
      </c>
      <c r="C13" s="352" t="s">
        <v>4895</v>
      </c>
      <c r="D13" s="356">
        <v>18454.55</v>
      </c>
      <c r="E13" s="357">
        <f t="shared" si="0"/>
        <v>1545.4500000000007</v>
      </c>
      <c r="F13" s="358"/>
      <c r="G13" s="359"/>
    </row>
    <row r="14" spans="2:7" ht="18.600000000000001">
      <c r="B14" s="364" t="s">
        <v>4896</v>
      </c>
      <c r="C14" s="352">
        <v>12.9</v>
      </c>
      <c r="D14" s="356"/>
      <c r="E14" s="352">
        <v>12.9</v>
      </c>
      <c r="F14" s="358"/>
      <c r="G14" s="359"/>
    </row>
    <row r="15" spans="2:7" ht="18.600000000000001">
      <c r="B15" s="364" t="s">
        <v>4897</v>
      </c>
      <c r="C15" s="352">
        <v>13.29</v>
      </c>
      <c r="D15" s="356"/>
      <c r="E15" s="352">
        <v>13.29</v>
      </c>
      <c r="F15" s="358"/>
      <c r="G15" s="359"/>
    </row>
    <row r="16" spans="2:7" ht="19.2" thickBot="1">
      <c r="B16" s="365"/>
      <c r="C16" s="353"/>
      <c r="D16" s="360"/>
      <c r="E16" s="361"/>
      <c r="F16" s="362"/>
      <c r="G16" s="363"/>
    </row>
    <row r="17" spans="2:6">
      <c r="F17" s="269"/>
    </row>
    <row r="19" spans="2:6">
      <c r="B19" s="7" t="s">
        <v>4898</v>
      </c>
      <c r="C19" s="7"/>
      <c r="D19" s="8"/>
    </row>
    <row r="20" spans="2:6">
      <c r="B20" s="7" t="s">
        <v>4899</v>
      </c>
      <c r="C20" s="7"/>
      <c r="D20" s="8"/>
    </row>
    <row r="21" spans="2:6">
      <c r="B21" s="8"/>
      <c r="C21" s="8"/>
      <c r="D21" s="8"/>
    </row>
    <row r="22" spans="2:6">
      <c r="B22" s="8"/>
      <c r="C22" s="8"/>
      <c r="D22" s="8"/>
    </row>
    <row r="23" spans="2:6">
      <c r="B23" s="129" t="s">
        <v>4900</v>
      </c>
      <c r="D23" t="s">
        <v>4901</v>
      </c>
    </row>
    <row r="24" spans="2:6">
      <c r="B24" s="129" t="s">
        <v>4902</v>
      </c>
      <c r="D24" t="s">
        <v>4903</v>
      </c>
    </row>
    <row r="25" spans="2:6">
      <c r="B25" s="129" t="s">
        <v>4904</v>
      </c>
      <c r="D25" t="s">
        <v>4905</v>
      </c>
    </row>
  </sheetData>
  <phoneticPr fontId="5"/>
  <hyperlinks>
    <hyperlink ref="B25" r:id="rId1" xr:uid="{BDAFE290-00F4-47E6-83AF-70C9BC86E824}"/>
    <hyperlink ref="B24" r:id="rId2" xr:uid="{0E910EC1-1338-439A-BAFA-8F6E33E32668}"/>
    <hyperlink ref="B23" r:id="rId3" xr:uid="{19624662-4BED-4A13-A470-E436E9F7AEC7}"/>
    <hyperlink ref="B19" r:id="rId4" xr:uid="{30E6CB4A-5BEE-447E-BF3A-6099CFB75718}"/>
    <hyperlink ref="B20" r:id="rId5" xr:uid="{D2FA6E75-4C4D-45B0-9334-B4ED13917E6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Q28"/>
  <sheetViews>
    <sheetView workbookViewId="0">
      <pane ySplit="1" topLeftCell="A2" activePane="bottomLeft" state="frozen"/>
      <selection activeCell="G1" sqref="G1"/>
      <selection pane="bottomLeft" activeCell="A11" sqref="A11"/>
    </sheetView>
  </sheetViews>
  <sheetFormatPr defaultRowHeight="18"/>
  <cols>
    <col min="1" max="1" width="14.19921875" customWidth="1"/>
    <col min="2" max="2" width="15.3984375" style="3" customWidth="1"/>
    <col min="3" max="3" width="17.09765625" customWidth="1"/>
    <col min="4" max="4" width="19.69921875" customWidth="1"/>
    <col min="5" max="5" width="12.3984375" customWidth="1"/>
    <col min="6" max="6" width="25.09765625" customWidth="1"/>
    <col min="7" max="7" width="13.8984375" customWidth="1"/>
    <col min="8" max="8" width="10.69921875" customWidth="1"/>
    <col min="9" max="9" width="17.09765625" style="3" customWidth="1"/>
    <col min="10" max="10" width="13.59765625" customWidth="1"/>
    <col min="11" max="11" width="15.5" customWidth="1"/>
    <col min="12" max="12" width="19.296875" customWidth="1"/>
    <col min="13" max="13" width="23.3984375" style="2" customWidth="1"/>
    <col min="14" max="14" width="15.8984375" customWidth="1"/>
    <col min="15" max="15" width="13.09765625" customWidth="1"/>
    <col min="16" max="16" width="16.19921875" customWidth="1"/>
    <col min="17" max="17" width="14.69921875" customWidth="1"/>
  </cols>
  <sheetData>
    <row r="1" spans="1:17" s="471" customFormat="1">
      <c r="A1" s="74" t="s">
        <v>4906</v>
      </c>
      <c r="B1" s="469" t="s">
        <v>4907</v>
      </c>
      <c r="C1" s="470"/>
      <c r="D1" s="471" t="s">
        <v>4908</v>
      </c>
      <c r="E1" s="471" t="s">
        <v>5</v>
      </c>
      <c r="F1" s="471" t="s">
        <v>4909</v>
      </c>
      <c r="G1" s="471" t="s">
        <v>4910</v>
      </c>
      <c r="H1" s="471" t="s">
        <v>4</v>
      </c>
      <c r="I1" s="81" t="s">
        <v>4911</v>
      </c>
      <c r="J1" s="471" t="s">
        <v>652</v>
      </c>
      <c r="K1" s="471" t="s">
        <v>4912</v>
      </c>
      <c r="L1" s="81" t="s">
        <v>7778</v>
      </c>
      <c r="M1" s="471" t="s">
        <v>7780</v>
      </c>
      <c r="N1" s="471" t="s">
        <v>7783</v>
      </c>
      <c r="O1" s="471" t="s">
        <v>4913</v>
      </c>
      <c r="P1" s="471" t="s">
        <v>7409</v>
      </c>
      <c r="Q1" s="471" t="s">
        <v>7558</v>
      </c>
    </row>
    <row r="2" spans="1:17">
      <c r="A2" t="s">
        <v>7803</v>
      </c>
      <c r="B2" s="216" t="s">
        <v>4914</v>
      </c>
      <c r="C2" s="128" t="s">
        <v>4915</v>
      </c>
      <c r="D2" s="1">
        <v>2202</v>
      </c>
      <c r="E2" s="3" t="s">
        <v>4916</v>
      </c>
      <c r="F2" s="2" t="s">
        <v>4917</v>
      </c>
      <c r="G2" s="3" t="s">
        <v>160</v>
      </c>
      <c r="H2" s="3" t="s">
        <v>4918</v>
      </c>
      <c r="I2" s="3" t="s">
        <v>4919</v>
      </c>
      <c r="J2" s="3" t="s">
        <v>1906</v>
      </c>
      <c r="K2" s="3" t="s">
        <v>4920</v>
      </c>
      <c r="L2" t="s">
        <v>4921</v>
      </c>
      <c r="M2" t="s">
        <v>1999</v>
      </c>
      <c r="N2" s="1" t="s">
        <v>1083</v>
      </c>
      <c r="O2" s="212" t="s">
        <v>964</v>
      </c>
      <c r="P2" t="s">
        <v>7414</v>
      </c>
      <c r="Q2" t="s">
        <v>7559</v>
      </c>
    </row>
    <row r="3" spans="1:17">
      <c r="A3" t="s">
        <v>7804</v>
      </c>
      <c r="B3" s="216" t="s">
        <v>4922</v>
      </c>
      <c r="C3" s="8"/>
      <c r="E3" s="3" t="s">
        <v>4923</v>
      </c>
      <c r="G3" s="3" t="s">
        <v>4924</v>
      </c>
      <c r="H3" s="3" t="s">
        <v>4925</v>
      </c>
      <c r="I3" s="3" t="s">
        <v>4926</v>
      </c>
      <c r="J3" s="3" t="s">
        <v>96</v>
      </c>
      <c r="K3" s="3" t="s">
        <v>3872</v>
      </c>
      <c r="L3" t="s">
        <v>7775</v>
      </c>
      <c r="M3" t="s">
        <v>4944</v>
      </c>
      <c r="N3" s="1" t="s">
        <v>7662</v>
      </c>
      <c r="O3" s="213" t="s">
        <v>3574</v>
      </c>
      <c r="P3" t="s">
        <v>7416</v>
      </c>
    </row>
    <row r="4" spans="1:17" ht="18.600000000000001" customHeight="1">
      <c r="A4" t="s">
        <v>7805</v>
      </c>
      <c r="B4" s="216" t="s">
        <v>4928</v>
      </c>
      <c r="C4" s="8" t="s">
        <v>4929</v>
      </c>
      <c r="E4" s="3" t="s">
        <v>4930</v>
      </c>
      <c r="H4" t="s">
        <v>1906</v>
      </c>
      <c r="I4" s="3" t="s">
        <v>4931</v>
      </c>
      <c r="J4" s="3"/>
      <c r="K4" t="s">
        <v>4937</v>
      </c>
      <c r="L4" t="s">
        <v>7776</v>
      </c>
      <c r="M4" t="s">
        <v>2006</v>
      </c>
      <c r="N4" s="3" t="s">
        <v>7495</v>
      </c>
      <c r="O4" t="s">
        <v>4933</v>
      </c>
      <c r="P4" t="s">
        <v>7410</v>
      </c>
    </row>
    <row r="5" spans="1:17">
      <c r="A5" t="s">
        <v>7806</v>
      </c>
      <c r="B5" s="216" t="s">
        <v>4934</v>
      </c>
      <c r="C5" s="8"/>
      <c r="E5" s="3" t="s">
        <v>4935</v>
      </c>
      <c r="H5" t="s">
        <v>96</v>
      </c>
      <c r="I5" s="3" t="s">
        <v>7660</v>
      </c>
      <c r="J5" s="3"/>
      <c r="K5" t="s">
        <v>4932</v>
      </c>
      <c r="L5" t="s">
        <v>4927</v>
      </c>
      <c r="M5" t="s">
        <v>4952</v>
      </c>
      <c r="N5" s="3" t="s">
        <v>7676</v>
      </c>
      <c r="P5" t="s">
        <v>7411</v>
      </c>
    </row>
    <row r="6" spans="1:17">
      <c r="A6" t="s">
        <v>7807</v>
      </c>
      <c r="B6" s="216" t="s">
        <v>4939</v>
      </c>
      <c r="C6" s="8" t="s">
        <v>4940</v>
      </c>
      <c r="E6" s="3" t="s">
        <v>4941</v>
      </c>
      <c r="H6" t="s">
        <v>4942</v>
      </c>
      <c r="I6" s="3" t="s">
        <v>4936</v>
      </c>
      <c r="J6" s="3"/>
      <c r="K6" t="s">
        <v>526</v>
      </c>
      <c r="L6" t="s">
        <v>2108</v>
      </c>
      <c r="M6" t="s">
        <v>2021</v>
      </c>
      <c r="N6" s="3" t="s">
        <v>2006</v>
      </c>
      <c r="P6" t="s">
        <v>7412</v>
      </c>
    </row>
    <row r="7" spans="1:17">
      <c r="A7" t="s">
        <v>7808</v>
      </c>
      <c r="B7" s="216" t="s">
        <v>103</v>
      </c>
      <c r="C7" s="8" t="s">
        <v>4935</v>
      </c>
      <c r="E7" s="3" t="s">
        <v>112</v>
      </c>
      <c r="I7" s="3" t="s">
        <v>4943</v>
      </c>
      <c r="J7" s="3"/>
      <c r="K7" t="s">
        <v>496</v>
      </c>
      <c r="L7" t="s">
        <v>7661</v>
      </c>
      <c r="M7" s="2" t="s">
        <v>1479</v>
      </c>
      <c r="N7" t="s">
        <v>2021</v>
      </c>
      <c r="P7" t="s">
        <v>7413</v>
      </c>
    </row>
    <row r="8" spans="1:17">
      <c r="B8" s="216" t="s">
        <v>4949</v>
      </c>
      <c r="C8" s="8" t="s">
        <v>4950</v>
      </c>
      <c r="E8" s="3" t="s">
        <v>4951</v>
      </c>
      <c r="I8" s="3" t="s">
        <v>4947</v>
      </c>
      <c r="J8" s="3"/>
      <c r="K8" t="s">
        <v>5309</v>
      </c>
      <c r="L8" t="s">
        <v>1999</v>
      </c>
      <c r="M8" s="366" t="s">
        <v>2492</v>
      </c>
      <c r="N8" t="s">
        <v>3413</v>
      </c>
    </row>
    <row r="9" spans="1:17">
      <c r="B9" s="216" t="s">
        <v>4954</v>
      </c>
      <c r="C9" s="8" t="s">
        <v>4955</v>
      </c>
      <c r="E9" s="3" t="s">
        <v>4956</v>
      </c>
      <c r="I9" s="3" t="s">
        <v>292</v>
      </c>
      <c r="J9" s="3"/>
      <c r="K9" t="s">
        <v>7367</v>
      </c>
      <c r="L9" t="s">
        <v>4944</v>
      </c>
      <c r="M9" s="2" t="s">
        <v>4529</v>
      </c>
      <c r="N9" t="s">
        <v>4945</v>
      </c>
    </row>
    <row r="10" spans="1:17">
      <c r="B10" s="216" t="s">
        <v>4958</v>
      </c>
      <c r="C10" s="8" t="s">
        <v>4959</v>
      </c>
      <c r="E10" s="3" t="s">
        <v>7688</v>
      </c>
      <c r="I10" s="3" t="s">
        <v>4957</v>
      </c>
      <c r="J10" s="3"/>
      <c r="L10" t="s">
        <v>2006</v>
      </c>
      <c r="M10" s="2" t="s">
        <v>4938</v>
      </c>
      <c r="N10" t="s">
        <v>2351</v>
      </c>
    </row>
    <row r="11" spans="1:17">
      <c r="B11" s="216" t="s">
        <v>4964</v>
      </c>
      <c r="C11" s="8" t="s">
        <v>4965</v>
      </c>
      <c r="E11" s="3" t="s">
        <v>7697</v>
      </c>
      <c r="I11" s="3" t="s">
        <v>4961</v>
      </c>
      <c r="J11" s="3"/>
      <c r="L11" t="s">
        <v>4952</v>
      </c>
      <c r="M11" s="2" t="s">
        <v>4946</v>
      </c>
      <c r="N11" t="s">
        <v>4944</v>
      </c>
    </row>
    <row r="12" spans="1:17">
      <c r="E12" s="3" t="s">
        <v>7689</v>
      </c>
      <c r="L12" t="s">
        <v>2021</v>
      </c>
      <c r="M12" s="2" t="s">
        <v>4948</v>
      </c>
      <c r="N12" t="s">
        <v>2108</v>
      </c>
    </row>
    <row r="13" spans="1:17">
      <c r="E13" s="3" t="s">
        <v>4960</v>
      </c>
      <c r="L13" t="s">
        <v>4962</v>
      </c>
      <c r="M13" s="2" t="s">
        <v>4953</v>
      </c>
      <c r="N13" t="s">
        <v>4963</v>
      </c>
    </row>
    <row r="14" spans="1:17">
      <c r="E14" s="3" t="s">
        <v>4966</v>
      </c>
      <c r="L14" t="s">
        <v>4967</v>
      </c>
      <c r="M14" t="s">
        <v>4166</v>
      </c>
      <c r="N14" t="s">
        <v>4968</v>
      </c>
    </row>
    <row r="15" spans="1:17">
      <c r="E15" s="3" t="s">
        <v>4969</v>
      </c>
      <c r="L15" t="s">
        <v>4970</v>
      </c>
      <c r="M15" s="2" t="s">
        <v>3092</v>
      </c>
      <c r="N15" t="s">
        <v>4952</v>
      </c>
    </row>
    <row r="16" spans="1:17">
      <c r="E16" s="3" t="s">
        <v>4971</v>
      </c>
      <c r="L16" t="s">
        <v>4972</v>
      </c>
      <c r="N16" t="s">
        <v>2043</v>
      </c>
    </row>
    <row r="17" spans="5:14">
      <c r="E17" s="3" t="s">
        <v>4973</v>
      </c>
      <c r="L17" t="s">
        <v>4974</v>
      </c>
      <c r="N17" t="s">
        <v>5776</v>
      </c>
    </row>
    <row r="18" spans="5:14">
      <c r="E18" s="3" t="s">
        <v>4975</v>
      </c>
      <c r="L18" t="s">
        <v>4976</v>
      </c>
      <c r="N18" t="s">
        <v>4026</v>
      </c>
    </row>
    <row r="19" spans="5:14">
      <c r="E19" s="3" t="s">
        <v>605</v>
      </c>
      <c r="L19" t="s">
        <v>4977</v>
      </c>
      <c r="N19" t="s">
        <v>7341</v>
      </c>
    </row>
    <row r="20" spans="5:14">
      <c r="E20" s="3" t="s">
        <v>4978</v>
      </c>
      <c r="L20" t="s">
        <v>1479</v>
      </c>
      <c r="N20" t="s">
        <v>7551</v>
      </c>
    </row>
    <row r="21" spans="5:14">
      <c r="E21" s="3" t="s">
        <v>4979</v>
      </c>
      <c r="L21" t="s">
        <v>4980</v>
      </c>
    </row>
    <row r="22" spans="5:14">
      <c r="E22" s="3" t="s">
        <v>1421</v>
      </c>
      <c r="L22" t="s">
        <v>3737</v>
      </c>
    </row>
    <row r="23" spans="5:14">
      <c r="E23" s="3" t="s">
        <v>4981</v>
      </c>
      <c r="L23" t="s">
        <v>143</v>
      </c>
    </row>
    <row r="24" spans="5:14">
      <c r="E24" s="3" t="s">
        <v>4982</v>
      </c>
      <c r="L24" t="s">
        <v>7673</v>
      </c>
    </row>
    <row r="25" spans="5:14">
      <c r="E25" s="3" t="s">
        <v>4983</v>
      </c>
    </row>
    <row r="26" spans="5:14">
      <c r="E26" s="3" t="s">
        <v>4984</v>
      </c>
    </row>
    <row r="27" spans="5:14">
      <c r="E27" s="3" t="s">
        <v>4985</v>
      </c>
    </row>
    <row r="28" spans="5:14">
      <c r="E28" s="3" t="s">
        <v>426</v>
      </c>
    </row>
  </sheetData>
  <phoneticPr fontId="5"/>
  <conditionalFormatting sqref="N1">
    <cfRule type="containsText" dxfId="14" priority="1" operator="containsText" text="Needs Mintlify relocalization">
      <formula>NOT(ISERROR(SEARCH("Needs Mintlify relocalization",N1)))</formula>
    </cfRule>
    <cfRule type="cellIs" dxfId="13" priority="2" operator="equal">
      <formula>"EN Draft"</formula>
    </cfRule>
    <cfRule type="cellIs" dxfId="12" priority="3" operator="equal">
      <formula>"Pending"</formula>
    </cfRule>
  </conditionalFormatting>
  <conditionalFormatting sqref="Q1">
    <cfRule type="containsText" dxfId="11" priority="4" operator="containsText" text="Needs Mintlify relocalization">
      <formula>NOT(ISERROR(SEARCH("Needs Mintlify relocalization",Q1)))</formula>
    </cfRule>
    <cfRule type="cellIs" dxfId="10" priority="5" operator="equal">
      <formula>"EN Draft"</formula>
    </cfRule>
    <cfRule type="cellIs" dxfId="9" priority="6" operator="equal">
      <formula>"Pending"</formula>
    </cfRule>
  </conditionalFormatting>
  <dataValidations count="1">
    <dataValidation type="list" allowBlank="1" sqref="A2:A7" xr:uid="{F267D580-036D-42BE-B93C-6249DE88668C}">
      <formula1>$D$1809</formula1>
    </dataValidation>
  </dataValidations>
  <pageMargins left="0.7" right="0.7" top="0.75" bottom="0.75" header="0.3" footer="0.3"/>
  <pageSetup paperSize="9" orientation="portrait" horizontalDpi="4294967293"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DE39C-C7F5-46FE-A028-8F4F7E025E3A}">
  <dimension ref="A1:K53"/>
  <sheetViews>
    <sheetView workbookViewId="0"/>
  </sheetViews>
  <sheetFormatPr defaultRowHeight="18"/>
  <cols>
    <col min="1" max="1" width="13.3984375" customWidth="1"/>
    <col min="2" max="2" width="19.69921875" customWidth="1"/>
    <col min="3" max="3" width="19.59765625" customWidth="1"/>
    <col min="4" max="4" width="12.3984375" customWidth="1"/>
    <col min="5" max="5" width="13.8984375" customWidth="1"/>
    <col min="6" max="6" width="13.69921875" customWidth="1"/>
    <col min="7" max="7" width="15.69921875" customWidth="1"/>
    <col min="8" max="8" width="7.3984375" customWidth="1"/>
    <col min="9" max="9" width="9.19921875" customWidth="1"/>
    <col min="10" max="12" width="29.8984375" customWidth="1"/>
    <col min="13" max="13" width="16.09765625" customWidth="1"/>
    <col min="14" max="14" width="18.69921875" customWidth="1"/>
  </cols>
  <sheetData>
    <row r="1" spans="1:11" ht="18.600000000000001" thickBot="1">
      <c r="A1" s="242" t="s">
        <v>4986</v>
      </c>
      <c r="B1" s="498" t="s">
        <v>4793</v>
      </c>
      <c r="C1" s="499"/>
      <c r="D1" s="500"/>
      <c r="E1" s="501" t="s">
        <v>4794</v>
      </c>
      <c r="F1" s="502"/>
      <c r="G1" s="503"/>
    </row>
    <row r="2" spans="1:11" ht="18.600000000000001" thickBot="1">
      <c r="A2" s="85"/>
      <c r="B2" s="236" t="s">
        <v>4795</v>
      </c>
      <c r="C2" s="97" t="s">
        <v>4796</v>
      </c>
      <c r="D2" s="187" t="s">
        <v>4797</v>
      </c>
      <c r="E2" s="197" t="s">
        <v>964</v>
      </c>
      <c r="F2" s="105" t="s">
        <v>3574</v>
      </c>
      <c r="G2" s="198" t="s">
        <v>4798</v>
      </c>
      <c r="I2" s="81"/>
    </row>
    <row r="3" spans="1:11">
      <c r="A3" s="239" t="s">
        <v>4987</v>
      </c>
      <c r="B3" s="87">
        <v>2024</v>
      </c>
      <c r="C3" s="253">
        <f>B3-D3</f>
        <v>785</v>
      </c>
      <c r="D3" s="254">
        <v>1239</v>
      </c>
      <c r="E3" s="199">
        <v>20</v>
      </c>
      <c r="F3" s="106">
        <v>24</v>
      </c>
      <c r="G3" s="202">
        <f>E3+F3</f>
        <v>44</v>
      </c>
      <c r="J3" t="s">
        <v>4800</v>
      </c>
    </row>
    <row r="4" spans="1:11">
      <c r="A4" s="237" t="s">
        <v>4988</v>
      </c>
      <c r="B4" s="90">
        <v>2045</v>
      </c>
      <c r="C4" s="130">
        <f>B4-D4</f>
        <v>792</v>
      </c>
      <c r="D4" s="255">
        <v>1253</v>
      </c>
      <c r="E4" s="201">
        <v>10</v>
      </c>
      <c r="F4" s="107">
        <v>40</v>
      </c>
      <c r="G4" s="202">
        <f>E4+F4</f>
        <v>50</v>
      </c>
      <c r="J4" s="129" t="s">
        <v>4801</v>
      </c>
      <c r="K4" s="129"/>
    </row>
    <row r="5" spans="1:11">
      <c r="A5" s="237" t="s">
        <v>4989</v>
      </c>
      <c r="B5" s="90">
        <v>2048</v>
      </c>
      <c r="C5" s="130">
        <f t="shared" ref="C5:C14" si="0">B5-D5</f>
        <v>794</v>
      </c>
      <c r="D5" s="256">
        <v>1254</v>
      </c>
      <c r="E5" s="201">
        <v>24</v>
      </c>
      <c r="F5" s="107">
        <v>34</v>
      </c>
      <c r="G5" s="202">
        <f>E5+F5</f>
        <v>58</v>
      </c>
      <c r="J5" s="129" t="s">
        <v>4803</v>
      </c>
    </row>
    <row r="6" spans="1:11">
      <c r="A6" s="237" t="s">
        <v>4990</v>
      </c>
      <c r="B6" s="90">
        <v>2030</v>
      </c>
      <c r="C6" s="130">
        <f t="shared" si="0"/>
        <v>773</v>
      </c>
      <c r="D6" s="256">
        <v>1257</v>
      </c>
      <c r="E6" s="203">
        <v>17</v>
      </c>
      <c r="F6" s="110">
        <v>32</v>
      </c>
      <c r="G6" s="202">
        <f t="shared" ref="G6:G14" si="1">E6+F6</f>
        <v>49</v>
      </c>
      <c r="J6" s="129" t="s">
        <v>4903</v>
      </c>
      <c r="K6" s="129" t="s">
        <v>4806</v>
      </c>
    </row>
    <row r="7" spans="1:11">
      <c r="A7" s="237" t="s">
        <v>4991</v>
      </c>
      <c r="B7" s="93">
        <v>2034</v>
      </c>
      <c r="C7" s="130">
        <f t="shared" si="0"/>
        <v>773</v>
      </c>
      <c r="D7" s="257">
        <v>1261</v>
      </c>
      <c r="E7" s="203">
        <v>13</v>
      </c>
      <c r="F7" s="110">
        <v>65</v>
      </c>
      <c r="G7" s="202">
        <f t="shared" si="1"/>
        <v>78</v>
      </c>
      <c r="J7" s="129" t="s">
        <v>4859</v>
      </c>
      <c r="K7" s="129" t="s">
        <v>4809</v>
      </c>
    </row>
    <row r="8" spans="1:11">
      <c r="A8" s="237" t="s">
        <v>4992</v>
      </c>
      <c r="B8" s="93">
        <v>2037</v>
      </c>
      <c r="C8" s="130">
        <f t="shared" si="0"/>
        <v>764</v>
      </c>
      <c r="D8" s="257">
        <v>1273</v>
      </c>
      <c r="E8" s="203">
        <v>25</v>
      </c>
      <c r="F8" s="110">
        <v>47</v>
      </c>
      <c r="G8" s="202">
        <f t="shared" si="1"/>
        <v>72</v>
      </c>
      <c r="J8" s="129" t="s">
        <v>4993</v>
      </c>
      <c r="K8" s="129" t="s">
        <v>4812</v>
      </c>
    </row>
    <row r="9" spans="1:11">
      <c r="A9" s="237" t="s">
        <v>4994</v>
      </c>
      <c r="B9" s="93">
        <v>2034</v>
      </c>
      <c r="C9" s="130">
        <f t="shared" si="0"/>
        <v>747</v>
      </c>
      <c r="D9" s="257">
        <v>1287</v>
      </c>
      <c r="E9" s="203">
        <v>11</v>
      </c>
      <c r="F9" s="110">
        <v>45</v>
      </c>
      <c r="G9" s="202">
        <f t="shared" si="1"/>
        <v>56</v>
      </c>
      <c r="J9" s="129" t="s">
        <v>4814</v>
      </c>
      <c r="K9" t="s">
        <v>4815</v>
      </c>
    </row>
    <row r="10" spans="1:11">
      <c r="A10" s="237" t="s">
        <v>4995</v>
      </c>
      <c r="B10" s="93">
        <v>2043</v>
      </c>
      <c r="C10" s="130">
        <f t="shared" si="0"/>
        <v>749</v>
      </c>
      <c r="D10" s="257">
        <v>1294</v>
      </c>
      <c r="E10" s="203">
        <v>20</v>
      </c>
      <c r="F10" s="110">
        <v>47</v>
      </c>
      <c r="G10" s="202">
        <f t="shared" si="1"/>
        <v>67</v>
      </c>
      <c r="J10" s="129" t="s">
        <v>4817</v>
      </c>
      <c r="K10" s="129" t="s">
        <v>4818</v>
      </c>
    </row>
    <row r="11" spans="1:11">
      <c r="A11" s="237" t="s">
        <v>4996</v>
      </c>
      <c r="B11" s="258">
        <v>2035</v>
      </c>
      <c r="C11" s="130">
        <f t="shared" si="0"/>
        <v>741</v>
      </c>
      <c r="D11" s="257">
        <v>1294</v>
      </c>
      <c r="E11" s="203">
        <v>25</v>
      </c>
      <c r="F11" s="110">
        <v>33</v>
      </c>
      <c r="G11" s="223">
        <f>E11+F11</f>
        <v>58</v>
      </c>
    </row>
    <row r="12" spans="1:11">
      <c r="A12" s="237" t="s">
        <v>4997</v>
      </c>
      <c r="B12" s="258">
        <v>2036</v>
      </c>
      <c r="C12" s="130">
        <f>B12-D12</f>
        <v>674</v>
      </c>
      <c r="D12" s="257">
        <v>1362</v>
      </c>
      <c r="E12" s="203">
        <v>8</v>
      </c>
      <c r="F12" s="110">
        <v>27</v>
      </c>
      <c r="G12" s="223">
        <f>E12+F12</f>
        <v>35</v>
      </c>
    </row>
    <row r="13" spans="1:11">
      <c r="A13" s="237" t="s">
        <v>4998</v>
      </c>
      <c r="B13" s="258">
        <v>2045</v>
      </c>
      <c r="C13" s="130">
        <f t="shared" si="0"/>
        <v>711</v>
      </c>
      <c r="D13" s="257">
        <v>1334</v>
      </c>
      <c r="E13" s="203">
        <v>24</v>
      </c>
      <c r="F13" s="110">
        <v>39</v>
      </c>
      <c r="G13" s="223">
        <f t="shared" si="1"/>
        <v>63</v>
      </c>
    </row>
    <row r="14" spans="1:11" s="4" customFormat="1" ht="18.600000000000001" thickBot="1">
      <c r="A14" s="238" t="s">
        <v>4999</v>
      </c>
      <c r="B14" s="91">
        <v>2058</v>
      </c>
      <c r="C14" s="259">
        <f t="shared" si="0"/>
        <v>719</v>
      </c>
      <c r="D14" s="284">
        <v>1339</v>
      </c>
      <c r="E14" s="204">
        <v>14</v>
      </c>
      <c r="F14" s="108">
        <v>39</v>
      </c>
      <c r="G14" s="289">
        <f t="shared" si="1"/>
        <v>53</v>
      </c>
      <c r="I14"/>
      <c r="J14"/>
      <c r="K14"/>
    </row>
    <row r="17" spans="1:10" ht="18.600000000000001" thickBot="1">
      <c r="A17" s="85" t="s">
        <v>5000</v>
      </c>
      <c r="B17" s="240"/>
      <c r="C17" s="85"/>
      <c r="D17" s="195"/>
      <c r="E17" s="111">
        <f>SUM(E3:E5)</f>
        <v>54</v>
      </c>
      <c r="F17" s="111">
        <f>SUM(F3:F5)</f>
        <v>98</v>
      </c>
      <c r="G17" s="112">
        <f>SUM(E17:F17)</f>
        <v>152</v>
      </c>
    </row>
    <row r="18" spans="1:10" ht="18.600000000000001" thickBot="1">
      <c r="A18" s="85" t="s">
        <v>5001</v>
      </c>
      <c r="B18" s="240"/>
      <c r="C18" s="85"/>
      <c r="D18" s="195"/>
      <c r="E18" s="111">
        <f>SUM(E6:E8)</f>
        <v>55</v>
      </c>
      <c r="F18" s="111">
        <f>SUM(F6:F8)</f>
        <v>144</v>
      </c>
      <c r="G18" s="112">
        <f>SUM(E18:F18)</f>
        <v>199</v>
      </c>
    </row>
    <row r="19" spans="1:10" ht="18.600000000000001" thickBot="1">
      <c r="A19" s="85" t="s">
        <v>5002</v>
      </c>
      <c r="B19" s="240"/>
      <c r="C19" s="85"/>
      <c r="D19" s="195"/>
      <c r="E19" s="111">
        <f>SUM(E9:E11)</f>
        <v>56</v>
      </c>
      <c r="F19" s="111">
        <f>SUM(F9:F11)</f>
        <v>125</v>
      </c>
      <c r="G19" s="112">
        <f>SUM(E19:F19)</f>
        <v>181</v>
      </c>
    </row>
    <row r="20" spans="1:10" ht="18.600000000000001" thickBot="1">
      <c r="A20" s="85" t="s">
        <v>5003</v>
      </c>
      <c r="B20" s="240"/>
      <c r="C20" s="85"/>
      <c r="D20" s="195"/>
      <c r="E20" s="111">
        <f>SUM(E12:E14)</f>
        <v>46</v>
      </c>
      <c r="F20" s="111">
        <f>SUM(F12:F14)</f>
        <v>105</v>
      </c>
      <c r="G20" s="112">
        <f>SUM(E20:F20)</f>
        <v>151</v>
      </c>
    </row>
    <row r="21" spans="1:10" ht="18.600000000000001" thickBot="1">
      <c r="A21" s="113" t="s">
        <v>5004</v>
      </c>
      <c r="B21" s="241"/>
      <c r="C21" s="167"/>
      <c r="D21" s="196"/>
      <c r="E21" s="113">
        <f>SUM(E3:E15)</f>
        <v>211</v>
      </c>
      <c r="F21" s="113">
        <f>SUM(F3:F15)</f>
        <v>472</v>
      </c>
      <c r="G21" s="113">
        <f>SUM(G3:G15)</f>
        <v>683</v>
      </c>
      <c r="J21" t="s">
        <v>4867</v>
      </c>
    </row>
    <row r="22" spans="1:10" ht="18.600000000000001" thickBot="1">
      <c r="J22" t="s">
        <v>4868</v>
      </c>
    </row>
    <row r="23" spans="1:10">
      <c r="A23" s="250" t="s">
        <v>5005</v>
      </c>
      <c r="B23" s="251" t="s">
        <v>4832</v>
      </c>
      <c r="C23" s="170" t="s">
        <v>2043</v>
      </c>
      <c r="D23" s="504" t="s">
        <v>4833</v>
      </c>
      <c r="E23" s="505"/>
      <c r="J23" t="s">
        <v>4870</v>
      </c>
    </row>
    <row r="24" spans="1:10">
      <c r="A24" s="172" t="s">
        <v>5006</v>
      </c>
      <c r="B24" s="249">
        <v>24000</v>
      </c>
      <c r="C24" s="286">
        <f>B32+B33+B34</f>
        <v>23943.780000000002</v>
      </c>
      <c r="D24" s="496"/>
      <c r="E24" s="497"/>
      <c r="J24" s="285">
        <f>96000+25000</f>
        <v>121000</v>
      </c>
    </row>
    <row r="25" spans="1:10">
      <c r="A25" s="172" t="s">
        <v>5007</v>
      </c>
      <c r="B25" s="249">
        <v>24000</v>
      </c>
      <c r="C25" s="287">
        <f>SUM(B35:B37)</f>
        <v>23971.56</v>
      </c>
      <c r="D25" s="496"/>
      <c r="E25" s="497"/>
    </row>
    <row r="26" spans="1:10">
      <c r="A26" s="172" t="s">
        <v>5008</v>
      </c>
      <c r="B26" s="249">
        <v>24000</v>
      </c>
      <c r="C26" s="287">
        <f>SUM(B38:B40)</f>
        <v>24016.179999999997</v>
      </c>
      <c r="D26" s="496"/>
      <c r="E26" s="497"/>
    </row>
    <row r="27" spans="1:10" ht="18.600000000000001" thickBot="1">
      <c r="A27" s="248" t="s">
        <v>5009</v>
      </c>
      <c r="B27" s="252">
        <v>24000</v>
      </c>
      <c r="C27" s="288">
        <f>B41+B42+B43</f>
        <v>23545.24</v>
      </c>
      <c r="D27" s="508"/>
      <c r="E27" s="509"/>
    </row>
    <row r="28" spans="1:10" ht="18.600000000000001" thickBot="1">
      <c r="A28" s="73"/>
    </row>
    <row r="29" spans="1:10" ht="18.600000000000001" thickBot="1">
      <c r="A29" s="264" t="s">
        <v>4841</v>
      </c>
      <c r="B29" s="265"/>
      <c r="C29" s="265"/>
      <c r="D29" s="510"/>
      <c r="E29" s="511"/>
    </row>
    <row r="30" spans="1:10" ht="18.600000000000001" thickBot="1">
      <c r="A30" s="261"/>
      <c r="B30" s="262" t="s">
        <v>4842</v>
      </c>
      <c r="C30" s="263" t="s">
        <v>4843</v>
      </c>
      <c r="D30" s="512" t="s">
        <v>4833</v>
      </c>
      <c r="E30" s="513"/>
    </row>
    <row r="31" spans="1:10">
      <c r="A31" s="101" t="s">
        <v>4986</v>
      </c>
      <c r="B31" s="102"/>
      <c r="C31" s="121">
        <v>96000</v>
      </c>
      <c r="D31" s="536"/>
      <c r="E31" s="537"/>
    </row>
    <row r="32" spans="1:10">
      <c r="A32" s="100" t="s">
        <v>5010</v>
      </c>
      <c r="B32" s="275">
        <v>7687.4100000000008</v>
      </c>
      <c r="C32" s="121">
        <f>C31-B32</f>
        <v>88312.59</v>
      </c>
      <c r="D32" s="538"/>
      <c r="E32" s="539"/>
    </row>
    <row r="33" spans="1:5">
      <c r="A33" s="100" t="s">
        <v>5011</v>
      </c>
      <c r="B33" s="275">
        <v>8129.93</v>
      </c>
      <c r="C33" s="121">
        <f t="shared" ref="C33:C43" si="2">C32-B33</f>
        <v>80182.66</v>
      </c>
      <c r="D33" s="538"/>
      <c r="E33" s="539"/>
    </row>
    <row r="34" spans="1:5">
      <c r="A34" s="100" t="s">
        <v>5012</v>
      </c>
      <c r="B34" s="275">
        <v>8126.4400000000023</v>
      </c>
      <c r="C34" s="121">
        <f t="shared" si="2"/>
        <v>72056.22</v>
      </c>
      <c r="D34" s="538"/>
      <c r="E34" s="539"/>
    </row>
    <row r="35" spans="1:5">
      <c r="A35" s="100" t="s">
        <v>5013</v>
      </c>
      <c r="B35" s="276">
        <v>8003.89</v>
      </c>
      <c r="C35" s="121">
        <f t="shared" si="2"/>
        <v>64052.33</v>
      </c>
      <c r="D35" s="538"/>
      <c r="E35" s="539"/>
    </row>
    <row r="36" spans="1:5">
      <c r="A36" s="100" t="s">
        <v>5014</v>
      </c>
      <c r="B36" s="117">
        <v>7998.9499999999989</v>
      </c>
      <c r="C36" s="121">
        <f t="shared" si="2"/>
        <v>56053.380000000005</v>
      </c>
      <c r="D36" s="538"/>
      <c r="E36" s="539"/>
    </row>
    <row r="37" spans="1:5">
      <c r="A37" s="100" t="s">
        <v>5015</v>
      </c>
      <c r="B37" s="117">
        <v>7968.7200000000012</v>
      </c>
      <c r="C37" s="121">
        <f t="shared" si="2"/>
        <v>48084.66</v>
      </c>
      <c r="D37" s="538"/>
      <c r="E37" s="539"/>
    </row>
    <row r="38" spans="1:5">
      <c r="A38" s="100" t="s">
        <v>5016</v>
      </c>
      <c r="B38" s="117">
        <v>8018.4199999999983</v>
      </c>
      <c r="C38" s="121">
        <f t="shared" si="2"/>
        <v>40066.240000000005</v>
      </c>
      <c r="D38" s="538"/>
      <c r="E38" s="539"/>
    </row>
    <row r="39" spans="1:5">
      <c r="A39" s="100" t="s">
        <v>5017</v>
      </c>
      <c r="B39" s="117">
        <v>7988.14</v>
      </c>
      <c r="C39" s="121">
        <f t="shared" si="2"/>
        <v>32078.100000000006</v>
      </c>
      <c r="D39" s="538"/>
      <c r="E39" s="539"/>
    </row>
    <row r="40" spans="1:5">
      <c r="A40" s="100" t="s">
        <v>5018</v>
      </c>
      <c r="B40" s="117">
        <v>8009.619999999999</v>
      </c>
      <c r="C40" s="121">
        <f t="shared" si="2"/>
        <v>24068.480000000007</v>
      </c>
      <c r="D40" s="538"/>
      <c r="E40" s="539"/>
    </row>
    <row r="41" spans="1:5">
      <c r="A41" s="100" t="s">
        <v>5019</v>
      </c>
      <c r="B41" s="117">
        <v>8044.53</v>
      </c>
      <c r="C41" s="121">
        <f t="shared" si="2"/>
        <v>16023.950000000008</v>
      </c>
      <c r="D41" s="538"/>
      <c r="E41" s="539"/>
    </row>
    <row r="42" spans="1:5">
      <c r="A42" s="100" t="s">
        <v>5020</v>
      </c>
      <c r="B42" s="117">
        <v>8085.08</v>
      </c>
      <c r="C42" s="121">
        <f t="shared" si="2"/>
        <v>7938.8700000000081</v>
      </c>
      <c r="D42" s="538"/>
      <c r="E42" s="539"/>
    </row>
    <row r="43" spans="1:5" ht="18.600000000000001" thickBot="1">
      <c r="A43" s="100" t="s">
        <v>5021</v>
      </c>
      <c r="B43" s="117">
        <v>7415.63</v>
      </c>
      <c r="C43" s="121">
        <f t="shared" si="2"/>
        <v>523.24000000000797</v>
      </c>
      <c r="D43" s="540"/>
      <c r="E43" s="541"/>
    </row>
    <row r="44" spans="1:5" ht="18.600000000000001" thickBot="1">
      <c r="A44" s="114" t="s">
        <v>5022</v>
      </c>
      <c r="B44" s="118">
        <f>SUM(B32:B43)</f>
        <v>95476.760000000009</v>
      </c>
      <c r="C44" s="122"/>
      <c r="D44" s="542"/>
      <c r="E44" s="543"/>
    </row>
    <row r="45" spans="1:5" ht="18.600000000000001" thickBot="1"/>
    <row r="46" spans="1:5" ht="18.600000000000001" thickBot="1">
      <c r="A46" s="264" t="s">
        <v>4849</v>
      </c>
      <c r="B46" s="265"/>
      <c r="C46" s="265"/>
      <c r="D46" s="510"/>
      <c r="E46" s="511"/>
    </row>
    <row r="47" spans="1:5" ht="18.600000000000001" thickBot="1">
      <c r="A47" s="103"/>
      <c r="B47" s="104" t="s">
        <v>4842</v>
      </c>
      <c r="C47" s="119" t="s">
        <v>4843</v>
      </c>
      <c r="D47" s="512" t="s">
        <v>4833</v>
      </c>
      <c r="E47" s="513"/>
    </row>
    <row r="48" spans="1:5">
      <c r="A48" s="101" t="s">
        <v>4986</v>
      </c>
      <c r="B48" s="102"/>
      <c r="C48" s="121">
        <v>14000</v>
      </c>
      <c r="D48" s="534"/>
      <c r="E48" s="535"/>
    </row>
    <row r="49" spans="1:5">
      <c r="A49" s="100" t="s">
        <v>5023</v>
      </c>
      <c r="B49" s="116">
        <v>3822.2100000000005</v>
      </c>
      <c r="C49" s="121">
        <f>C48-B49</f>
        <v>10177.789999999999</v>
      </c>
      <c r="D49" s="530"/>
      <c r="E49" s="531"/>
    </row>
    <row r="50" spans="1:5">
      <c r="A50" s="100" t="s">
        <v>5024</v>
      </c>
      <c r="B50" s="116">
        <v>3697.83</v>
      </c>
      <c r="C50" s="121">
        <f>C49-B50</f>
        <v>6479.9599999999991</v>
      </c>
      <c r="D50" s="528"/>
      <c r="E50" s="529"/>
    </row>
    <row r="51" spans="1:5">
      <c r="A51" s="100" t="s">
        <v>5025</v>
      </c>
      <c r="B51" s="68">
        <v>4507.29</v>
      </c>
      <c r="C51" s="121">
        <f>C50-B51</f>
        <v>1972.6699999999992</v>
      </c>
      <c r="D51" s="530"/>
      <c r="E51" s="531"/>
    </row>
    <row r="52" spans="1:5" ht="18.600000000000001" thickBot="1">
      <c r="A52" s="100" t="s">
        <v>5026</v>
      </c>
      <c r="B52" s="117">
        <f>2025.11+4831.76</f>
        <v>6856.87</v>
      </c>
      <c r="C52" s="121">
        <f>C51-B52</f>
        <v>-4884.2000000000007</v>
      </c>
      <c r="D52" s="520"/>
      <c r="E52" s="521"/>
    </row>
    <row r="53" spans="1:5" ht="18.600000000000001" thickBot="1">
      <c r="A53" s="114" t="s">
        <v>5022</v>
      </c>
      <c r="B53" s="118">
        <f>SUM(B49:B52)</f>
        <v>18884.2</v>
      </c>
      <c r="C53" s="122"/>
      <c r="D53" s="532"/>
      <c r="E53" s="533"/>
    </row>
  </sheetData>
  <mergeCells count="31">
    <mergeCell ref="D26:E26"/>
    <mergeCell ref="D27:E27"/>
    <mergeCell ref="B1:D1"/>
    <mergeCell ref="E1:G1"/>
    <mergeCell ref="D23:E23"/>
    <mergeCell ref="D24:E24"/>
    <mergeCell ref="D25:E25"/>
    <mergeCell ref="D40:E40"/>
    <mergeCell ref="D41:E41"/>
    <mergeCell ref="D42:E42"/>
    <mergeCell ref="D43:E43"/>
    <mergeCell ref="D44:E44"/>
    <mergeCell ref="D35:E35"/>
    <mergeCell ref="D36:E36"/>
    <mergeCell ref="D37:E37"/>
    <mergeCell ref="D38:E38"/>
    <mergeCell ref="D39:E39"/>
    <mergeCell ref="D29:E29"/>
    <mergeCell ref="D30:E30"/>
    <mergeCell ref="D31:E31"/>
    <mergeCell ref="D32:E32"/>
    <mergeCell ref="D34:E34"/>
    <mergeCell ref="D33:E33"/>
    <mergeCell ref="D51:E51"/>
    <mergeCell ref="D52:E52"/>
    <mergeCell ref="D53:E53"/>
    <mergeCell ref="D46:E46"/>
    <mergeCell ref="D47:E47"/>
    <mergeCell ref="D48:E48"/>
    <mergeCell ref="D49:E49"/>
    <mergeCell ref="D50:E50"/>
  </mergeCells>
  <phoneticPr fontId="5"/>
  <hyperlinks>
    <hyperlink ref="K7" r:id="rId1" xr:uid="{540E27D3-BE40-43EA-869E-71728D2FD2A8}"/>
    <hyperlink ref="K8" r:id="rId2" xr:uid="{14DB656F-0EEF-48C3-BFC6-8D4D85458C85}"/>
    <hyperlink ref="J8" r:id="rId3" xr:uid="{E21BEEED-FCAB-4E3E-9E4E-57CBB3AAA029}"/>
    <hyperlink ref="J9" r:id="rId4" xr:uid="{06240AF7-561B-47A7-AB80-24EE8CFE7515}"/>
    <hyperlink ref="K6" r:id="rId5" xr:uid="{A832E695-8B8A-451A-AA89-08991277D25A}"/>
    <hyperlink ref="K10" r:id="rId6" xr:uid="{F956A991-B944-4146-B0F5-7A6EAA3ACA3F}"/>
    <hyperlink ref="J10" r:id="rId7" xr:uid="{8510F71E-B21B-41AA-9D96-C931F234F567}"/>
    <hyperlink ref="J7" r:id="rId8" xr:uid="{F1625A3D-B80C-4046-B823-98D30EBF8F2C}"/>
    <hyperlink ref="J6" r:id="rId9" xr:uid="{EE8AF00C-7D42-4BCB-A656-9538220F4787}"/>
    <hyperlink ref="J4" r:id="rId10" xr:uid="{2B01E564-C945-4845-91AC-C7B67033E4EE}"/>
    <hyperlink ref="J5" r:id="rId11" xr:uid="{4C3D2F38-08F7-4C2D-AF9B-CC6585611DD1}"/>
  </hyperlinks>
  <pageMargins left="0.7" right="0.7" top="0.75" bottom="0.75" header="0.3" footer="0.3"/>
  <pageSetup paperSize="9" orientation="portrait" horizontalDpi="300" verticalDpi="300" r:id="rId1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B422-3A75-4B26-81A6-40693660806D}">
  <dimension ref="B1:F15"/>
  <sheetViews>
    <sheetView workbookViewId="0"/>
  </sheetViews>
  <sheetFormatPr defaultRowHeight="18"/>
  <cols>
    <col min="1" max="1" width="9.8984375" customWidth="1"/>
    <col min="2" max="2" width="27.09765625" customWidth="1"/>
    <col min="3" max="3" width="18.3984375" customWidth="1"/>
    <col min="4" max="4" width="18.8984375" customWidth="1"/>
    <col min="5" max="5" width="61.69921875" customWidth="1"/>
    <col min="6" max="6" width="14.59765625" customWidth="1"/>
    <col min="7" max="7" width="10.3984375" customWidth="1"/>
  </cols>
  <sheetData>
    <row r="1" spans="2:6" ht="19.2" thickTop="1" thickBot="1">
      <c r="B1" s="14" t="s">
        <v>5027</v>
      </c>
      <c r="C1" s="15"/>
    </row>
    <row r="2" spans="2:6" ht="19.2" thickTop="1" thickBot="1">
      <c r="B2" s="22" t="s">
        <v>4935</v>
      </c>
      <c r="C2" s="34"/>
      <c r="E2" s="243" t="s">
        <v>5028</v>
      </c>
    </row>
    <row r="3" spans="2:6" ht="18.600000000000001" thickBot="1">
      <c r="B3" s="35" t="s">
        <v>5029</v>
      </c>
      <c r="C3" s="36"/>
      <c r="E3" s="244" t="s">
        <v>5030</v>
      </c>
      <c r="F3" s="245" t="s">
        <v>5031</v>
      </c>
    </row>
    <row r="4" spans="2:6" ht="18.600000000000001" thickBot="1">
      <c r="B4" s="37"/>
      <c r="C4" s="38"/>
      <c r="E4" s="246" t="s">
        <v>5032</v>
      </c>
      <c r="F4" s="247" t="s">
        <v>5033</v>
      </c>
    </row>
    <row r="5" spans="2:6">
      <c r="B5" s="35" t="s">
        <v>5034</v>
      </c>
      <c r="C5" s="27"/>
    </row>
    <row r="6" spans="2:6">
      <c r="B6" s="26" t="s">
        <v>5035</v>
      </c>
      <c r="C6" s="27"/>
    </row>
    <row r="7" spans="2:6">
      <c r="B7" s="26" t="s">
        <v>5036</v>
      </c>
      <c r="C7" s="27"/>
    </row>
    <row r="8" spans="2:6">
      <c r="B8" s="26" t="s">
        <v>5037</v>
      </c>
      <c r="C8" s="27"/>
    </row>
    <row r="9" spans="2:6">
      <c r="B9" s="26" t="s">
        <v>5038</v>
      </c>
      <c r="C9" s="27"/>
    </row>
    <row r="10" spans="2:6" ht="18.600000000000001" thickBot="1">
      <c r="B10" s="43" t="s">
        <v>5039</v>
      </c>
      <c r="C10" s="44">
        <f>SUM(C6:C9)</f>
        <v>0</v>
      </c>
    </row>
    <row r="11" spans="2:6" ht="19.2" thickTop="1" thickBot="1">
      <c r="B11" s="30" t="s">
        <v>5040</v>
      </c>
      <c r="C11" s="31">
        <f>SUM(C3:C9)</f>
        <v>0</v>
      </c>
    </row>
    <row r="12" spans="2:6" ht="19.2" thickTop="1" thickBot="1"/>
    <row r="13" spans="2:6" ht="19.2" thickTop="1" thickBot="1">
      <c r="B13" s="47" t="s">
        <v>5041</v>
      </c>
      <c r="C13" s="48" t="e">
        <f>#REF!+C11</f>
        <v>#REF!</v>
      </c>
    </row>
    <row r="14" spans="2:6" ht="19.2" thickTop="1" thickBot="1"/>
    <row r="15" spans="2:6" ht="18.600000000000001" thickBot="1">
      <c r="B15" s="124" t="s">
        <v>5042</v>
      </c>
      <c r="C15" s="125">
        <v>100000</v>
      </c>
    </row>
  </sheetData>
  <phoneticPr fontId="5"/>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A91E-B602-40A1-A152-26DB75598640}">
  <dimension ref="A1:L42"/>
  <sheetViews>
    <sheetView workbookViewId="0"/>
  </sheetViews>
  <sheetFormatPr defaultRowHeight="18"/>
  <cols>
    <col min="1" max="1" width="13.3984375" customWidth="1"/>
    <col min="2" max="2" width="19.69921875" customWidth="1"/>
    <col min="3" max="3" width="19.59765625" customWidth="1"/>
    <col min="4" max="4" width="12.3984375" customWidth="1"/>
    <col min="5" max="5" width="15.8984375" customWidth="1"/>
    <col min="6" max="6" width="12.09765625" customWidth="1"/>
    <col min="7" max="7" width="15.69921875" customWidth="1"/>
    <col min="8" max="8" width="7.3984375" customWidth="1"/>
    <col min="9" max="9" width="9.19921875" customWidth="1"/>
    <col min="10" max="12" width="29.8984375" customWidth="1"/>
    <col min="13" max="13" width="16.09765625" customWidth="1"/>
    <col min="14" max="14" width="18.69921875" customWidth="1"/>
  </cols>
  <sheetData>
    <row r="1" spans="1:12" ht="18.600000000000001" thickBot="1">
      <c r="A1" s="95" t="s">
        <v>5043</v>
      </c>
      <c r="B1" s="499" t="s">
        <v>5044</v>
      </c>
      <c r="C1" s="499"/>
      <c r="D1" s="500"/>
      <c r="E1" s="501" t="s">
        <v>4794</v>
      </c>
      <c r="F1" s="502"/>
      <c r="G1" s="503"/>
    </row>
    <row r="2" spans="1:12" ht="18.600000000000001" thickBot="1">
      <c r="A2" s="96"/>
      <c r="B2" s="97" t="s">
        <v>4795</v>
      </c>
      <c r="C2" s="97" t="s">
        <v>4796</v>
      </c>
      <c r="D2" s="187" t="s">
        <v>4797</v>
      </c>
      <c r="E2" s="197" t="s">
        <v>964</v>
      </c>
      <c r="F2" s="105" t="s">
        <v>3574</v>
      </c>
      <c r="G2" s="198" t="s">
        <v>4798</v>
      </c>
      <c r="I2" s="81"/>
    </row>
    <row r="3" spans="1:12">
      <c r="A3" s="87" t="s">
        <v>5045</v>
      </c>
      <c r="B3" s="88">
        <v>2599</v>
      </c>
      <c r="C3" s="89">
        <v>1395</v>
      </c>
      <c r="D3" s="188">
        <v>1204</v>
      </c>
      <c r="E3" s="199">
        <v>113</v>
      </c>
      <c r="F3" s="106">
        <f>G3-E3</f>
        <v>203</v>
      </c>
      <c r="G3" s="200">
        <v>316</v>
      </c>
      <c r="K3" t="s">
        <v>4800</v>
      </c>
    </row>
    <row r="4" spans="1:12">
      <c r="A4" s="90" t="s">
        <v>5046</v>
      </c>
      <c r="B4" s="8">
        <v>2618</v>
      </c>
      <c r="C4" s="8">
        <f t="shared" ref="C4:C9" si="0">B4-D4</f>
        <v>1463</v>
      </c>
      <c r="D4" s="189">
        <v>1155</v>
      </c>
      <c r="E4" s="201">
        <v>21</v>
      </c>
      <c r="F4" s="107">
        <v>12</v>
      </c>
      <c r="G4" s="202">
        <v>33</v>
      </c>
    </row>
    <row r="5" spans="1:12">
      <c r="A5" s="90" t="s">
        <v>5047</v>
      </c>
      <c r="B5" s="8">
        <v>2622</v>
      </c>
      <c r="C5" s="130">
        <f t="shared" si="0"/>
        <v>1466</v>
      </c>
      <c r="D5" s="190">
        <v>1156</v>
      </c>
      <c r="E5" s="201">
        <v>44</v>
      </c>
      <c r="F5" s="107">
        <v>99</v>
      </c>
      <c r="G5" s="202">
        <v>143</v>
      </c>
      <c r="J5" s="74" t="s">
        <v>5048</v>
      </c>
    </row>
    <row r="6" spans="1:12">
      <c r="A6" s="90" t="s">
        <v>5049</v>
      </c>
      <c r="B6" s="8">
        <v>2622</v>
      </c>
      <c r="C6" s="130">
        <f t="shared" si="0"/>
        <v>1466</v>
      </c>
      <c r="D6" s="190">
        <v>1156</v>
      </c>
      <c r="E6" s="203">
        <v>25</v>
      </c>
      <c r="F6" s="110">
        <v>66</v>
      </c>
      <c r="G6" s="202">
        <f t="shared" ref="G6:G12" si="1">E6+F6</f>
        <v>91</v>
      </c>
      <c r="J6" s="75" t="s">
        <v>5050</v>
      </c>
      <c r="K6" s="75" t="s">
        <v>5051</v>
      </c>
    </row>
    <row r="7" spans="1:12">
      <c r="A7" s="90" t="s">
        <v>5052</v>
      </c>
      <c r="B7" s="84">
        <v>2634</v>
      </c>
      <c r="C7" s="130">
        <f t="shared" si="0"/>
        <v>1337</v>
      </c>
      <c r="D7" s="191">
        <v>1297</v>
      </c>
      <c r="E7" s="203">
        <v>1</v>
      </c>
      <c r="F7" s="110">
        <v>95</v>
      </c>
      <c r="G7" s="202">
        <f t="shared" si="1"/>
        <v>96</v>
      </c>
      <c r="J7" s="76" t="s">
        <v>5053</v>
      </c>
      <c r="K7" s="75">
        <v>2554</v>
      </c>
    </row>
    <row r="8" spans="1:12">
      <c r="A8" s="90" t="s">
        <v>5054</v>
      </c>
      <c r="B8" s="84">
        <v>2572</v>
      </c>
      <c r="C8" s="160">
        <f t="shared" si="0"/>
        <v>1286</v>
      </c>
      <c r="D8" s="191">
        <v>1286</v>
      </c>
      <c r="E8" s="203">
        <v>50</v>
      </c>
      <c r="F8" s="110">
        <v>57</v>
      </c>
      <c r="G8" s="202">
        <f t="shared" si="1"/>
        <v>107</v>
      </c>
      <c r="J8" s="76" t="s">
        <v>5055</v>
      </c>
      <c r="K8" s="75">
        <v>1135</v>
      </c>
    </row>
    <row r="9" spans="1:12">
      <c r="A9" s="90" t="s">
        <v>5056</v>
      </c>
      <c r="B9" s="84">
        <v>2546</v>
      </c>
      <c r="C9" s="160">
        <f t="shared" si="0"/>
        <v>1268</v>
      </c>
      <c r="D9" s="191">
        <v>1278</v>
      </c>
      <c r="E9" s="203">
        <v>37</v>
      </c>
      <c r="F9" s="110">
        <v>67</v>
      </c>
      <c r="G9" s="202">
        <f t="shared" si="1"/>
        <v>104</v>
      </c>
      <c r="J9" s="76" t="s">
        <v>5057</v>
      </c>
      <c r="K9" s="77">
        <v>1419</v>
      </c>
    </row>
    <row r="10" spans="1:12">
      <c r="A10" s="90" t="s">
        <v>5058</v>
      </c>
      <c r="B10" s="231" t="s">
        <v>5059</v>
      </c>
      <c r="C10" s="232" t="s">
        <v>5059</v>
      </c>
      <c r="D10" s="230" t="s">
        <v>4824</v>
      </c>
      <c r="E10" s="203"/>
      <c r="F10" s="110">
        <v>26</v>
      </c>
      <c r="G10" s="202">
        <f t="shared" si="1"/>
        <v>26</v>
      </c>
      <c r="J10" s="82" t="s">
        <v>5060</v>
      </c>
      <c r="K10" s="83">
        <v>630</v>
      </c>
      <c r="L10" s="4"/>
    </row>
    <row r="11" spans="1:12">
      <c r="A11" s="90" t="s">
        <v>5061</v>
      </c>
      <c r="B11" s="231" t="s">
        <v>5059</v>
      </c>
      <c r="C11" s="232" t="s">
        <v>5059</v>
      </c>
      <c r="D11" s="230" t="s">
        <v>4824</v>
      </c>
      <c r="E11" s="203"/>
      <c r="F11" s="110">
        <v>40</v>
      </c>
      <c r="G11" s="223">
        <f t="shared" si="1"/>
        <v>40</v>
      </c>
      <c r="J11" s="76" t="s">
        <v>5062</v>
      </c>
      <c r="K11" s="78">
        <v>523</v>
      </c>
    </row>
    <row r="12" spans="1:12">
      <c r="A12" s="90" t="s">
        <v>5063</v>
      </c>
      <c r="B12" s="234">
        <v>2100</v>
      </c>
      <c r="C12" s="160">
        <f>B12-D12</f>
        <v>862</v>
      </c>
      <c r="D12" s="230">
        <v>1238</v>
      </c>
      <c r="E12" s="203">
        <v>14</v>
      </c>
      <c r="F12" s="110">
        <v>105</v>
      </c>
      <c r="G12" s="223">
        <f t="shared" si="1"/>
        <v>119</v>
      </c>
      <c r="K12" s="79" t="s">
        <v>5064</v>
      </c>
      <c r="L12" s="80">
        <v>50757.942289999992</v>
      </c>
    </row>
    <row r="13" spans="1:12" ht="18.600000000000001" thickBot="1">
      <c r="A13" s="91"/>
      <c r="B13" s="92"/>
      <c r="C13" s="92"/>
      <c r="D13" s="192"/>
      <c r="E13" s="204"/>
      <c r="F13" s="108"/>
      <c r="G13" s="205"/>
    </row>
    <row r="14" spans="1:12" s="4" customFormat="1">
      <c r="A14" s="94"/>
      <c r="B14" s="86"/>
      <c r="C14" s="86"/>
      <c r="D14" s="193"/>
      <c r="E14" s="206"/>
      <c r="F14" s="109"/>
      <c r="G14" s="207"/>
      <c r="J14"/>
      <c r="K14"/>
      <c r="L14"/>
    </row>
    <row r="15" spans="1:12" ht="18.600000000000001" thickBot="1">
      <c r="A15" s="93"/>
      <c r="B15" s="84"/>
      <c r="C15" s="84"/>
      <c r="D15" s="194"/>
      <c r="E15" s="203"/>
      <c r="F15" s="110"/>
      <c r="G15" s="208"/>
      <c r="J15" s="129" t="s">
        <v>4903</v>
      </c>
      <c r="K15" s="129" t="s">
        <v>4806</v>
      </c>
    </row>
    <row r="16" spans="1:12" ht="18.600000000000001" thickBot="1">
      <c r="A16" s="85" t="s">
        <v>5065</v>
      </c>
      <c r="B16" s="85"/>
      <c r="C16" s="85"/>
      <c r="D16" s="195"/>
      <c r="E16" s="111">
        <f>E3</f>
        <v>113</v>
      </c>
      <c r="F16" s="111">
        <f>F3</f>
        <v>203</v>
      </c>
      <c r="G16" s="112">
        <f>G3</f>
        <v>316</v>
      </c>
      <c r="J16" s="129" t="s">
        <v>5066</v>
      </c>
      <c r="K16" s="129" t="s">
        <v>4809</v>
      </c>
    </row>
    <row r="17" spans="1:12" ht="18.600000000000001" thickBot="1">
      <c r="A17" s="85" t="s">
        <v>5067</v>
      </c>
      <c r="B17" s="85"/>
      <c r="C17" s="85"/>
      <c r="D17" s="195"/>
      <c r="E17" s="111">
        <f>SUM(E4:E6)</f>
        <v>90</v>
      </c>
      <c r="F17" s="111">
        <f>SUM(F4:F6)</f>
        <v>177</v>
      </c>
      <c r="G17" s="112">
        <f>SUM(G4:G6)</f>
        <v>267</v>
      </c>
      <c r="J17" s="129" t="s">
        <v>4993</v>
      </c>
      <c r="K17" s="129" t="s">
        <v>4812</v>
      </c>
    </row>
    <row r="18" spans="1:12" ht="18.600000000000001" thickBot="1">
      <c r="A18" s="85" t="s">
        <v>5068</v>
      </c>
      <c r="B18" s="85"/>
      <c r="C18" s="85"/>
      <c r="D18" s="195"/>
      <c r="E18" s="111">
        <f>SUM(E7:E9)</f>
        <v>88</v>
      </c>
      <c r="F18" s="111">
        <f>SUM(F7:F9)</f>
        <v>219</v>
      </c>
      <c r="G18" s="112">
        <f>SUM(G7:G9)</f>
        <v>307</v>
      </c>
      <c r="J18" s="129" t="s">
        <v>4814</v>
      </c>
      <c r="K18" t="s">
        <v>4815</v>
      </c>
    </row>
    <row r="19" spans="1:12" ht="18.600000000000001" thickBot="1">
      <c r="A19" s="85" t="s">
        <v>5069</v>
      </c>
      <c r="B19" s="85"/>
      <c r="C19" s="85"/>
      <c r="D19" s="195"/>
      <c r="E19" s="111">
        <f>SUM(E10:E13)</f>
        <v>14</v>
      </c>
      <c r="F19" s="111">
        <f>SUM(F10:F13)</f>
        <v>171</v>
      </c>
      <c r="G19" s="112">
        <f>SUM(E19:F19)</f>
        <v>185</v>
      </c>
      <c r="J19" s="129" t="s">
        <v>4817</v>
      </c>
      <c r="K19" s="129" t="s">
        <v>4818</v>
      </c>
    </row>
    <row r="20" spans="1:12" ht="18.600000000000001" thickBot="1">
      <c r="A20" s="113" t="s">
        <v>5070</v>
      </c>
      <c r="B20" s="167" t="s">
        <v>4824</v>
      </c>
      <c r="C20" s="167" t="s">
        <v>4824</v>
      </c>
      <c r="D20" s="196" t="s">
        <v>4824</v>
      </c>
      <c r="E20" s="113">
        <f>SUM(E3:E14)</f>
        <v>305</v>
      </c>
      <c r="F20" s="113">
        <f>SUM(F3:F14)</f>
        <v>770</v>
      </c>
      <c r="G20" s="113">
        <f>SUM(G3:G14)</f>
        <v>1075</v>
      </c>
    </row>
    <row r="21" spans="1:12" ht="18.600000000000001" thickBot="1">
      <c r="J21" s="225"/>
      <c r="K21" s="225" t="s">
        <v>5071</v>
      </c>
      <c r="L21" s="225" t="s">
        <v>5072</v>
      </c>
    </row>
    <row r="22" spans="1:12">
      <c r="A22" s="168" t="s">
        <v>5073</v>
      </c>
      <c r="B22" s="169"/>
      <c r="C22" s="170" t="s">
        <v>5074</v>
      </c>
      <c r="D22" s="170" t="s">
        <v>5075</v>
      </c>
      <c r="E22" s="171" t="s">
        <v>4833</v>
      </c>
      <c r="J22" s="225" t="s">
        <v>5076</v>
      </c>
      <c r="K22" s="226">
        <v>27864.02</v>
      </c>
      <c r="L22" s="226"/>
    </row>
    <row r="23" spans="1:12">
      <c r="A23" s="172" t="s">
        <v>5043</v>
      </c>
      <c r="B23" s="173" t="s">
        <v>5077</v>
      </c>
      <c r="C23" s="174">
        <v>316</v>
      </c>
      <c r="D23" s="173">
        <v>250</v>
      </c>
      <c r="E23" s="175"/>
      <c r="J23" s="225" t="s">
        <v>5078</v>
      </c>
      <c r="K23" s="226">
        <v>27864.02</v>
      </c>
      <c r="L23" s="226">
        <v>13986.78</v>
      </c>
    </row>
    <row r="24" spans="1:12" ht="36">
      <c r="A24" s="176"/>
      <c r="B24" s="173" t="s">
        <v>5079</v>
      </c>
      <c r="C24" s="177">
        <v>267</v>
      </c>
      <c r="D24" s="173">
        <v>500</v>
      </c>
      <c r="E24" s="178" t="s">
        <v>5080</v>
      </c>
      <c r="F24" s="4"/>
      <c r="G24" s="4"/>
      <c r="J24" s="225" t="s">
        <v>5081</v>
      </c>
      <c r="K24" s="226">
        <v>13877.24</v>
      </c>
      <c r="L24" s="226"/>
    </row>
    <row r="25" spans="1:12">
      <c r="A25" s="176"/>
      <c r="B25" s="173" t="s">
        <v>5082</v>
      </c>
      <c r="C25" s="177">
        <f>SUM(G7:G9)</f>
        <v>307</v>
      </c>
      <c r="D25" s="179">
        <v>500</v>
      </c>
      <c r="E25" s="178" t="s">
        <v>5083</v>
      </c>
      <c r="J25" s="225" t="s">
        <v>5084</v>
      </c>
      <c r="K25" s="226">
        <f>K24-L25</f>
        <v>2235.7299999999977</v>
      </c>
      <c r="L25" s="227">
        <v>11641.510000000002</v>
      </c>
    </row>
    <row r="26" spans="1:12" ht="18.600000000000001" thickBot="1">
      <c r="A26" s="180"/>
      <c r="B26" s="181" t="s">
        <v>5085</v>
      </c>
      <c r="C26" s="182"/>
      <c r="D26" s="183" t="s">
        <v>5086</v>
      </c>
      <c r="E26" s="184" t="s">
        <v>5083</v>
      </c>
    </row>
    <row r="27" spans="1:12" ht="18.600000000000001" thickBot="1">
      <c r="A27" s="73"/>
    </row>
    <row r="28" spans="1:12" ht="18.600000000000001" thickBot="1">
      <c r="A28" s="98" t="s">
        <v>5087</v>
      </c>
      <c r="B28" s="99"/>
      <c r="C28" s="99"/>
      <c r="D28" s="99"/>
      <c r="E28" s="99"/>
      <c r="F28" s="123"/>
    </row>
    <row r="29" spans="1:12" ht="18.600000000000001" thickBot="1">
      <c r="A29" s="103"/>
      <c r="B29" s="104" t="s">
        <v>4842</v>
      </c>
      <c r="C29" s="104" t="s">
        <v>5088</v>
      </c>
      <c r="D29" s="164" t="s">
        <v>5089</v>
      </c>
      <c r="E29" s="119" t="s">
        <v>4843</v>
      </c>
      <c r="F29" s="126" t="s">
        <v>4833</v>
      </c>
    </row>
    <row r="30" spans="1:12">
      <c r="A30" s="101"/>
      <c r="B30" s="102"/>
      <c r="C30" s="102"/>
      <c r="D30" s="165"/>
      <c r="E30" s="120"/>
      <c r="F30" s="161"/>
    </row>
    <row r="31" spans="1:12">
      <c r="A31" s="100" t="s">
        <v>5090</v>
      </c>
      <c r="B31" s="116">
        <v>0</v>
      </c>
      <c r="C31" s="116">
        <v>0</v>
      </c>
      <c r="D31" s="166"/>
      <c r="E31" s="121">
        <v>130000</v>
      </c>
      <c r="F31" s="162"/>
    </row>
    <row r="32" spans="1:12">
      <c r="A32" s="100" t="s">
        <v>5091</v>
      </c>
      <c r="B32" s="116">
        <v>6527.44</v>
      </c>
      <c r="C32" s="116">
        <v>2951.41</v>
      </c>
      <c r="D32" s="166">
        <f t="shared" ref="D32:D41" si="2">B32+C32</f>
        <v>9478.8499999999985</v>
      </c>
      <c r="E32" s="121">
        <f t="shared" ref="E32:E41" si="3">E31-(B32+C32)</f>
        <v>120521.15</v>
      </c>
      <c r="F32" s="163" t="s">
        <v>5092</v>
      </c>
    </row>
    <row r="33" spans="1:6">
      <c r="A33" s="100" t="s">
        <v>5093</v>
      </c>
      <c r="B33" s="68">
        <v>7322.3200000000006</v>
      </c>
      <c r="C33" s="68">
        <v>0</v>
      </c>
      <c r="D33" s="166">
        <f t="shared" si="2"/>
        <v>7322.3200000000006</v>
      </c>
      <c r="E33" s="121">
        <f t="shared" si="3"/>
        <v>113198.82999999999</v>
      </c>
      <c r="F33" s="162" t="s">
        <v>5092</v>
      </c>
    </row>
    <row r="34" spans="1:6">
      <c r="A34" s="100" t="s">
        <v>5094</v>
      </c>
      <c r="B34" s="117">
        <v>12360.98</v>
      </c>
      <c r="C34" s="117"/>
      <c r="D34" s="166">
        <f t="shared" si="2"/>
        <v>12360.98</v>
      </c>
      <c r="E34" s="121">
        <f t="shared" si="3"/>
        <v>100837.84999999999</v>
      </c>
      <c r="F34" s="162" t="s">
        <v>4902</v>
      </c>
    </row>
    <row r="35" spans="1:6">
      <c r="A35" s="100" t="s">
        <v>5095</v>
      </c>
      <c r="B35" s="117">
        <v>8011.96</v>
      </c>
      <c r="C35" s="117"/>
      <c r="D35" s="166">
        <f t="shared" si="2"/>
        <v>8011.96</v>
      </c>
      <c r="E35" s="121">
        <f t="shared" si="3"/>
        <v>92825.889999999985</v>
      </c>
      <c r="F35" s="162" t="s">
        <v>4902</v>
      </c>
    </row>
    <row r="36" spans="1:6">
      <c r="A36" s="100" t="s">
        <v>5096</v>
      </c>
      <c r="B36" s="117">
        <v>8680.99</v>
      </c>
      <c r="C36" s="117"/>
      <c r="D36" s="166">
        <f t="shared" si="2"/>
        <v>8680.99</v>
      </c>
      <c r="E36" s="121">
        <f t="shared" si="3"/>
        <v>84144.89999999998</v>
      </c>
      <c r="F36" s="162" t="s">
        <v>4902</v>
      </c>
    </row>
    <row r="37" spans="1:6">
      <c r="A37" s="100" t="s">
        <v>5097</v>
      </c>
      <c r="B37" s="117">
        <v>8489.8499999999985</v>
      </c>
      <c r="C37" s="117"/>
      <c r="D37" s="166">
        <f t="shared" si="2"/>
        <v>8489.8499999999985</v>
      </c>
      <c r="E37" s="121">
        <f t="shared" si="3"/>
        <v>75655.049999999988</v>
      </c>
      <c r="F37" s="162" t="s">
        <v>4902</v>
      </c>
    </row>
    <row r="38" spans="1:6">
      <c r="A38" s="100" t="s">
        <v>5098</v>
      </c>
      <c r="B38" s="117">
        <v>8486.0999999999985</v>
      </c>
      <c r="C38" s="117"/>
      <c r="D38" s="166">
        <f t="shared" si="2"/>
        <v>8486.0999999999985</v>
      </c>
      <c r="E38" s="121">
        <f t="shared" si="3"/>
        <v>67168.949999999983</v>
      </c>
      <c r="F38" s="162" t="s">
        <v>4902</v>
      </c>
    </row>
    <row r="39" spans="1:6">
      <c r="A39" s="100" t="s">
        <v>5099</v>
      </c>
      <c r="B39" s="117">
        <v>448.17</v>
      </c>
      <c r="C39" s="117"/>
      <c r="D39" s="166">
        <f t="shared" si="2"/>
        <v>448.17</v>
      </c>
      <c r="E39" s="121">
        <f t="shared" si="3"/>
        <v>66720.779999999984</v>
      </c>
      <c r="F39" s="162" t="s">
        <v>4902</v>
      </c>
    </row>
    <row r="40" spans="1:6">
      <c r="A40" s="100" t="s">
        <v>5100</v>
      </c>
      <c r="B40" s="117">
        <v>0</v>
      </c>
      <c r="C40" s="117"/>
      <c r="D40" s="211">
        <f t="shared" si="2"/>
        <v>0</v>
      </c>
      <c r="E40" s="121">
        <f t="shared" si="3"/>
        <v>66720.779999999984</v>
      </c>
      <c r="F40" s="162" t="s">
        <v>4902</v>
      </c>
    </row>
    <row r="41" spans="1:6" ht="18.600000000000001" thickBot="1">
      <c r="A41" s="100" t="s">
        <v>5101</v>
      </c>
      <c r="B41" s="117">
        <v>8655.82</v>
      </c>
      <c r="C41" s="117"/>
      <c r="D41" s="211">
        <f t="shared" si="2"/>
        <v>8655.82</v>
      </c>
      <c r="E41" s="121">
        <f t="shared" si="3"/>
        <v>58064.959999999985</v>
      </c>
      <c r="F41" s="162" t="s">
        <v>4902</v>
      </c>
    </row>
    <row r="42" spans="1:6" ht="18.600000000000001" thickBot="1">
      <c r="A42" s="114" t="s">
        <v>5102</v>
      </c>
      <c r="B42" s="118">
        <f>SUM(B31:B41)</f>
        <v>68983.62999999999</v>
      </c>
      <c r="C42" s="118">
        <f>SUM(C31:C41)</f>
        <v>2951.41</v>
      </c>
      <c r="D42" s="115">
        <f>SUM(D32:D41)</f>
        <v>71935.039999999994</v>
      </c>
      <c r="E42" s="122">
        <f>E31-D42</f>
        <v>58064.960000000006</v>
      </c>
      <c r="F42" s="127"/>
    </row>
  </sheetData>
  <mergeCells count="2">
    <mergeCell ref="B1:D1"/>
    <mergeCell ref="E1:G1"/>
  </mergeCells>
  <phoneticPr fontId="5"/>
  <hyperlinks>
    <hyperlink ref="K16" r:id="rId1" xr:uid="{A96A06D3-9840-4882-8849-EFA4826589D4}"/>
    <hyperlink ref="K17" r:id="rId2" xr:uid="{6D72476D-B577-46D1-982D-081C2A1F370E}"/>
    <hyperlink ref="J17" r:id="rId3" xr:uid="{E65547DD-88D3-488F-B0F2-73F639330381}"/>
    <hyperlink ref="J18" r:id="rId4" xr:uid="{538E50DB-4BE4-4C32-8A1B-78404E34CE3B}"/>
    <hyperlink ref="K15" r:id="rId5" xr:uid="{790C1706-3F4E-481C-BB41-19F65F6FF47C}"/>
    <hyperlink ref="K19" r:id="rId6" xr:uid="{398308C7-D0AE-434B-9D9C-5BED255EF122}"/>
    <hyperlink ref="J19" r:id="rId7" xr:uid="{247B871F-3664-43CB-80B3-C8056EFC8115}"/>
    <hyperlink ref="J16" r:id="rId8" xr:uid="{BBA6E61C-73FF-4AE7-8E08-60FC23C7D014}"/>
    <hyperlink ref="J15" r:id="rId9" xr:uid="{8718FA41-08EE-4AAB-B2A6-A8E1E245183D}"/>
  </hyperlinks>
  <pageMargins left="0.7" right="0.7" top="0.75" bottom="0.75" header="0.3" footer="0.3"/>
  <pageSetup paperSize="9" orientation="portrait" horizontalDpi="300" verticalDpi="300" r:id="rId1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E076-FAED-4DE2-AA15-A234EF08E930}">
  <dimension ref="B1:F45"/>
  <sheetViews>
    <sheetView workbookViewId="0"/>
  </sheetViews>
  <sheetFormatPr defaultRowHeight="18"/>
  <cols>
    <col min="1" max="1" width="9.8984375" customWidth="1"/>
    <col min="2" max="2" width="27.09765625" customWidth="1"/>
    <col min="3" max="3" width="18.3984375" customWidth="1"/>
    <col min="4" max="4" width="18.8984375" customWidth="1"/>
    <col min="5" max="5" width="61.69921875" customWidth="1"/>
    <col min="6" max="6" width="14.59765625" customWidth="1"/>
    <col min="7" max="7" width="10.3984375" customWidth="1"/>
  </cols>
  <sheetData>
    <row r="1" spans="2:6" ht="19.2" thickTop="1" thickBot="1">
      <c r="B1" s="14" t="s">
        <v>5103</v>
      </c>
      <c r="C1" s="15"/>
      <c r="E1" s="12" t="s">
        <v>5104</v>
      </c>
      <c r="F1" s="13"/>
    </row>
    <row r="2" spans="2:6" ht="19.2" thickTop="1" thickBot="1">
      <c r="B2" s="18"/>
      <c r="C2" s="19"/>
      <c r="E2" s="16"/>
      <c r="F2" s="17"/>
    </row>
    <row r="3" spans="2:6" ht="18.600000000000001" thickTop="1">
      <c r="B3" s="22" t="s">
        <v>5105</v>
      </c>
      <c r="C3" s="23"/>
      <c r="E3" s="20" t="s">
        <v>5105</v>
      </c>
      <c r="F3" s="21"/>
    </row>
    <row r="4" spans="2:6">
      <c r="B4" s="26" t="s">
        <v>5106</v>
      </c>
      <c r="C4" s="27">
        <v>50000</v>
      </c>
      <c r="E4" s="24" t="s">
        <v>5107</v>
      </c>
      <c r="F4" s="25">
        <v>620.02867500000002</v>
      </c>
    </row>
    <row r="5" spans="2:6" ht="18.600000000000001" thickBot="1">
      <c r="B5" s="30" t="s">
        <v>5108</v>
      </c>
      <c r="C5" s="31">
        <f>SUM(C4:C4)</f>
        <v>50000</v>
      </c>
      <c r="E5" s="28" t="s">
        <v>5109</v>
      </c>
      <c r="F5" s="29">
        <v>2421.9216000000006</v>
      </c>
    </row>
    <row r="6" spans="2:6" ht="19.2" thickTop="1" thickBot="1">
      <c r="B6" s="32"/>
      <c r="C6" s="33"/>
      <c r="E6" s="24" t="s">
        <v>5110</v>
      </c>
      <c r="F6" s="25">
        <v>333.00819999999999</v>
      </c>
    </row>
    <row r="7" spans="2:6" ht="18.600000000000001" thickTop="1">
      <c r="B7" s="22" t="s">
        <v>4935</v>
      </c>
      <c r="C7" s="34"/>
      <c r="E7" s="24" t="s">
        <v>5111</v>
      </c>
      <c r="F7" s="25">
        <v>161.28524999999999</v>
      </c>
    </row>
    <row r="8" spans="2:6">
      <c r="B8" s="35" t="s">
        <v>5029</v>
      </c>
      <c r="C8" s="36">
        <v>100000</v>
      </c>
      <c r="E8" s="24" t="s">
        <v>5112</v>
      </c>
      <c r="F8" s="25">
        <v>112.769475</v>
      </c>
    </row>
    <row r="9" spans="2:6">
      <c r="B9" s="37"/>
      <c r="C9" s="38"/>
      <c r="E9" s="24" t="s">
        <v>5113</v>
      </c>
      <c r="F9" s="25">
        <v>224.07962499999999</v>
      </c>
    </row>
    <row r="10" spans="2:6">
      <c r="B10" s="35" t="s">
        <v>5034</v>
      </c>
      <c r="C10" s="27"/>
      <c r="E10" s="24" t="s">
        <v>5114</v>
      </c>
      <c r="F10" s="25">
        <v>1042.2940000000001</v>
      </c>
    </row>
    <row r="11" spans="2:6">
      <c r="B11" s="26" t="s">
        <v>5035</v>
      </c>
      <c r="C11" s="27">
        <v>8000</v>
      </c>
      <c r="E11" s="24" t="s">
        <v>5115</v>
      </c>
      <c r="F11" s="25">
        <v>211.57500000000005</v>
      </c>
    </row>
    <row r="12" spans="2:6">
      <c r="B12" s="26" t="s">
        <v>5036</v>
      </c>
      <c r="C12" s="27">
        <v>6000</v>
      </c>
      <c r="E12" s="24" t="s">
        <v>5116</v>
      </c>
      <c r="F12" s="25">
        <v>520.19239999999991</v>
      </c>
    </row>
    <row r="13" spans="2:6">
      <c r="B13" s="26" t="s">
        <v>5037</v>
      </c>
      <c r="C13" s="27">
        <v>6000</v>
      </c>
      <c r="E13" s="24" t="s">
        <v>5117</v>
      </c>
      <c r="F13" s="25">
        <v>87.885000000000005</v>
      </c>
    </row>
    <row r="14" spans="2:6" ht="18.600000000000001" thickBot="1">
      <c r="B14" s="26" t="s">
        <v>5038</v>
      </c>
      <c r="C14" s="27">
        <v>10000</v>
      </c>
      <c r="E14" s="39"/>
      <c r="F14" s="40">
        <f>SUM(F4:F13)</f>
        <v>5735.0392250000004</v>
      </c>
    </row>
    <row r="15" spans="2:6" ht="19.2" thickTop="1" thickBot="1">
      <c r="B15" s="43" t="s">
        <v>5039</v>
      </c>
      <c r="C15" s="44">
        <f>SUM(C11:C14)</f>
        <v>30000</v>
      </c>
      <c r="E15" s="41"/>
      <c r="F15" s="42"/>
    </row>
    <row r="16" spans="2:6" ht="19.2" thickTop="1" thickBot="1">
      <c r="B16" s="30" t="s">
        <v>5040</v>
      </c>
      <c r="C16" s="31">
        <f>SUM(C8:C14)</f>
        <v>130000</v>
      </c>
      <c r="E16" s="45" t="s">
        <v>4935</v>
      </c>
      <c r="F16" s="21"/>
    </row>
    <row r="17" spans="2:6" ht="19.2" thickTop="1" thickBot="1">
      <c r="E17" s="46" t="s">
        <v>5118</v>
      </c>
      <c r="F17" s="25">
        <v>348.36</v>
      </c>
    </row>
    <row r="18" spans="2:6" ht="19.2" thickTop="1" thickBot="1">
      <c r="B18" s="47" t="s">
        <v>5119</v>
      </c>
      <c r="C18" s="48">
        <f>C5+C16</f>
        <v>180000</v>
      </c>
      <c r="E18" s="46" t="s">
        <v>5120</v>
      </c>
      <c r="F18" s="25">
        <v>97.823599999999999</v>
      </c>
    </row>
    <row r="19" spans="2:6" ht="19.2" thickTop="1" thickBot="1">
      <c r="E19" s="46" t="s">
        <v>5121</v>
      </c>
      <c r="F19" s="25">
        <v>1409.11</v>
      </c>
    </row>
    <row r="20" spans="2:6" ht="18.600000000000001" thickBot="1">
      <c r="B20" s="124" t="s">
        <v>5122</v>
      </c>
      <c r="C20" s="125">
        <v>100000</v>
      </c>
      <c r="E20" s="46" t="s">
        <v>5123</v>
      </c>
      <c r="F20" s="25">
        <v>3110.2002399999997</v>
      </c>
    </row>
    <row r="21" spans="2:6">
      <c r="E21" s="46" t="s">
        <v>5124</v>
      </c>
      <c r="F21" s="25">
        <v>1794.16902</v>
      </c>
    </row>
    <row r="22" spans="2:6">
      <c r="E22" s="46" t="s">
        <v>5125</v>
      </c>
      <c r="F22" s="25">
        <v>1444.0264999999999</v>
      </c>
    </row>
    <row r="23" spans="2:6">
      <c r="E23" s="46" t="s">
        <v>5126</v>
      </c>
      <c r="F23" s="25">
        <v>2063.3922400000001</v>
      </c>
    </row>
    <row r="24" spans="2:6">
      <c r="E24" s="46" t="s">
        <v>5127</v>
      </c>
      <c r="F24" s="25">
        <v>2147.7444799999998</v>
      </c>
    </row>
    <row r="25" spans="2:6">
      <c r="E25" s="46" t="s">
        <v>5128</v>
      </c>
      <c r="F25" s="25">
        <v>3525.4818200000004</v>
      </c>
    </row>
    <row r="26" spans="2:6">
      <c r="E26" s="46" t="s">
        <v>5129</v>
      </c>
      <c r="F26" s="25">
        <v>1632.28268</v>
      </c>
    </row>
    <row r="27" spans="2:6">
      <c r="E27" s="46" t="s">
        <v>5130</v>
      </c>
      <c r="F27" s="25">
        <v>2917.5107499999999</v>
      </c>
    </row>
    <row r="28" spans="2:6">
      <c r="E28" s="46" t="s">
        <v>5131</v>
      </c>
      <c r="F28" s="25">
        <v>951.36597500000005</v>
      </c>
    </row>
    <row r="29" spans="2:6">
      <c r="E29" s="46" t="s">
        <v>5132</v>
      </c>
      <c r="F29" s="25">
        <v>836.91475000000003</v>
      </c>
    </row>
    <row r="30" spans="2:6" ht="18.600000000000001" thickBot="1">
      <c r="E30" s="39" t="s">
        <v>5133</v>
      </c>
      <c r="F30" s="49">
        <v>30.922499999999999</v>
      </c>
    </row>
    <row r="31" spans="2:6" ht="19.2" thickTop="1" thickBot="1">
      <c r="E31" s="50" t="s">
        <v>5134</v>
      </c>
      <c r="F31" s="51">
        <f>SUM(F17:F30)</f>
        <v>22309.304555000002</v>
      </c>
    </row>
    <row r="32" spans="2:6" ht="18.600000000000001" thickTop="1">
      <c r="E32" s="52" t="s">
        <v>5135</v>
      </c>
      <c r="F32" s="53"/>
    </row>
    <row r="33" spans="5:6" ht="18.600000000000001" thickBot="1">
      <c r="E33" s="54" t="s">
        <v>5136</v>
      </c>
      <c r="F33" s="40">
        <v>26000</v>
      </c>
    </row>
    <row r="34" spans="5:6" ht="18.600000000000001" thickTop="1">
      <c r="E34" s="55" t="s">
        <v>5137</v>
      </c>
      <c r="F34" s="56">
        <f>F31+F33</f>
        <v>48309.304555000002</v>
      </c>
    </row>
    <row r="35" spans="5:6" ht="18.600000000000001" thickBot="1">
      <c r="E35" s="57"/>
      <c r="F35" s="58"/>
    </row>
    <row r="36" spans="5:6" ht="19.2" thickTop="1" thickBot="1">
      <c r="E36" s="59" t="s">
        <v>4941</v>
      </c>
      <c r="F36" s="60"/>
    </row>
    <row r="37" spans="5:6" ht="18.600000000000001" thickTop="1">
      <c r="E37" s="61" t="s">
        <v>5138</v>
      </c>
      <c r="F37" s="21">
        <v>75.098275000000001</v>
      </c>
    </row>
    <row r="38" spans="5:6">
      <c r="E38" s="46" t="s">
        <v>5139</v>
      </c>
      <c r="F38" s="25">
        <v>151.33580000000001</v>
      </c>
    </row>
    <row r="39" spans="5:6">
      <c r="E39" s="46" t="s">
        <v>5140</v>
      </c>
      <c r="F39" s="25">
        <v>229.77045000000001</v>
      </c>
    </row>
    <row r="40" spans="5:6">
      <c r="E40" s="46" t="s">
        <v>5141</v>
      </c>
      <c r="F40" s="25">
        <v>560.55999999999995</v>
      </c>
    </row>
    <row r="41" spans="5:6">
      <c r="E41" s="46" t="s">
        <v>5142</v>
      </c>
      <c r="F41" s="25">
        <v>247.13208000000003</v>
      </c>
    </row>
    <row r="42" spans="5:6" ht="18.600000000000001" thickBot="1">
      <c r="E42" s="39" t="s">
        <v>5143</v>
      </c>
      <c r="F42" s="49">
        <v>4629.5485250000002</v>
      </c>
    </row>
    <row r="43" spans="5:6" ht="19.2" thickTop="1" thickBot="1">
      <c r="E43" s="62" t="s">
        <v>5144</v>
      </c>
      <c r="F43" s="63">
        <f>SUM(F37:F42)</f>
        <v>5893.4451300000001</v>
      </c>
    </row>
    <row r="44" spans="5:6" ht="19.2" thickTop="1" thickBot="1">
      <c r="E44" s="64"/>
      <c r="F44" s="58"/>
    </row>
    <row r="45" spans="5:6" ht="19.2" thickTop="1" thickBot="1">
      <c r="E45" s="65" t="s">
        <v>5145</v>
      </c>
      <c r="F45" s="66">
        <f>F14+F34+F43</f>
        <v>59937.788910000003</v>
      </c>
    </row>
  </sheetData>
  <phoneticPr fontId="5"/>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5377-2F23-4407-9AA0-0032FB52C90C}">
  <dimension ref="A1:O11"/>
  <sheetViews>
    <sheetView workbookViewId="0"/>
  </sheetViews>
  <sheetFormatPr defaultRowHeight="18"/>
  <cols>
    <col min="1" max="1" width="13.19921875" customWidth="1"/>
    <col min="2" max="2" width="11.8984375" customWidth="1"/>
    <col min="3" max="3" width="13.09765625" customWidth="1"/>
    <col min="4" max="4" width="12" customWidth="1"/>
    <col min="7" max="7" width="12.19921875" customWidth="1"/>
    <col min="8" max="8" width="15.19921875" style="67" customWidth="1"/>
    <col min="9" max="9" width="11.59765625" style="1" customWidth="1"/>
    <col min="10" max="10" width="11.19921875" style="1" customWidth="1"/>
    <col min="13" max="13" width="23.3984375" customWidth="1"/>
    <col min="14" max="14" width="19.3984375" style="11" customWidth="1"/>
    <col min="15" max="15" width="17.5" style="11" customWidth="1"/>
  </cols>
  <sheetData>
    <row r="1" spans="1:15" s="4" customFormat="1" ht="36.6" thickBot="1">
      <c r="A1" s="146"/>
      <c r="B1" s="147" t="s">
        <v>5146</v>
      </c>
      <c r="C1" s="148" t="s">
        <v>5147</v>
      </c>
      <c r="D1" s="217" t="s">
        <v>5148</v>
      </c>
      <c r="E1" s="147" t="s">
        <v>1434</v>
      </c>
      <c r="F1" s="149" t="s">
        <v>659</v>
      </c>
      <c r="G1" s="149" t="s">
        <v>5149</v>
      </c>
      <c r="H1" s="150" t="s">
        <v>4902</v>
      </c>
      <c r="I1" s="151" t="s">
        <v>5092</v>
      </c>
      <c r="J1" s="152" t="s">
        <v>4843</v>
      </c>
      <c r="M1" s="222" t="s">
        <v>4818</v>
      </c>
      <c r="N1" s="221" t="s">
        <v>5150</v>
      </c>
      <c r="O1" s="221" t="s">
        <v>5151</v>
      </c>
    </row>
    <row r="2" spans="1:15">
      <c r="A2" s="153" t="s">
        <v>5152</v>
      </c>
      <c r="B2" s="154">
        <v>2599</v>
      </c>
      <c r="C2" s="155">
        <v>1395</v>
      </c>
      <c r="D2" s="218">
        <v>1204</v>
      </c>
      <c r="E2" s="154">
        <v>113</v>
      </c>
      <c r="F2" s="156">
        <v>203</v>
      </c>
      <c r="G2" s="156">
        <v>316</v>
      </c>
      <c r="H2" s="157"/>
      <c r="I2" s="158">
        <v>9478.8499999999985</v>
      </c>
      <c r="J2" s="159">
        <v>120521.15</v>
      </c>
      <c r="M2" t="s">
        <v>5153</v>
      </c>
      <c r="N2" s="11">
        <v>27864.022886000002</v>
      </c>
    </row>
    <row r="3" spans="1:15">
      <c r="A3" s="140" t="s">
        <v>5154</v>
      </c>
      <c r="B3" s="142">
        <v>2618</v>
      </c>
      <c r="C3" s="131">
        <v>1463</v>
      </c>
      <c r="D3" s="219">
        <v>1155</v>
      </c>
      <c r="E3" s="142">
        <v>21</v>
      </c>
      <c r="F3" s="143">
        <v>12</v>
      </c>
      <c r="G3" s="143">
        <v>33</v>
      </c>
      <c r="H3" s="138" t="e">
        <f>#REF!</f>
        <v>#REF!</v>
      </c>
      <c r="I3" s="132">
        <v>7322.3200000000006</v>
      </c>
      <c r="J3" s="133">
        <v>113198.82999999999</v>
      </c>
      <c r="M3" t="s">
        <v>5155</v>
      </c>
      <c r="N3" s="11">
        <v>27864.022886000002</v>
      </c>
      <c r="O3" s="11">
        <v>13986.782885999999</v>
      </c>
    </row>
    <row r="4" spans="1:15">
      <c r="A4" s="140" t="s">
        <v>5156</v>
      </c>
      <c r="B4" s="142">
        <v>2622</v>
      </c>
      <c r="C4" s="131">
        <v>1466</v>
      </c>
      <c r="D4" s="219">
        <v>1156</v>
      </c>
      <c r="E4" s="142">
        <v>44</v>
      </c>
      <c r="F4" s="143">
        <v>99</v>
      </c>
      <c r="G4" s="143">
        <v>143</v>
      </c>
      <c r="H4" s="138" t="e">
        <f>#REF!</f>
        <v>#REF!</v>
      </c>
      <c r="I4" s="75"/>
      <c r="J4" s="134"/>
      <c r="M4" t="s">
        <v>5157</v>
      </c>
      <c r="N4" s="11">
        <f>N3-O3</f>
        <v>13877.240000000003</v>
      </c>
    </row>
    <row r="5" spans="1:15">
      <c r="A5" s="140" t="s">
        <v>5158</v>
      </c>
      <c r="B5" s="142">
        <v>2622</v>
      </c>
      <c r="C5" s="131">
        <v>1466</v>
      </c>
      <c r="D5" s="219">
        <v>1156</v>
      </c>
      <c r="E5" s="142">
        <v>25</v>
      </c>
      <c r="F5" s="143">
        <v>66</v>
      </c>
      <c r="G5" s="143">
        <v>91</v>
      </c>
      <c r="H5" s="138" t="e">
        <f>#REF!</f>
        <v>#REF!</v>
      </c>
      <c r="I5" s="75"/>
      <c r="J5" s="134"/>
    </row>
    <row r="6" spans="1:15">
      <c r="A6" s="140" t="s">
        <v>5159</v>
      </c>
      <c r="B6" s="142">
        <v>2634</v>
      </c>
      <c r="C6" s="131">
        <v>1337</v>
      </c>
      <c r="D6" s="219">
        <v>1297</v>
      </c>
      <c r="E6" s="142">
        <v>1</v>
      </c>
      <c r="F6" s="143">
        <v>95</v>
      </c>
      <c r="G6" s="143">
        <v>96</v>
      </c>
      <c r="H6" s="138"/>
      <c r="I6" s="75"/>
      <c r="J6" s="134"/>
    </row>
    <row r="7" spans="1:15">
      <c r="A7" s="140" t="s">
        <v>5160</v>
      </c>
      <c r="B7" s="142">
        <v>2572</v>
      </c>
      <c r="C7" s="131">
        <v>1286</v>
      </c>
      <c r="D7" s="219">
        <v>1286</v>
      </c>
      <c r="E7" s="142">
        <v>50</v>
      </c>
      <c r="F7" s="143">
        <v>57</v>
      </c>
      <c r="G7" s="143">
        <v>107</v>
      </c>
      <c r="H7" s="138"/>
      <c r="I7" s="75"/>
      <c r="J7" s="134"/>
    </row>
    <row r="8" spans="1:15">
      <c r="A8" s="140" t="s">
        <v>5161</v>
      </c>
      <c r="B8" s="142">
        <v>2546</v>
      </c>
      <c r="C8" s="131">
        <v>1268</v>
      </c>
      <c r="D8" s="219">
        <v>1278</v>
      </c>
      <c r="E8" s="142">
        <v>37</v>
      </c>
      <c r="F8" s="143">
        <v>67</v>
      </c>
      <c r="G8" s="143">
        <v>104</v>
      </c>
      <c r="H8" s="138"/>
      <c r="I8" s="75"/>
      <c r="J8" s="134"/>
    </row>
    <row r="9" spans="1:15">
      <c r="A9" s="140" t="s">
        <v>5162</v>
      </c>
      <c r="B9" s="142"/>
      <c r="C9" s="131"/>
      <c r="D9" s="219"/>
      <c r="E9" s="142"/>
      <c r="F9" s="143"/>
      <c r="G9" s="143"/>
      <c r="H9" s="138"/>
      <c r="I9" s="75"/>
      <c r="J9" s="134"/>
    </row>
    <row r="10" spans="1:15">
      <c r="A10" s="140" t="s">
        <v>5163</v>
      </c>
      <c r="B10" s="142"/>
      <c r="C10" s="131"/>
      <c r="D10" s="219"/>
      <c r="E10" s="142"/>
      <c r="F10" s="143"/>
      <c r="G10" s="143"/>
      <c r="H10" s="138"/>
      <c r="I10" s="75"/>
      <c r="J10" s="134"/>
    </row>
    <row r="11" spans="1:15" ht="18.600000000000001" thickBot="1">
      <c r="A11" s="141" t="s">
        <v>5164</v>
      </c>
      <c r="B11" s="144"/>
      <c r="C11" s="135"/>
      <c r="D11" s="220"/>
      <c r="E11" s="144"/>
      <c r="F11" s="145"/>
      <c r="G11" s="145"/>
      <c r="H11" s="139"/>
      <c r="I11" s="136"/>
      <c r="J11" s="137"/>
    </row>
  </sheetData>
  <phoneticPr fontId="5"/>
  <hyperlinks>
    <hyperlink ref="M1" r:id="rId1" xr:uid="{C90A7839-A122-4E1C-B675-F3314E02494B}"/>
  </hyperlinks>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FCD5B-CE89-488F-B9CB-C8675679A042}">
  <sheetPr codeName="Sheet3"/>
  <dimension ref="A1:E18"/>
  <sheetViews>
    <sheetView workbookViewId="0"/>
  </sheetViews>
  <sheetFormatPr defaultRowHeight="18"/>
  <cols>
    <col min="1" max="1" width="77.19921875" customWidth="1"/>
    <col min="2" max="2" width="16" customWidth="1"/>
    <col min="3" max="3" width="19.69921875" customWidth="1"/>
    <col min="4" max="4" width="12.3984375" customWidth="1"/>
    <col min="5" max="5" width="24.3984375" customWidth="1"/>
  </cols>
  <sheetData>
    <row r="1" spans="1:5" s="1" customFormat="1">
      <c r="A1" s="1" t="s">
        <v>9</v>
      </c>
      <c r="B1" s="1" t="s">
        <v>4907</v>
      </c>
      <c r="C1" s="1" t="s">
        <v>5165</v>
      </c>
      <c r="D1" s="1" t="s">
        <v>5</v>
      </c>
      <c r="E1" s="1" t="s">
        <v>4909</v>
      </c>
    </row>
    <row r="2" spans="1:5">
      <c r="A2" t="s">
        <v>5166</v>
      </c>
      <c r="B2" s="1" t="s">
        <v>4914</v>
      </c>
      <c r="C2" s="1">
        <v>2202</v>
      </c>
      <c r="D2" s="1" t="s">
        <v>4916</v>
      </c>
      <c r="E2" s="2" t="s">
        <v>4917</v>
      </c>
    </row>
    <row r="3" spans="1:5">
      <c r="A3" t="s">
        <v>5167</v>
      </c>
    </row>
    <row r="6" spans="1:5">
      <c r="A6" t="s">
        <v>5117</v>
      </c>
    </row>
    <row r="7" spans="1:5">
      <c r="A7" t="s">
        <v>5168</v>
      </c>
    </row>
    <row r="8" spans="1:5">
      <c r="A8" t="s">
        <v>5116</v>
      </c>
    </row>
    <row r="9" spans="1:5">
      <c r="A9" t="s">
        <v>5169</v>
      </c>
    </row>
    <row r="10" spans="1:5">
      <c r="A10" t="s">
        <v>5170</v>
      </c>
    </row>
    <row r="11" spans="1:5">
      <c r="A11" t="s">
        <v>5171</v>
      </c>
    </row>
    <row r="13" spans="1:5">
      <c r="A13" t="s">
        <v>5172</v>
      </c>
    </row>
    <row r="14" spans="1:5">
      <c r="A14" t="s">
        <v>5173</v>
      </c>
    </row>
    <row r="15" spans="1:5">
      <c r="A15" t="s">
        <v>5174</v>
      </c>
    </row>
    <row r="17" spans="1:1">
      <c r="A17" t="s">
        <v>5175</v>
      </c>
    </row>
    <row r="18" spans="1:1">
      <c r="A18" t="s">
        <v>5176</v>
      </c>
    </row>
  </sheetData>
  <phoneticPr fontId="5"/>
  <pageMargins left="0.7" right="0.7" top="0.75" bottom="0.75" header="0.3" footer="0.3"/>
  <pageSetup paperSize="9" orientation="portrait" horizontalDpi="4294967293" verticalDpi="1200" r:id="rId1"/>
</worksheet>
</file>

<file path=docMetadata/LabelInfo.xml><?xml version="1.0" encoding="utf-8"?>
<clbl:labelList xmlns:clbl="http://schemas.microsoft.com/office/2020/mipLabelMetadata">
  <clbl:label id="{d8907c73-cb83-4050-85ee-7c8dff188d62}" enabled="0" method="" siteId="{d8907c73-cb83-4050-85ee-7c8dff188d6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20</vt:i4>
      </vt:variant>
    </vt:vector>
  </HeadingPairs>
  <TitlesOfParts>
    <vt:vector size="20" baseType="lpstr">
      <vt:lpstr>Name generator</vt:lpstr>
      <vt:lpstr>Articles</vt:lpstr>
      <vt:lpstr>Articles-new</vt:lpstr>
      <vt:lpstr>Unlocalized</vt:lpstr>
      <vt:lpstr>Pending</vt:lpstr>
      <vt:lpstr>Wrtiteback</vt:lpstr>
      <vt:lpstr>Updated20250303</vt:lpstr>
      <vt:lpstr>SF</vt:lpstr>
      <vt:lpstr>2022</vt:lpstr>
      <vt:lpstr>Link</vt:lpstr>
      <vt:lpstr>FY26 Status</vt:lpstr>
      <vt:lpstr>FY25 Status</vt:lpstr>
      <vt:lpstr>PO</vt:lpstr>
      <vt:lpstr>List</vt:lpstr>
      <vt:lpstr>FY24 Status</vt:lpstr>
      <vt:lpstr>FY24 Budget </vt:lpstr>
      <vt:lpstr>Status FY23</vt:lpstr>
      <vt:lpstr>FY23 Budget</vt:lpstr>
      <vt:lpstr>Statistic</vt:lpstr>
      <vt:lpstr>Example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Masaaki Hori</dc:creator>
  <cp:keywords/>
  <dc:description/>
  <cp:lastModifiedBy>Masaaki Hori</cp:lastModifiedBy>
  <cp:revision/>
  <cp:lastPrinted>2025-11-06T08:24:49Z</cp:lastPrinted>
  <dcterms:created xsi:type="dcterms:W3CDTF">2015-06-05T18:17:20Z</dcterms:created>
  <dcterms:modified xsi:type="dcterms:W3CDTF">2026-08-05T06:03:00Z</dcterms:modified>
  <cp:category/>
  <cp:contentStatus/>
</cp:coreProperties>
</file>